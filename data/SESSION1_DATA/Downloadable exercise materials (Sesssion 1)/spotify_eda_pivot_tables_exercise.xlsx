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  <sheet name="EDA" sheetId="5" state="visible" r:id="rId6"/>
    <sheet name="pivot_tables" sheetId="6" state="visible" r:id="rId7"/>
  </sheets>
  <definedNames>
    <definedName function="false" hidden="false" name="_xlchart.v1.0" vbProcedure="false">EDA!$K$2</definedName>
    <definedName function="false" hidden="false" name="_xlchart.v1.1" vbProcedure="false">songs!$E$1899:$E$1943</definedName>
    <definedName function="false" hidden="false" name="_xlchart.v1.10" vbProcedure="false">songs!$J$2:$J$1943</definedName>
    <definedName function="false" hidden="false" name="_xlchart.v1.11" vbProcedure="false">songs!$J$2:$J$7</definedName>
    <definedName function="false" hidden="false" name="_xlchart.v1.12" vbProcedure="false">songs!$J$2:$J$1943</definedName>
    <definedName function="false" hidden="false" name="_xlchart.v1.13" vbProcedure="false">songs!$J$2:$J$1943</definedName>
    <definedName function="false" hidden="false" name="_xlchart.v1.14" vbProcedure="false">songs!$T$2:$T$1943</definedName>
    <definedName function="false" hidden="false" name="_xlchart.v1.2" vbProcedure="false">songs!$E$2:$E$14</definedName>
    <definedName function="false" hidden="false" name="_xlchart.v1.3" vbProcedure="false">songs!$E$2:$E$1943</definedName>
    <definedName function="false" hidden="false" name="_xlchart.v1.4" vbProcedure="false">songs!$J$2:$J$1943</definedName>
    <definedName function="false" hidden="false" name="_xlchart.v1.5" vbProcedure="false">songs!$N$2:$N$1943</definedName>
    <definedName function="false" hidden="false" name="_xlchart.v1.6" vbProcedure="false">songs!$J$2:$J$1943</definedName>
    <definedName function="false" hidden="false" name="_xlchart.v1.7" vbProcedure="false">songs!$T$2:$T$1943</definedName>
    <definedName function="false" hidden="false" name="_xlchart.v1.8" vbProcedure="false">EDA!$F$8</definedName>
    <definedName function="false" hidden="false" name="_xlchart.v1.9" vbProcedure="false">songs!$I$2:$I$1614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<sst xmlns="http://schemas.openxmlformats.org/spreadsheetml/2006/main" count="4835" uniqueCount="2811">
  <si>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</si>
  <si>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</si>
  <si>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</si>
  <si>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</si>
  <si>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</si>
  <si>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</si>
  <si>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</si>
  <si>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year</t>
  </si>
  <si>
    <t xml:space="preserve">popularity</t>
  </si>
  <si>
    <t xml:space="preserve">danceability</t>
  </si>
  <si>
    <t xml:space="preserve">energy</t>
  </si>
  <si>
    <t xml:space="preserve">energy_category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</si>
  <si>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</si>
  <si>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</si>
  <si>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</si>
  <si>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</si>
  <si>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</si>
  <si>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</si>
  <si>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song_mood</t>
  </si>
  <si>
    <t xml:space="preserve">tempo</t>
  </si>
  <si>
    <t xml:space="preserve">genre</t>
  </si>
  <si>
    <t xml:space="preserve">#SELFIE - Original Mix</t>
  </si>
  <si>
    <t xml:space="preserve">pop, Dance/Electronic</t>
  </si>
  <si>
    <t xml:space="preserve">#thatPOWER</t>
  </si>
  <si>
    <t xml:space="preserve">hip hop, pop</t>
  </si>
  <si>
    <t xml:space="preserve">(When You Gonna) Give It Up to Me (feat. Keyshia Cole) - Radio Version</t>
  </si>
  <si>
    <t xml:space="preserve">The Less I Know The Better</t>
  </si>
  <si>
    <t xml:space="preserve">metal</t>
  </si>
  <si>
    <t xml:space="preserve">03' Bonnie &amp; Clyde</t>
  </si>
  <si>
    <t xml:space="preserve">hip hop</t>
  </si>
  <si>
    <t xml:space="preserve">1 Thing</t>
  </si>
  <si>
    <t xml:space="preserve">hip hop, pop, R&amp;B</t>
  </si>
  <si>
    <t xml:space="preserve">1, 2 Step (feat. Missy Elliott) - Main</t>
  </si>
  <si>
    <t xml:space="preserve">pop, R&amp;B</t>
  </si>
  <si>
    <t xml:space="preserve">Hymn for the Weekend</t>
  </si>
  <si>
    <t xml:space="preserve">rock, pop</t>
  </si>
  <si>
    <t xml:space="preserve">17</t>
  </si>
  <si>
    <t xml:space="preserve">1955</t>
  </si>
  <si>
    <t xml:space="preserve">1973</t>
  </si>
  <si>
    <t xml:space="preserve">pop</t>
  </si>
  <si>
    <t xml:space="preserve">2 On (feat. ScHoolboy Q)</t>
  </si>
  <si>
    <t xml:space="preserve">hip hop, pop, R&amp;B, Dance/Electronic</t>
  </si>
  <si>
    <t xml:space="preserve">Centuries</t>
  </si>
  <si>
    <t xml:space="preserve">rock</t>
  </si>
  <si>
    <t xml:space="preserve">2002</t>
  </si>
  <si>
    <t xml:space="preserve">21 Guns</t>
  </si>
  <si>
    <t xml:space="preserve">21 Questions</t>
  </si>
  <si>
    <t xml:space="preserve">21 Seconds</t>
  </si>
  <si>
    <t xml:space="preserve">Dance/Electronic</t>
  </si>
  <si>
    <t xml:space="preserve">212</t>
  </si>
  <si>
    <t xml:space="preserve">22</t>
  </si>
  <si>
    <t xml:space="preserve">Ride</t>
  </si>
  <si>
    <t xml:space="preserve">2U (feat. Justin Bieber)</t>
  </si>
  <si>
    <t xml:space="preserve">hip hop, pop, Dance/Electronic</t>
  </si>
  <si>
    <t xml:space="preserve">3 Nights</t>
  </si>
  <si>
    <t xml:space="preserve">3005</t>
  </si>
  <si>
    <t xml:space="preserve">4 Minutes (feat. Justin Timberlake &amp; Timbaland)</t>
  </si>
  <si>
    <t xml:space="preserve">4 My People (feat. Eve)</t>
  </si>
  <si>
    <t xml:space="preserve">6 Foot 7 Foot</t>
  </si>
  <si>
    <t xml:space="preserve">679 (feat. Remy Boyz)</t>
  </si>
  <si>
    <t xml:space="preserve">7 Days</t>
  </si>
  <si>
    <t xml:space="preserve">7 rings</t>
  </si>
  <si>
    <t xml:space="preserve">bad guy</t>
  </si>
  <si>
    <t xml:space="preserve">A Little Less Conversation - JXL Radio Edit Remix</t>
  </si>
  <si>
    <t xml:space="preserve">rock, easy listening</t>
  </si>
  <si>
    <t xml:space="preserve">a lot</t>
  </si>
  <si>
    <t xml:space="preserve">A Milli</t>
  </si>
  <si>
    <t xml:space="preserve">A Moment Like This</t>
  </si>
  <si>
    <t xml:space="preserve">A New Day Has Come - Radio Remix</t>
  </si>
  <si>
    <t xml:space="preserve">A Sky Full of Stars</t>
  </si>
  <si>
    <t xml:space="preserve">A Thousand Miles</t>
  </si>
  <si>
    <t xml:space="preserve">Folk/Acoustic, pop</t>
  </si>
  <si>
    <t xml:space="preserve">A Thousand Years</t>
  </si>
  <si>
    <t xml:space="preserve">A Woman's Worth</t>
  </si>
  <si>
    <t xml:space="preserve">Ã‰chame La Culpa</t>
  </si>
  <si>
    <t xml:space="preserve">pop, latin</t>
  </si>
  <si>
    <t xml:space="preserve">About You Now</t>
  </si>
  <si>
    <t xml:space="preserve">Acceptable in the 80's</t>
  </si>
  <si>
    <t xml:space="preserve">Adan y Eva</t>
  </si>
  <si>
    <t xml:space="preserve">hip hop, latin, Dance/Electronic</t>
  </si>
  <si>
    <t xml:space="preserve">Addicted</t>
  </si>
  <si>
    <t xml:space="preserve">rock, metal</t>
  </si>
  <si>
    <t xml:space="preserve">Addictive</t>
  </si>
  <si>
    <t xml:space="preserve">Sorry</t>
  </si>
  <si>
    <t xml:space="preserve">Again</t>
  </si>
  <si>
    <t xml:space="preserve">Against All Odds (Take A Look at Me Now) (feat. Westlife)</t>
  </si>
  <si>
    <t xml:space="preserve">Ai Se Eu Te Pego - Live</t>
  </si>
  <si>
    <t xml:space="preserve">country, latin</t>
  </si>
  <si>
    <t xml:space="preserve">Ain't It Funny</t>
  </si>
  <si>
    <t xml:space="preserve">Can't Feel My Face</t>
  </si>
  <si>
    <t xml:space="preserve">Ain't No Other Man</t>
  </si>
  <si>
    <t xml:space="preserve">Ain't Nobody (Loves Me Better) (feat. Jasmine Thompson)</t>
  </si>
  <si>
    <t xml:space="preserve">Air Force Ones</t>
  </si>
  <si>
    <t xml:space="preserve">Airplanes (feat. Hayley Williams of Paramore)</t>
  </si>
  <si>
    <t xml:space="preserve">Alarm</t>
  </si>
  <si>
    <t xml:space="preserve">Alejandro</t>
  </si>
  <si>
    <t xml:space="preserve">All About That Bass</t>
  </si>
  <si>
    <t xml:space="preserve">All Day And Night</t>
  </si>
  <si>
    <t xml:space="preserve">All Eyes on You (feat. Chris Brown &amp; Nicki Minaj)</t>
  </si>
  <si>
    <t xml:space="preserve">All Falls Down</t>
  </si>
  <si>
    <t xml:space="preserve">All For You</t>
  </si>
  <si>
    <t xml:space="preserve">All I Do Is Win (feat. T-Pain, Ludacris, Snoop Dogg &amp; Rick Ross)</t>
  </si>
  <si>
    <t xml:space="preserve">Baby Boy (feat. Sean Paul)</t>
  </si>
  <si>
    <t xml:space="preserve">All I Have (feat. LL Cool J)</t>
  </si>
  <si>
    <t xml:space="preserve">All I Want - Sunship Radio Edit</t>
  </si>
  <si>
    <t xml:space="preserve">Waiting For Love</t>
  </si>
  <si>
    <t xml:space="preserve">All Night</t>
  </si>
  <si>
    <t xml:space="preserve">All of Me</t>
  </si>
  <si>
    <t xml:space="preserve">All Of The Lights</t>
  </si>
  <si>
    <t xml:space="preserve">Me, Myself and I</t>
  </si>
  <si>
    <t xml:space="preserve">All The Right Moves</t>
  </si>
  <si>
    <t xml:space="preserve">Nu Flow</t>
  </si>
  <si>
    <t xml:space="preserve">All The Stars (with SZA)</t>
  </si>
  <si>
    <t xml:space="preserve">All The Things She Said</t>
  </si>
  <si>
    <t xml:space="preserve">All Time Low</t>
  </si>
  <si>
    <t xml:space="preserve">All You Wanted</t>
  </si>
  <si>
    <t xml:space="preserve">pop, Folk/Acoustic</t>
  </si>
  <si>
    <t xml:space="preserve">Almost Here</t>
  </si>
  <si>
    <t xml:space="preserve">set()</t>
  </si>
  <si>
    <t xml:space="preserve">Stitches</t>
  </si>
  <si>
    <t xml:space="preserve">Alors on danse - Radio Edit</t>
  </si>
  <si>
    <t xml:space="preserve">Already Gone</t>
  </si>
  <si>
    <t xml:space="preserve">Always On Time</t>
  </si>
  <si>
    <t xml:space="preserve">Am I Wrong</t>
  </si>
  <si>
    <t xml:space="preserve">AM To PM</t>
  </si>
  <si>
    <t xml:space="preserve">Amazing</t>
  </si>
  <si>
    <t xml:space="preserve">America</t>
  </si>
  <si>
    <t xml:space="preserve">American Boy</t>
  </si>
  <si>
    <t xml:space="preserve">R&amp;B</t>
  </si>
  <si>
    <t xml:space="preserve">American Idiot</t>
  </si>
  <si>
    <t xml:space="preserve">American Pie</t>
  </si>
  <si>
    <t xml:space="preserve">Anaconda</t>
  </si>
  <si>
    <t xml:space="preserve">Angel</t>
  </si>
  <si>
    <t xml:space="preserve">Animal</t>
  </si>
  <si>
    <t xml:space="preserve">Animals</t>
  </si>
  <si>
    <t xml:space="preserve">Animals - Radio Edit</t>
  </si>
  <si>
    <t xml:space="preserve">Another Chance</t>
  </si>
  <si>
    <t xml:space="preserve">Naughty Girl</t>
  </si>
  <si>
    <t xml:space="preserve">Another Love</t>
  </si>
  <si>
    <t xml:space="preserve">Another Way to Die</t>
  </si>
  <si>
    <t xml:space="preserve">rock, blues</t>
  </si>
  <si>
    <t xml:space="preserve">Answerphone (feat. Yxng Bane)</t>
  </si>
  <si>
    <t xml:space="preserve">Antidote</t>
  </si>
  <si>
    <t xml:space="preserve">hip hop, Dance/Electronic</t>
  </si>
  <si>
    <t xml:space="preserve">Antisocial (with Travis Scott)</t>
  </si>
  <si>
    <t xml:space="preserve">Anyone of Us (Stupid Mistake)</t>
  </si>
  <si>
    <t xml:space="preserve">Locked Away (feat. Adam Levine)</t>
  </si>
  <si>
    <t xml:space="preserve">Apologize</t>
  </si>
  <si>
    <t xml:space="preserve">Are You With Me - Radio Edit</t>
  </si>
  <si>
    <t xml:space="preserve">As Good As I Once Was</t>
  </si>
  <si>
    <t xml:space="preserve">country</t>
  </si>
  <si>
    <t xml:space="preserve">As Long As You Love Me</t>
  </si>
  <si>
    <t xml:space="preserve">Ass Back Home (feat. Neon Hitch)</t>
  </si>
  <si>
    <t xml:space="preserve">Ass Like That</t>
  </si>
  <si>
    <t xml:space="preserve">Attention</t>
  </si>
  <si>
    <t xml:space="preserve">Axel F</t>
  </si>
  <si>
    <t xml:space="preserve">Ayo</t>
  </si>
  <si>
    <t xml:space="preserve">Ayo Technology</t>
  </si>
  <si>
    <t xml:space="preserve">Baby</t>
  </si>
  <si>
    <t xml:space="preserve">Like You (feat. Ciara)</t>
  </si>
  <si>
    <t xml:space="preserve">Let Me Hold You (feat. Omarion)</t>
  </si>
  <si>
    <t xml:space="preserve">Back To Black</t>
  </si>
  <si>
    <t xml:space="preserve">Back To December</t>
  </si>
  <si>
    <t xml:space="preserve">Bad (feat. Rihanna) - Remix</t>
  </si>
  <si>
    <t xml:space="preserve">Bad (feat. Vassy) - Radio Edit</t>
  </si>
  <si>
    <t xml:space="preserve">Me, Myself &amp; I</t>
  </si>
  <si>
    <t xml:space="preserve">Bad At Love</t>
  </si>
  <si>
    <t xml:space="preserve">Bad Blood</t>
  </si>
  <si>
    <t xml:space="preserve">Bad Boys (feat. Flo Rida)</t>
  </si>
  <si>
    <t xml:space="preserve">Bad Day</t>
  </si>
  <si>
    <t xml:space="preserve">The Way I Live - Main Explicit</t>
  </si>
  <si>
    <t xml:space="preserve">Bad Romance</t>
  </si>
  <si>
    <t xml:space="preserve">oui</t>
  </si>
  <si>
    <t xml:space="preserve">Bag Lady</t>
  </si>
  <si>
    <t xml:space="preserve">hip hop, R&amp;B</t>
  </si>
  <si>
    <t xml:space="preserve">Bailando - Spanish Version</t>
  </si>
  <si>
    <t xml:space="preserve">Bananza (Belly Dancer)</t>
  </si>
  <si>
    <t xml:space="preserve">Bang Bang</t>
  </si>
  <si>
    <t xml:space="preserve">Bang My Head (feat. Sia &amp; Fetty Wap)</t>
  </si>
  <si>
    <t xml:space="preserve">Bangarang (feat. Sirah)</t>
  </si>
  <si>
    <t xml:space="preserve">Bank Account</t>
  </si>
  <si>
    <t xml:space="preserve">Barbra Streisand - Radio Edit</t>
  </si>
  <si>
    <t xml:space="preserve">Bartender (feat. Akon)</t>
  </si>
  <si>
    <t xml:space="preserve">Battle Scars (feat. Lupe Fiasco)</t>
  </si>
  <si>
    <t xml:space="preserve">Battlefield</t>
  </si>
  <si>
    <t xml:space="preserve">Be Alright</t>
  </si>
  <si>
    <t xml:space="preserve">Be Faithful</t>
  </si>
  <si>
    <t xml:space="preserve">Be With You</t>
  </si>
  <si>
    <t xml:space="preserve">Be Without You - Kendu Mix</t>
  </si>
  <si>
    <t xml:space="preserve">Beat Again - Radio Edit</t>
  </si>
  <si>
    <t xml:space="preserve">Beautiful</t>
  </si>
  <si>
    <t xml:space="preserve">Beautiful Girls</t>
  </si>
  <si>
    <t xml:space="preserve">Beautiful Liar</t>
  </si>
  <si>
    <t xml:space="preserve">Beautiful Monster</t>
  </si>
  <si>
    <t xml:space="preserve">Beautiful People</t>
  </si>
  <si>
    <t xml:space="preserve">Beauty And A Beat</t>
  </si>
  <si>
    <t xml:space="preserve">Because I Got High</t>
  </si>
  <si>
    <t xml:space="preserve">Because of You</t>
  </si>
  <si>
    <t xml:space="preserve">Because Of You</t>
  </si>
  <si>
    <t xml:space="preserve">Bed</t>
  </si>
  <si>
    <t xml:space="preserve">Bed Of Lies</t>
  </si>
  <si>
    <t xml:space="preserve">BedRock</t>
  </si>
  <si>
    <t xml:space="preserve">Beep</t>
  </si>
  <si>
    <t xml:space="preserve">Before He Cheats</t>
  </si>
  <si>
    <t xml:space="preserve">pop, country</t>
  </si>
  <si>
    <t xml:space="preserve">Beggin (original version)</t>
  </si>
  <si>
    <t xml:space="preserve">Behind Blue Eyes</t>
  </si>
  <si>
    <t xml:space="preserve">Behind These Hazel Eyes</t>
  </si>
  <si>
    <t xml:space="preserve">Perfect</t>
  </si>
  <si>
    <t xml:space="preserve">Bent</t>
  </si>
  <si>
    <t xml:space="preserve">pop, rock</t>
  </si>
  <si>
    <t xml:space="preserve">Berzerk</t>
  </si>
  <si>
    <t xml:space="preserve">Best I Ever Had</t>
  </si>
  <si>
    <t xml:space="preserve">Best of You</t>
  </si>
  <si>
    <t xml:space="preserve">Best Song Ever</t>
  </si>
  <si>
    <t xml:space="preserve">Best Thing I Never Had</t>
  </si>
  <si>
    <t xml:space="preserve">Better</t>
  </si>
  <si>
    <t xml:space="preserve">Better in Time</t>
  </si>
  <si>
    <t xml:space="preserve">Better Now</t>
  </si>
  <si>
    <t xml:space="preserve">Better Off Alone</t>
  </si>
  <si>
    <t xml:space="preserve">Better Than Me</t>
  </si>
  <si>
    <t xml:space="preserve">pop, rock, metal</t>
  </si>
  <si>
    <t xml:space="preserve">BIG BANK (feat. 2 Chainz, Big Sean, Nicki Minaj)</t>
  </si>
  <si>
    <t xml:space="preserve">Big Girls Don't Cry (Personal)</t>
  </si>
  <si>
    <t xml:space="preserve">Big Green Tractor</t>
  </si>
  <si>
    <t xml:space="preserve">Big Pimpin'</t>
  </si>
  <si>
    <t xml:space="preserve">Big Yellow Taxi</t>
  </si>
  <si>
    <t xml:space="preserve">Billionaire (feat. Bruno Mars)</t>
  </si>
  <si>
    <t xml:space="preserve">Birthday Sex</t>
  </si>
  <si>
    <t xml:space="preserve">Adventure of a Lifetime</t>
  </si>
  <si>
    <t xml:space="preserve">Black &amp; Gold - Radio Edit</t>
  </si>
  <si>
    <t xml:space="preserve">Black and Yellow</t>
  </si>
  <si>
    <t xml:space="preserve">Black Beatles</t>
  </si>
  <si>
    <t xml:space="preserve">Black Betty - Edit</t>
  </si>
  <si>
    <t xml:space="preserve">Black Horse And The Cherry Tree</t>
  </si>
  <si>
    <t xml:space="preserve">World/Traditional, pop, Folk/Acoustic</t>
  </si>
  <si>
    <t xml:space="preserve">How Deep Is Your Love</t>
  </si>
  <si>
    <t xml:space="preserve">Black Skinhead</t>
  </si>
  <si>
    <t xml:space="preserve">Black Widow</t>
  </si>
  <si>
    <t xml:space="preserve">Blah Blah Blah (feat. 3OH!3)</t>
  </si>
  <si>
    <t xml:space="preserve">Blame (feat. John Newman)</t>
  </si>
  <si>
    <t xml:space="preserve">Blame It</t>
  </si>
  <si>
    <t xml:space="preserve">Blank Space</t>
  </si>
  <si>
    <t xml:space="preserve">Bleed It Out</t>
  </si>
  <si>
    <t xml:space="preserve">Bleeding Love</t>
  </si>
  <si>
    <t xml:space="preserve">Blind Faith</t>
  </si>
  <si>
    <t xml:space="preserve">Blow</t>
  </si>
  <si>
    <t xml:space="preserve">Blown Away</t>
  </si>
  <si>
    <t xml:space="preserve">Blurred Lines</t>
  </si>
  <si>
    <t xml:space="preserve">Blurry</t>
  </si>
  <si>
    <t xml:space="preserve">Boasty (feat. Idris Elba)</t>
  </si>
  <si>
    <t xml:space="preserve">Sugar (feat. Francesco Yates)</t>
  </si>
  <si>
    <t xml:space="preserve">I Don't Fuck With You</t>
  </si>
  <si>
    <t xml:space="preserve">Body (feat. brando)</t>
  </si>
  <si>
    <t xml:space="preserve">Body Party</t>
  </si>
  <si>
    <t xml:space="preserve">Bonfire Heart</t>
  </si>
  <si>
    <t xml:space="preserve">Bonkers</t>
  </si>
  <si>
    <t xml:space="preserve">Boom Boom Pow</t>
  </si>
  <si>
    <t xml:space="preserve">Boom Clap</t>
  </si>
  <si>
    <t xml:space="preserve">Bootylicious</t>
  </si>
  <si>
    <t xml:space="preserve">Bored</t>
  </si>
  <si>
    <t xml:space="preserve">Born This Way</t>
  </si>
  <si>
    <t xml:space="preserve">Born To Die</t>
  </si>
  <si>
    <t xml:space="preserve">Look Alive (feat. Drake)</t>
  </si>
  <si>
    <t xml:space="preserve">Born to Try</t>
  </si>
  <si>
    <t xml:space="preserve">Bossy</t>
  </si>
  <si>
    <t xml:space="preserve">pop, R&amp;B, Dance/Electronic</t>
  </si>
  <si>
    <t xml:space="preserve">Bottoms Up (feat. Nicki Minaj)</t>
  </si>
  <si>
    <t xml:space="preserve">Boulevard of Broken Dreams</t>
  </si>
  <si>
    <t xml:space="preserve">Bounce (feat. Kelis) - Radio Edit</t>
  </si>
  <si>
    <t xml:space="preserve">Bounce Back</t>
  </si>
  <si>
    <t xml:space="preserve">If U Seek Amy</t>
  </si>
  <si>
    <t xml:space="preserve">All I Ever Wanted - Radio Edit</t>
  </si>
  <si>
    <t xml:space="preserve">Boyfriend</t>
  </si>
  <si>
    <t xml:space="preserve">boyfriend (with Social House)</t>
  </si>
  <si>
    <t xml:space="preserve">Break Free</t>
  </si>
  <si>
    <t xml:space="preserve">Outta My System (feat. T-Pain &amp; JohntÃ¡ Austin)</t>
  </si>
  <si>
    <t xml:space="preserve">Break Up</t>
  </si>
  <si>
    <t xml:space="preserve">break up with your girlfriend, i'm bored</t>
  </si>
  <si>
    <t xml:space="preserve">Break Your Heart</t>
  </si>
  <si>
    <t xml:space="preserve">Breaking the Habit</t>
  </si>
  <si>
    <t xml:space="preserve">Breathe</t>
  </si>
  <si>
    <t xml:space="preserve">Runaway (U &amp; I)</t>
  </si>
  <si>
    <t xml:space="preserve">Breathless</t>
  </si>
  <si>
    <t xml:space="preserve">Breezeblocks</t>
  </si>
  <si>
    <t xml:space="preserve">Brianstorm</t>
  </si>
  <si>
    <t xml:space="preserve">Bring Em Out</t>
  </si>
  <si>
    <t xml:space="preserve">Bring Me To Life</t>
  </si>
  <si>
    <t xml:space="preserve">Broken Strings</t>
  </si>
  <si>
    <t xml:space="preserve">Bulletproof</t>
  </si>
  <si>
    <t xml:space="preserve">Me Against the Music (feat. Madonna) - LP Version / Video Mix</t>
  </si>
  <si>
    <t xml:space="preserve">Burn</t>
  </si>
  <si>
    <t xml:space="preserve">pop, rock, Dance/Electronic</t>
  </si>
  <si>
    <t xml:space="preserve">BURN IT DOWN</t>
  </si>
  <si>
    <t xml:space="preserve">Burnin' Up</t>
  </si>
  <si>
    <t xml:space="preserve">bury a friend</t>
  </si>
  <si>
    <t xml:space="preserve">Bust It Baby, Pt. 2 (feat. Ne-Yo)</t>
  </si>
  <si>
    <t xml:space="preserve">Butterfly</t>
  </si>
  <si>
    <t xml:space="preserve">BUTTERFLY EFFECT</t>
  </si>
  <si>
    <t xml:space="preserve">Buttons</t>
  </si>
  <si>
    <t xml:space="preserve">Buy U a Drank (Shawty Snappin') (feat. Yung Joc)</t>
  </si>
  <si>
    <t xml:space="preserve">Buzzin Remix</t>
  </si>
  <si>
    <t xml:space="preserve">By the Way</t>
  </si>
  <si>
    <t xml:space="preserve">Bye Bye Bye</t>
  </si>
  <si>
    <t xml:space="preserve">Where Are Ãœ Now (with Justin Bieber)</t>
  </si>
  <si>
    <t xml:space="preserve">California Gurls</t>
  </si>
  <si>
    <t xml:space="preserve">Call Me Maybe</t>
  </si>
  <si>
    <t xml:space="preserve">Call Me When You're Sober</t>
  </si>
  <si>
    <t xml:space="preserve">Call on Me - Radio Mix</t>
  </si>
  <si>
    <t xml:space="preserve">Bitch Better Have My Money</t>
  </si>
  <si>
    <t xml:space="preserve">Call Out My Name</t>
  </si>
  <si>
    <t xml:space="preserve">Callaita</t>
  </si>
  <si>
    <t xml:space="preserve">latin</t>
  </si>
  <si>
    <t xml:space="preserve">I Know What You Did Last Summer</t>
  </si>
  <si>
    <t xml:space="preserve">Candy</t>
  </si>
  <si>
    <t xml:space="preserve">Candy Shop</t>
  </si>
  <si>
    <t xml:space="preserve">Candyman</t>
  </si>
  <si>
    <t xml:space="preserve">Can't Be Tamed</t>
  </si>
  <si>
    <t xml:space="preserve">Can't Believe It (feat. Lil' Wayne)</t>
  </si>
  <si>
    <t xml:space="preserve">Roses</t>
  </si>
  <si>
    <t xml:space="preserve">Can't Fight The Moonlight</t>
  </si>
  <si>
    <t xml:space="preserve">Can't Get You out of My Head</t>
  </si>
  <si>
    <t xml:space="preserve">Can't Help but Wait</t>
  </si>
  <si>
    <t xml:space="preserve">Can't Hold Us (feat. Ray Dalton)</t>
  </si>
  <si>
    <t xml:space="preserve">Can't Hold Us Down (feat. Lil' Kim)</t>
  </si>
  <si>
    <t xml:space="preserve">Can't Let You Go (feat. Mike Shorey &amp; Lil' Mo)</t>
  </si>
  <si>
    <t xml:space="preserve">Can't Stop</t>
  </si>
  <si>
    <t xml:space="preserve">Worth It (feat. Kid Ink)</t>
  </si>
  <si>
    <t xml:space="preserve">Can't Tell Me Nothing</t>
  </si>
  <si>
    <t xml:space="preserve">Carry Out (Featuring Justin Timberlake)</t>
  </si>
  <si>
    <t xml:space="preserve">Case Of The Ex (Whatcha Gonna Do)</t>
  </si>
  <si>
    <t xml:space="preserve">Cater 2 U</t>
  </si>
  <si>
    <t xml:space="preserve">Caught in the Middle</t>
  </si>
  <si>
    <t xml:space="preserve">Caught Up</t>
  </si>
  <si>
    <t xml:space="preserve">Please Don't Go</t>
  </si>
  <si>
    <t xml:space="preserve">Cha Cha Slide - Hardino Mix</t>
  </si>
  <si>
    <t xml:space="preserve">Chain Hang Low</t>
  </si>
  <si>
    <t xml:space="preserve">Trap Queen</t>
  </si>
  <si>
    <t xml:space="preserve">Champion (feat. Chris Brown)</t>
  </si>
  <si>
    <t xml:space="preserve">Chandelier</t>
  </si>
  <si>
    <t xml:space="preserve">Changed the Way You Kiss Me - Radio Edit</t>
  </si>
  <si>
    <t xml:space="preserve">changes</t>
  </si>
  <si>
    <t xml:space="preserve">Chasing Pavements</t>
  </si>
  <si>
    <t xml:space="preserve">Chasing The Sun</t>
  </si>
  <si>
    <t xml:space="preserve">I Don't Like It, I Love It (feat. Robin Thicke &amp; Verdine White)</t>
  </si>
  <si>
    <t xml:space="preserve">Crazy In Love (feat. Jay-Z)</t>
  </si>
  <si>
    <t xml:space="preserve">Chelsea Dagger</t>
  </si>
  <si>
    <t xml:space="preserve">Chill Bill (feat. J. Davi$ &amp; Spooks)</t>
  </si>
  <si>
    <t xml:space="preserve">China</t>
  </si>
  <si>
    <t xml:space="preserve">Five More Hours</t>
  </si>
  <si>
    <t xml:space="preserve">Circles</t>
  </si>
  <si>
    <t xml:space="preserve">I Wanna Go</t>
  </si>
  <si>
    <t xml:space="preserve">Clarity</t>
  </si>
  <si>
    <t xml:space="preserve">Classic</t>
  </si>
  <si>
    <t xml:space="preserve">Cleanin' Out My Closet</t>
  </si>
  <si>
    <t xml:space="preserve">Clint Eastwood</t>
  </si>
  <si>
    <t xml:space="preserve">Clocks</t>
  </si>
  <si>
    <t xml:space="preserve">Close</t>
  </si>
  <si>
    <t xml:space="preserve">Closer</t>
  </si>
  <si>
    <t xml:space="preserve">Confident</t>
  </si>
  <si>
    <t xml:space="preserve">Clout (feat. Cardi B)</t>
  </si>
  <si>
    <t xml:space="preserve">Club Can't Handle Me (feat. David Guetta)</t>
  </si>
  <si>
    <t xml:space="preserve">Clumsy</t>
  </si>
  <si>
    <t xml:space="preserve">C'Mon</t>
  </si>
  <si>
    <t xml:space="preserve">CoCo</t>
  </si>
  <si>
    <t xml:space="preserve">Kill Em With Kindness</t>
  </si>
  <si>
    <t xml:space="preserve">Cold as Ice</t>
  </si>
  <si>
    <t xml:space="preserve">Cold Water (feat. Justin Bieber &amp; MÃ˜)</t>
  </si>
  <si>
    <t xml:space="preserve">Collard Greens</t>
  </si>
  <si>
    <t xml:space="preserve">Come &amp; Get It</t>
  </si>
  <si>
    <t xml:space="preserve">Come on over Baby (All I Want Is You) - Radio Version</t>
  </si>
  <si>
    <t xml:space="preserve">Come to Me (feat. Nicole Scherzinger)</t>
  </si>
  <si>
    <t xml:space="preserve">Come With Me - Radio Edit</t>
  </si>
  <si>
    <t xml:space="preserve">Comfortably Numb</t>
  </si>
  <si>
    <t xml:space="preserve">Coming Home</t>
  </si>
  <si>
    <t xml:space="preserve">Commander</t>
  </si>
  <si>
    <t xml:space="preserve">Complicated</t>
  </si>
  <si>
    <t xml:space="preserve">Con Calma</t>
  </si>
  <si>
    <t xml:space="preserve">My Way (feat. Monty)</t>
  </si>
  <si>
    <t xml:space="preserve">Shine</t>
  </si>
  <si>
    <t xml:space="preserve">Control Myself</t>
  </si>
  <si>
    <t xml:space="preserve">Cookie Jar (feat. The-Dream)</t>
  </si>
  <si>
    <t xml:space="preserve">Cool</t>
  </si>
  <si>
    <t xml:space="preserve">Cool for the Summer</t>
  </si>
  <si>
    <t xml:space="preserve">Cool Girl</t>
  </si>
  <si>
    <t xml:space="preserve">Cool Kids</t>
  </si>
  <si>
    <t xml:space="preserve">Cooler Than Me - Single Mix</t>
  </si>
  <si>
    <t xml:space="preserve">CorazÃ³n (feat. Nego do Borel)</t>
  </si>
  <si>
    <t xml:space="preserve">Counting Stars</t>
  </si>
  <si>
    <t xml:space="preserve">Country Grammar (Hot Shit)</t>
  </si>
  <si>
    <t xml:space="preserve">Crack A Bottle</t>
  </si>
  <si>
    <t xml:space="preserve">Crank That (Soulja Boy)</t>
  </si>
  <si>
    <t xml:space="preserve">Crash and Burn</t>
  </si>
  <si>
    <t xml:space="preserve">Crazy</t>
  </si>
  <si>
    <t xml:space="preserve">Electric Love</t>
  </si>
  <si>
    <t xml:space="preserve">We Come 1 - Radio Edit</t>
  </si>
  <si>
    <t xml:space="preserve">Cross Me (feat. Chance the Rapper &amp; PnB Rock)</t>
  </si>
  <si>
    <t xml:space="preserve">Crossroads - Radio Edit</t>
  </si>
  <si>
    <t xml:space="preserve">Cruel Summer</t>
  </si>
  <si>
    <t xml:space="preserve">Cruise</t>
  </si>
  <si>
    <t xml:space="preserve">Crush</t>
  </si>
  <si>
    <t xml:space="preserve">Cry for You</t>
  </si>
  <si>
    <t xml:space="preserve">Cry Me a River</t>
  </si>
  <si>
    <t xml:space="preserve">Cupid's Chokehold / Breakfast in America - Radio Mix</t>
  </si>
  <si>
    <t xml:space="preserve">Daddy Issues</t>
  </si>
  <si>
    <t xml:space="preserve">Dakota</t>
  </si>
  <si>
    <t xml:space="preserve">Damaged</t>
  </si>
  <si>
    <t xml:space="preserve">Damn! (feat. Lil' Jon) - Club Mix</t>
  </si>
  <si>
    <t xml:space="preserve">Dance Again</t>
  </si>
  <si>
    <t xml:space="preserve">Dance Monkey</t>
  </si>
  <si>
    <t xml:space="preserve">Dance with Me</t>
  </si>
  <si>
    <t xml:space="preserve">Dance Wiv Me - Radio Edit</t>
  </si>
  <si>
    <t xml:space="preserve">Dance, Dance</t>
  </si>
  <si>
    <t xml:space="preserve">Dancing On My Own</t>
  </si>
  <si>
    <t xml:space="preserve">Dancing With A Stranger (with Normani)</t>
  </si>
  <si>
    <t xml:space="preserve">Danger! High Voltage - Soulchild Radio Mix</t>
  </si>
  <si>
    <t xml:space="preserve">Dangerous</t>
  </si>
  <si>
    <t xml:space="preserve">Dangerous Woman</t>
  </si>
  <si>
    <t xml:space="preserve">Dangerously</t>
  </si>
  <si>
    <t xml:space="preserve">Dani California</t>
  </si>
  <si>
    <t xml:space="preserve">Danza Kuduro (feat. Don Omar)</t>
  </si>
  <si>
    <t xml:space="preserve">DARE</t>
  </si>
  <si>
    <t xml:space="preserve">Dark Horse</t>
  </si>
  <si>
    <t xml:space="preserve">Day 'N' Nite (Nightmare)</t>
  </si>
  <si>
    <t xml:space="preserve">Daylight</t>
  </si>
  <si>
    <t xml:space="preserve">Days Go By</t>
  </si>
  <si>
    <t xml:space="preserve">Dead And Gone</t>
  </si>
  <si>
    <t xml:space="preserve">Dear Darlin'</t>
  </si>
  <si>
    <t xml:space="preserve">Dear Maria, Count Me In</t>
  </si>
  <si>
    <t xml:space="preserve">Deja Vu (feat. Jay-Z)</t>
  </si>
  <si>
    <t xml:space="preserve">Demons</t>
  </si>
  <si>
    <t xml:space="preserve">Desert Rose</t>
  </si>
  <si>
    <t xml:space="preserve">One Last Breath - Radio Version</t>
  </si>
  <si>
    <t xml:space="preserve">Destination Calabria - Radio Edit</t>
  </si>
  <si>
    <t xml:space="preserve">Deuces (feat. Tyga &amp; Kevin McCall)</t>
  </si>
  <si>
    <t xml:space="preserve">Diamonds</t>
  </si>
  <si>
    <t xml:space="preserve">Diamonds From Sierra Leone - Remix</t>
  </si>
  <si>
    <t xml:space="preserve">Diary (feat. Tony! Toni! Tone! &amp; Jermaine Paul)</t>
  </si>
  <si>
    <t xml:space="preserve">Die Another Day</t>
  </si>
  <si>
    <t xml:space="preserve">Die Young</t>
  </si>
  <si>
    <t xml:space="preserve">Differences</t>
  </si>
  <si>
    <t xml:space="preserve">Dilemma</t>
  </si>
  <si>
    <t xml:space="preserve">Dip It Low</t>
  </si>
  <si>
    <t xml:space="preserve">Dirrty (feat. Redman)</t>
  </si>
  <si>
    <t xml:space="preserve">Dirt Off Your Shoulder</t>
  </si>
  <si>
    <t xml:space="preserve">Dirt Road Anthem</t>
  </si>
  <si>
    <t xml:space="preserve">Dirty Little Secret</t>
  </si>
  <si>
    <t xml:space="preserve">Disco Inferno</t>
  </si>
  <si>
    <t xml:space="preserve">Disturbia</t>
  </si>
  <si>
    <t xml:space="preserve">DJ Got Us Fallin' In Love (feat. Pitbull)</t>
  </si>
  <si>
    <t xml:space="preserve">DNA.</t>
  </si>
  <si>
    <t xml:space="preserve">Do I Wanna Know?</t>
  </si>
  <si>
    <t xml:space="preserve">Do It Again</t>
  </si>
  <si>
    <t xml:space="preserve">Do It Like A Dude</t>
  </si>
  <si>
    <t xml:space="preserve">Do It To It</t>
  </si>
  <si>
    <t xml:space="preserve">do re mi</t>
  </si>
  <si>
    <t xml:space="preserve">Do You Know? (The Ping Pong Song)</t>
  </si>
  <si>
    <t xml:space="preserve">Do You Really Like It? - Radio Edit</t>
  </si>
  <si>
    <t xml:space="preserve">Do You Remember</t>
  </si>
  <si>
    <t xml:space="preserve">Do You Want To</t>
  </si>
  <si>
    <t xml:space="preserve">Doesn't Really Matter</t>
  </si>
  <si>
    <t xml:space="preserve">Doin' Time</t>
  </si>
  <si>
    <t xml:space="preserve">Domino</t>
  </si>
  <si>
    <t xml:space="preserve">Donald Trump</t>
  </si>
  <si>
    <t xml:space="preserve">Done for Me (feat. Kehlani)</t>
  </si>
  <si>
    <t xml:space="preserve">Don't</t>
  </si>
  <si>
    <t xml:space="preserve">Don't Call Me Baby</t>
  </si>
  <si>
    <t xml:space="preserve">Don't Call Me Up</t>
  </si>
  <si>
    <t xml:space="preserve">Don't Cha</t>
  </si>
  <si>
    <t xml:space="preserve">Don't Forget About Us - Radio Edit</t>
  </si>
  <si>
    <t xml:space="preserve">Ghost Town</t>
  </si>
  <si>
    <t xml:space="preserve">Don't Hold Your Breath</t>
  </si>
  <si>
    <t xml:space="preserve">Sweet Lovin' - Radio Edit</t>
  </si>
  <si>
    <t xml:space="preserve">Don't Let Me Get Me - Radio Edit</t>
  </si>
  <si>
    <t xml:space="preserve">Work B**ch</t>
  </si>
  <si>
    <t xml:space="preserve">Don't Love You No More (I'm Sorry)</t>
  </si>
  <si>
    <t xml:space="preserve">Don't Matter</t>
  </si>
  <si>
    <t xml:space="preserve">Don't Mind</t>
  </si>
  <si>
    <t xml:space="preserve">Pompeii</t>
  </si>
  <si>
    <t xml:space="preserve">Don't Start Now</t>
  </si>
  <si>
    <t xml:space="preserve">Don't Stop Movin'</t>
  </si>
  <si>
    <t xml:space="preserve">Don't Stop The Music</t>
  </si>
  <si>
    <t xml:space="preserve">Don't Stop the Party (feat. TJR)</t>
  </si>
  <si>
    <t xml:space="preserve">hip hop, pop, latin</t>
  </si>
  <si>
    <t xml:space="preserve">Don't Tell 'Em</t>
  </si>
  <si>
    <t xml:space="preserve">Don't Tell Me</t>
  </si>
  <si>
    <t xml:space="preserve">Don't Think I'm Not</t>
  </si>
  <si>
    <t xml:space="preserve">Don't Wake Me Up</t>
  </si>
  <si>
    <t xml:space="preserve">Don't Wanna Go Home</t>
  </si>
  <si>
    <t xml:space="preserve">Don't Wanna Know (feat. Kendrick Lamar)</t>
  </si>
  <si>
    <t xml:space="preserve">Don't Wanna Try</t>
  </si>
  <si>
    <t xml:space="preserve">Don't You Worry Child - Radio Edit</t>
  </si>
  <si>
    <t xml:space="preserve">DONTTRUSTME</t>
  </si>
  <si>
    <t xml:space="preserve">hip hop, pop, rock</t>
  </si>
  <si>
    <t xml:space="preserve">Down</t>
  </si>
  <si>
    <t xml:space="preserve">Down 4 U</t>
  </si>
  <si>
    <t xml:space="preserve">Down On Me</t>
  </si>
  <si>
    <t xml:space="preserve">Down With The Trumpets</t>
  </si>
  <si>
    <t xml:space="preserve">Drag Me Down</t>
  </si>
  <si>
    <t xml:space="preserve">Dragostea Din Tei</t>
  </si>
  <si>
    <t xml:space="preserve">Drinking from the Bottle (feat. Tinie Tempah)</t>
  </si>
  <si>
    <t xml:space="preserve">Drive By</t>
  </si>
  <si>
    <t xml:space="preserve">Drop It Like It's Hot</t>
  </si>
  <si>
    <t xml:space="preserve">Drops of Jupiter (Tell Me)</t>
  </si>
  <si>
    <t xml:space="preserve">Never Forget You</t>
  </si>
  <si>
    <t xml:space="preserve">Drunk in Love (feat. Jay-Z)</t>
  </si>
  <si>
    <t xml:space="preserve">DUELE EL CORAZON (feat. Wisin)</t>
  </si>
  <si>
    <t xml:space="preserve">Black Magic</t>
  </si>
  <si>
    <t xml:space="preserve">Dusk Till Dawn (feat. Sia) - Radio Edit</t>
  </si>
  <si>
    <t xml:space="preserve">Dynamite</t>
  </si>
  <si>
    <t xml:space="preserve">E.T.</t>
  </si>
  <si>
    <t xml:space="preserve">EARFQUAKE</t>
  </si>
  <si>
    <t xml:space="preserve">Earned It (Fifty Shades Of Grey) - From The "Fifty Shades Of Grey" Soundtrack</t>
  </si>
  <si>
    <t xml:space="preserve">Earthquake (feat. Tinie Tempah)</t>
  </si>
  <si>
    <t xml:space="preserve">Easier</t>
  </si>
  <si>
    <t xml:space="preserve">Eastside (with Halsey &amp; Khalid)</t>
  </si>
  <si>
    <t xml:space="preserve">I Gotta Feeling</t>
  </si>
  <si>
    <t xml:space="preserve">Eenie Meenie</t>
  </si>
  <si>
    <t xml:space="preserve">Good For You</t>
  </si>
  <si>
    <t xml:space="preserve">Elastic Heart</t>
  </si>
  <si>
    <t xml:space="preserve">I Want You To Know</t>
  </si>
  <si>
    <t xml:space="preserve">emotions</t>
  </si>
  <si>
    <t xml:space="preserve">Empire State Of Mind</t>
  </si>
  <si>
    <t xml:space="preserve">Empire State of Mind (Part II) Broken Down</t>
  </si>
  <si>
    <t xml:space="preserve">Escape</t>
  </si>
  <si>
    <t xml:space="preserve">Eternal Flame - Single Version</t>
  </si>
  <si>
    <t xml:space="preserve">Eternity</t>
  </si>
  <si>
    <t xml:space="preserve">Evacuate The Dancefloor</t>
  </si>
  <si>
    <t xml:space="preserve">Every Teardrop Is a Waterfall</t>
  </si>
  <si>
    <t xml:space="preserve">Everybody in Love</t>
  </si>
  <si>
    <t xml:space="preserve">In The Night</t>
  </si>
  <si>
    <t xml:space="preserve">Everyday I Love You Less And Less</t>
  </si>
  <si>
    <t xml:space="preserve">Everytime</t>
  </si>
  <si>
    <t xml:space="preserve">Everytime We Touch - Radio Edit</t>
  </si>
  <si>
    <t xml:space="preserve">Everytime You Need Me - Radio Version</t>
  </si>
  <si>
    <t xml:space="preserve">Exchange</t>
  </si>
  <si>
    <t xml:space="preserve">Excuse Me Miss</t>
  </si>
  <si>
    <t xml:space="preserve">Eyes On You - Radio Mix</t>
  </si>
  <si>
    <t xml:space="preserve">F**kin' Perfect</t>
  </si>
  <si>
    <t xml:space="preserve">F**kin' Problems (feat. Drake, 2 Chainz &amp; Kendrick Lamar)</t>
  </si>
  <si>
    <t xml:space="preserve">Face Down</t>
  </si>
  <si>
    <t xml:space="preserve">Faded</t>
  </si>
  <si>
    <t xml:space="preserve">Faint</t>
  </si>
  <si>
    <t xml:space="preserve">Fake It</t>
  </si>
  <si>
    <t xml:space="preserve">Family Affair</t>
  </si>
  <si>
    <t xml:space="preserve">Fancy</t>
  </si>
  <si>
    <t xml:space="preserve">Far Away</t>
  </si>
  <si>
    <t xml:space="preserve">Fast Car</t>
  </si>
  <si>
    <t xml:space="preserve">Feel Good Inc.</t>
  </si>
  <si>
    <t xml:space="preserve">Feel So Close - Radio Edit</t>
  </si>
  <si>
    <t xml:space="preserve">Feel the Love (feat. John Newman)</t>
  </si>
  <si>
    <t xml:space="preserve">Feel This Moment (feat. Christina Aguilera)</t>
  </si>
  <si>
    <t xml:space="preserve">King</t>
  </si>
  <si>
    <t xml:space="preserve">FEFE</t>
  </si>
  <si>
    <t xml:space="preserve">Fergalicious</t>
  </si>
  <si>
    <t xml:space="preserve">Fetish (feat. Gucci Mane)</t>
  </si>
  <si>
    <t xml:space="preserve">Fight For This Love</t>
  </si>
  <si>
    <t xml:space="preserve">Fighter</t>
  </si>
  <si>
    <t xml:space="preserve">Fill Me In</t>
  </si>
  <si>
    <t xml:space="preserve">Lush Life</t>
  </si>
  <si>
    <t xml:space="preserve">Find Your Love</t>
  </si>
  <si>
    <t xml:space="preserve">Fine China</t>
  </si>
  <si>
    <t xml:space="preserve">On My Mind</t>
  </si>
  <si>
    <t xml:space="preserve">Fire</t>
  </si>
  <si>
    <t xml:space="preserve">Fire Burning</t>
  </si>
  <si>
    <t xml:space="preserve">Fireflies</t>
  </si>
  <si>
    <t xml:space="preserve">Firestone</t>
  </si>
  <si>
    <t xml:space="preserve">Firework</t>
  </si>
  <si>
    <t xml:space="preserve">Fit but You Know It</t>
  </si>
  <si>
    <t xml:space="preserve">goosebumps</t>
  </si>
  <si>
    <t xml:space="preserve">Flames</t>
  </si>
  <si>
    <t xml:space="preserve">Flashing Lights</t>
  </si>
  <si>
    <t xml:space="preserve">Flex (Ooh, Ooh, Ooh)</t>
  </si>
  <si>
    <t xml:space="preserve">Foolish</t>
  </si>
  <si>
    <t xml:space="preserve">Congratulations</t>
  </si>
  <si>
    <t xml:space="preserve">Forever</t>
  </si>
  <si>
    <t xml:space="preserve">Forgot About Dre</t>
  </si>
  <si>
    <t xml:space="preserve">Freak Like Me</t>
  </si>
  <si>
    <t xml:space="preserve">Freaky Friday (feat. Chris Brown)</t>
  </si>
  <si>
    <t xml:space="preserve">Freek-A-Leek</t>
  </si>
  <si>
    <t xml:space="preserve">Hey Mama</t>
  </si>
  <si>
    <t xml:space="preserve">Let Me Love You</t>
  </si>
  <si>
    <t xml:space="preserve">Friends (with BloodPopÂ®)</t>
  </si>
  <si>
    <t xml:space="preserve">From Paris to Berlin</t>
  </si>
  <si>
    <t xml:space="preserve">Frontin' (feat. Jay-Z) - Club Mix</t>
  </si>
  <si>
    <t xml:space="preserve">Fuck It (I Don't Want You Back)</t>
  </si>
  <si>
    <t xml:space="preserve">U Make Me Wanna - Radio Edit</t>
  </si>
  <si>
    <t xml:space="preserve">Galvanize</t>
  </si>
  <si>
    <t xml:space="preserve">Gangnam Style (ê°•ë‚¨ìŠ¤íƒ€ì¼)</t>
  </si>
  <si>
    <t xml:space="preserve">Gangsta Lovin'</t>
  </si>
  <si>
    <t xml:space="preserve">Gasolina</t>
  </si>
  <si>
    <t xml:space="preserve">GDFR (feat. Sage the Gemini &amp; Lookas)</t>
  </si>
  <si>
    <t xml:space="preserve">Gecko (Overdrive) - Radio Edit</t>
  </si>
  <si>
    <t xml:space="preserve">German</t>
  </si>
  <si>
    <t xml:space="preserve">Geronimo</t>
  </si>
  <si>
    <t xml:space="preserve">Get Back</t>
  </si>
  <si>
    <t xml:space="preserve">Get Busy</t>
  </si>
  <si>
    <t xml:space="preserve">Get It On Tonite</t>
  </si>
  <si>
    <t xml:space="preserve">Get It Poppin' (feat. Nelly) - Radio Version</t>
  </si>
  <si>
    <t xml:space="preserve">Get It Shawty</t>
  </si>
  <si>
    <t xml:space="preserve">Get Low</t>
  </si>
  <si>
    <t xml:space="preserve">Get Lucky (feat. Pharrell Williams &amp; Nile Rodgers) - Radio Edit</t>
  </si>
  <si>
    <t xml:space="preserve">Get Right</t>
  </si>
  <si>
    <t xml:space="preserve">Get the Party Started</t>
  </si>
  <si>
    <t xml:space="preserve">Get Up (feat. Chamillionaire)</t>
  </si>
  <si>
    <t xml:space="preserve">Bump, Bump, Bump (feat. P. Diddy)</t>
  </si>
  <si>
    <t xml:space="preserve">Get Ur Freak On</t>
  </si>
  <si>
    <t xml:space="preserve">Gettin' Over You (feat. Fergie &amp; LMFAO)</t>
  </si>
  <si>
    <t xml:space="preserve">Ghetto Gospel</t>
  </si>
  <si>
    <t xml:space="preserve">Ghost</t>
  </si>
  <si>
    <t xml:space="preserve">Cake By The Ocean</t>
  </si>
  <si>
    <t xml:space="preserve">Giant (with Rag'n'Bone Man)</t>
  </si>
  <si>
    <t xml:space="preserve">Gimme More</t>
  </si>
  <si>
    <t xml:space="preserve">Gimme That</t>
  </si>
  <si>
    <t xml:space="preserve">Gimme the Light</t>
  </si>
  <si>
    <t xml:space="preserve">Girl</t>
  </si>
  <si>
    <t xml:space="preserve">Girlfriend</t>
  </si>
  <si>
    <t xml:space="preserve">Girls Like (feat. Zara Larsson)</t>
  </si>
  <si>
    <t xml:space="preserve">Girls Like You (feat. Cardi B) - Cardi B Version</t>
  </si>
  <si>
    <t xml:space="preserve">Give It 2 Me</t>
  </si>
  <si>
    <t xml:space="preserve">Give It To Me</t>
  </si>
  <si>
    <t xml:space="preserve">Give Me Everything (feat. Ne-Yo, Afrojack &amp; Nayer)</t>
  </si>
  <si>
    <t xml:space="preserve">Give Your Heart a Break</t>
  </si>
  <si>
    <t xml:space="preserve">Glad You Came</t>
  </si>
  <si>
    <t xml:space="preserve">Glamorous</t>
  </si>
  <si>
    <t xml:space="preserve">Don't Let Me Down</t>
  </si>
  <si>
    <t xml:space="preserve">Go Let It Out</t>
  </si>
  <si>
    <t xml:space="preserve">Folk/Acoustic, rock</t>
  </si>
  <si>
    <t xml:space="preserve">God is a woman</t>
  </si>
  <si>
    <t xml:space="preserve">God's Plan</t>
  </si>
  <si>
    <t xml:space="preserve">Going Bad (feat. Drake)</t>
  </si>
  <si>
    <t xml:space="preserve">Gold</t>
  </si>
  <si>
    <t xml:space="preserve">rock, pop, Dance/Electronic</t>
  </si>
  <si>
    <t xml:space="preserve">Gold Digger</t>
  </si>
  <si>
    <t xml:space="preserve">Gold Dust - Radio Edit</t>
  </si>
  <si>
    <t xml:space="preserve">Golden Skans</t>
  </si>
  <si>
    <t xml:space="preserve">Gone</t>
  </si>
  <si>
    <t xml:space="preserve">gone girl</t>
  </si>
  <si>
    <t xml:space="preserve">Good Feeling</t>
  </si>
  <si>
    <t xml:space="preserve">This Is What You Came For (feat. Rihanna)</t>
  </si>
  <si>
    <t xml:space="preserve">Good Girls Go Bad (feat. Leighton Meester)</t>
  </si>
  <si>
    <t xml:space="preserve">Sweet Dreams</t>
  </si>
  <si>
    <t xml:space="preserve">Good Life</t>
  </si>
  <si>
    <t xml:space="preserve">I Feel It Coming</t>
  </si>
  <si>
    <t xml:space="preserve">Good Luck</t>
  </si>
  <si>
    <t xml:space="preserve">Good Time</t>
  </si>
  <si>
    <t xml:space="preserve">Goodbye My Lover</t>
  </si>
  <si>
    <t xml:space="preserve">Goodbyes (Feat. Young Thug)</t>
  </si>
  <si>
    <t xml:space="preserve">Goodies (feat. Petey Pablo)</t>
  </si>
  <si>
    <t xml:space="preserve">CAN'T STOP THE FEELING! (from DreamWorks Animation's "TROLLS")</t>
  </si>
  <si>
    <t xml:space="preserve">Gossip Folks (feat. Ludacris)</t>
  </si>
  <si>
    <t xml:space="preserve">Got Money</t>
  </si>
  <si>
    <t xml:space="preserve">Gotta Be Somebody</t>
  </si>
  <si>
    <t xml:space="preserve">Gotta Get Thru This - D'N'D Radio Edit</t>
  </si>
  <si>
    <t xml:space="preserve">Gotta Tell You</t>
  </si>
  <si>
    <t xml:space="preserve">Grace Kelly</t>
  </si>
  <si>
    <t xml:space="preserve">Green Light (feat. AndrÃ© 3000)</t>
  </si>
  <si>
    <t xml:space="preserve">Grenade</t>
  </si>
  <si>
    <t xml:space="preserve">Grillz</t>
  </si>
  <si>
    <t xml:space="preserve">Grind With Me</t>
  </si>
  <si>
    <t xml:space="preserve">Gucci Gang</t>
  </si>
  <si>
    <t xml:space="preserve">GUMMO</t>
  </si>
  <si>
    <t xml:space="preserve">Habits (Stay High)</t>
  </si>
  <si>
    <t xml:space="preserve">Halfcrazy</t>
  </si>
  <si>
    <t xml:space="preserve">Hall of Fame (feat. will.i.am)</t>
  </si>
  <si>
    <t xml:space="preserve">Hallelujah</t>
  </si>
  <si>
    <t xml:space="preserve">Halo</t>
  </si>
  <si>
    <t xml:space="preserve">HandClap</t>
  </si>
  <si>
    <t xml:space="preserve">Hands Clean</t>
  </si>
  <si>
    <t xml:space="preserve">Hands on the Wheel (feat. Asap Rocky)</t>
  </si>
  <si>
    <t xml:space="preserve">Hanging By A Moment</t>
  </si>
  <si>
    <t xml:space="preserve">Scars To Your Beautiful</t>
  </si>
  <si>
    <t xml:space="preserve">Happy</t>
  </si>
  <si>
    <t xml:space="preserve">Happy - From "Despicable Me 2"</t>
  </si>
  <si>
    <t xml:space="preserve">Hard</t>
  </si>
  <si>
    <t xml:space="preserve">Harlem Shake</t>
  </si>
  <si>
    <t xml:space="preserve">Hate It Or Love It</t>
  </si>
  <si>
    <t xml:space="preserve">Havana (feat. Young Thug)</t>
  </si>
  <si>
    <t xml:space="preserve">Have You Ever</t>
  </si>
  <si>
    <t xml:space="preserve">He Can't Love U</t>
  </si>
  <si>
    <t xml:space="preserve">He Wasn't Man Enough</t>
  </si>
  <si>
    <t xml:space="preserve">Headlines</t>
  </si>
  <si>
    <t xml:space="preserve">Headsprung</t>
  </si>
  <si>
    <t xml:space="preserve">Headstrong</t>
  </si>
  <si>
    <t xml:space="preserve">Hear Me Now</t>
  </si>
  <si>
    <t xml:space="preserve">Heard It All Before</t>
  </si>
  <si>
    <t xml:space="preserve">Heart Attack</t>
  </si>
  <si>
    <t xml:space="preserve">Heart Skips a Beat (feat. Rizzle Kicks)</t>
  </si>
  <si>
    <t xml:space="preserve">Heartbreaker</t>
  </si>
  <si>
    <t xml:space="preserve">Heartbroken - Edit</t>
  </si>
  <si>
    <t xml:space="preserve">Heartless</t>
  </si>
  <si>
    <t xml:space="preserve">Heathens</t>
  </si>
  <si>
    <t xml:space="preserve">Heaven</t>
  </si>
  <si>
    <t xml:space="preserve">Heaven Is a Halfpipe (If I Die)</t>
  </si>
  <si>
    <t xml:space="preserve">Hella Good</t>
  </si>
  <si>
    <t xml:space="preserve">Hello</t>
  </si>
  <si>
    <t xml:space="preserve">Hemorrhage (In My Hands)</t>
  </si>
  <si>
    <t xml:space="preserve">rock, pop, metal</t>
  </si>
  <si>
    <t xml:space="preserve">Here</t>
  </si>
  <si>
    <t xml:space="preserve">Here Is Gone</t>
  </si>
  <si>
    <t xml:space="preserve">Here Without You</t>
  </si>
  <si>
    <t xml:space="preserve">Here's to Never Growing Up</t>
  </si>
  <si>
    <t xml:space="preserve">Hero (feat. Josey Scott)</t>
  </si>
  <si>
    <t xml:space="preserve">Heroes (we could be)</t>
  </si>
  <si>
    <t xml:space="preserve">Hey Baby</t>
  </si>
  <si>
    <t xml:space="preserve">Hey Baby (Drop It to the Floor) (feat. T-Pain)</t>
  </si>
  <si>
    <t xml:space="preserve">Hey Baby (Radio Mix)</t>
  </si>
  <si>
    <t xml:space="preserve">pop, easy listening, Dance/Electronic</t>
  </si>
  <si>
    <t xml:space="preserve">Hey Brother</t>
  </si>
  <si>
    <t xml:space="preserve">Hey Daddy (Daddy's Home)</t>
  </si>
  <si>
    <t xml:space="preserve">Ms. New Booty</t>
  </si>
  <si>
    <t xml:space="preserve">hip hop, pop, country</t>
  </si>
  <si>
    <t xml:space="preserve">Hey Mama (feat. Nicki Minaj, Bebe Rexha &amp; Afrojack)</t>
  </si>
  <si>
    <t xml:space="preserve">Hey Porsche</t>
  </si>
  <si>
    <t xml:space="preserve">Hey There Delilah</t>
  </si>
  <si>
    <t xml:space="preserve">Hey Ya!</t>
  </si>
  <si>
    <t xml:space="preserve">Hideaway</t>
  </si>
  <si>
    <t xml:space="preserve">High (feat. Nicole Millar)</t>
  </si>
  <si>
    <t xml:space="preserve">High By The Beach</t>
  </si>
  <si>
    <t xml:space="preserve">High Hopes</t>
  </si>
  <si>
    <t xml:space="preserve">Higher</t>
  </si>
  <si>
    <t xml:space="preserve">Rockabye (feat. Sean Paul &amp; Anne-Marie)</t>
  </si>
  <si>
    <t xml:space="preserve">Sucker for Pain (with Wiz Khalifa, Imagine Dragons, Logic &amp; Ty Dolla $ign feat. X Ambassadors)</t>
  </si>
  <si>
    <t xml:space="preserve">Hips Don't Lie (feat. Wyclef Jean)</t>
  </si>
  <si>
    <t xml:space="preserve">My Humps</t>
  </si>
  <si>
    <t xml:space="preserve">Hold On</t>
  </si>
  <si>
    <t xml:space="preserve">Hold On, We're Going Home</t>
  </si>
  <si>
    <t xml:space="preserve">Hole In The Head</t>
  </si>
  <si>
    <t xml:space="preserve">Holidae In</t>
  </si>
  <si>
    <t xml:space="preserve">Holiday</t>
  </si>
  <si>
    <t xml:space="preserve">Hollaback Girl</t>
  </si>
  <si>
    <t xml:space="preserve">Holy Grail</t>
  </si>
  <si>
    <t xml:space="preserve">My Way</t>
  </si>
  <si>
    <t xml:space="preserve">Homecoming</t>
  </si>
  <si>
    <t xml:space="preserve">Homemade Dynamite - REMIX</t>
  </si>
  <si>
    <t xml:space="preserve">Honey Bee</t>
  </si>
  <si>
    <t xml:space="preserve">Hot - Play &amp; Win Radio Version</t>
  </si>
  <si>
    <t xml:space="preserve">Hot Boyz</t>
  </si>
  <si>
    <t xml:space="preserve">Hot Girl Summer (feat. Nicki Minaj &amp; Ty Dolla $ign)</t>
  </si>
  <si>
    <t xml:space="preserve">Hot In Herre</t>
  </si>
  <si>
    <t xml:space="preserve">Hot N Cold</t>
  </si>
  <si>
    <t xml:space="preserve">Hot N*gga</t>
  </si>
  <si>
    <t xml:space="preserve">Hot Right Now (feat. RITA ORA) - Radio Edit</t>
  </si>
  <si>
    <t xml:space="preserve">Hotel Room Service</t>
  </si>
  <si>
    <t xml:space="preserve">Hotline Bling</t>
  </si>
  <si>
    <t xml:space="preserve">Hotter Than Hell</t>
  </si>
  <si>
    <t xml:space="preserve">How Come</t>
  </si>
  <si>
    <t xml:space="preserve">Alone</t>
  </si>
  <si>
    <t xml:space="preserve">How Do You Sleep?</t>
  </si>
  <si>
    <t xml:space="preserve">How Long</t>
  </si>
  <si>
    <t xml:space="preserve">How Low</t>
  </si>
  <si>
    <t xml:space="preserve">How to Be a Heartbreaker</t>
  </si>
  <si>
    <t xml:space="preserve">How To Love</t>
  </si>
  <si>
    <t xml:space="preserve">How to Save a Life</t>
  </si>
  <si>
    <t xml:space="preserve">How We Do</t>
  </si>
  <si>
    <t xml:space="preserve">How We Do (Party)</t>
  </si>
  <si>
    <t xml:space="preserve">How You Gonna Act Like That</t>
  </si>
  <si>
    <t xml:space="preserve">How You Remind Me</t>
  </si>
  <si>
    <t xml:space="preserve">human</t>
  </si>
  <si>
    <t xml:space="preserve">Panda</t>
  </si>
  <si>
    <t xml:space="preserve">HUMBLE.</t>
  </si>
  <si>
    <t xml:space="preserve">Hung Up</t>
  </si>
  <si>
    <t xml:space="preserve">Hurts So Good</t>
  </si>
  <si>
    <t xml:space="preserve">2 Phones</t>
  </si>
  <si>
    <t xml:space="preserve">Hypnotized (feat. Akon)</t>
  </si>
  <si>
    <t xml:space="preserve">I Believe in You</t>
  </si>
  <si>
    <t xml:space="preserve">I Bet You Look Good On The Dancefloor</t>
  </si>
  <si>
    <t xml:space="preserve">I Can</t>
  </si>
  <si>
    <t xml:space="preserve">I Could Be The One (Avicii Vs. Nicky Romero) - Radio Edit</t>
  </si>
  <si>
    <t xml:space="preserve">I Cry</t>
  </si>
  <si>
    <t xml:space="preserve">I Donâ€™t Wanna Live Forever (Fifty Shades Darker) - From "Fifty Shades Darker (Original Motion Picture Soundtrack)"</t>
  </si>
  <si>
    <t xml:space="preserve">I Don't Feel Like Dancin'</t>
  </si>
  <si>
    <t xml:space="preserve">Just Like Fire (From the Original Motion Picture "Alice Through The Looking Glass")</t>
  </si>
  <si>
    <t xml:space="preserve">The Greatest (feat. Kendrick Lamar)</t>
  </si>
  <si>
    <t xml:space="preserve">I Don't Wanna Know (feat. Enya &amp; P. Diddy) - 2016 Remaster</t>
  </si>
  <si>
    <t xml:space="preserve">This One's for You (feat. Zara Larsson) (Official Song UEFA EURO 2016)</t>
  </si>
  <si>
    <t xml:space="preserve">I Follow Rivers - The Magician Remix</t>
  </si>
  <si>
    <t xml:space="preserve">I Got U</t>
  </si>
  <si>
    <t xml:space="preserve">Nothin' on You (feat. Bruno Mars)</t>
  </si>
  <si>
    <t xml:space="preserve">I Hate Everything About You</t>
  </si>
  <si>
    <t xml:space="preserve">I Hate This Part</t>
  </si>
  <si>
    <t xml:space="preserve">i hate u, i love u (feat. olivia o'brien)</t>
  </si>
  <si>
    <t xml:space="preserve">I Just Wanna Love U (Give It 2 Me)</t>
  </si>
  <si>
    <t xml:space="preserve">I Kissed A Girl</t>
  </si>
  <si>
    <t xml:space="preserve">I Knew You Were Trouble.</t>
  </si>
  <si>
    <t xml:space="preserve">Cheap Thrills (feat. Sean Paul)</t>
  </si>
  <si>
    <t xml:space="preserve">Freestyler</t>
  </si>
  <si>
    <t xml:space="preserve">Love Generation - Radio Edit</t>
  </si>
  <si>
    <t xml:space="preserve">I Know You Want Me (Calle Ocho)</t>
  </si>
  <si>
    <t xml:space="preserve">I Like It</t>
  </si>
  <si>
    <t xml:space="preserve">Tiimmy Turner</t>
  </si>
  <si>
    <t xml:space="preserve">I Like Me Better</t>
  </si>
  <si>
    <t xml:space="preserve">I Like That</t>
  </si>
  <si>
    <t xml:space="preserve">I Like The Way - Radio Edit</t>
  </si>
  <si>
    <t xml:space="preserve">rock, Dance/Electronic</t>
  </si>
  <si>
    <t xml:space="preserve">I Love College</t>
  </si>
  <si>
    <t xml:space="preserve">I Love It</t>
  </si>
  <si>
    <t xml:space="preserve">I Love It (feat. Charli XCX)</t>
  </si>
  <si>
    <t xml:space="preserve">I Love You</t>
  </si>
  <si>
    <t xml:space="preserve">I Luv Your Girl</t>
  </si>
  <si>
    <t xml:space="preserve">I Need A Doctor</t>
  </si>
  <si>
    <t xml:space="preserve">I Need A Dollar</t>
  </si>
  <si>
    <t xml:space="preserve">I Need a Girl (Pt. 1) [feat. Usher &amp; Loon]</t>
  </si>
  <si>
    <t xml:space="preserve">I Need a Girl (Pt. 2) [feat. Loon, Ginuwine &amp; Mario Winans]</t>
  </si>
  <si>
    <t xml:space="preserve">I Need You</t>
  </si>
  <si>
    <t xml:space="preserve">I Need Your Love (feat. Ellie Goulding)</t>
  </si>
  <si>
    <t xml:space="preserve">I Predict A Riot</t>
  </si>
  <si>
    <t xml:space="preserve">I See Fire - From "The Hobbit - The Desolation Of Smaug"</t>
  </si>
  <si>
    <t xml:space="preserve">I Took A Pill In Ibiza - Seeb Remix</t>
  </si>
  <si>
    <t xml:space="preserve">I Tried</t>
  </si>
  <si>
    <t xml:space="preserve">I Turn To You</t>
  </si>
  <si>
    <t xml:space="preserve">I Turn to You</t>
  </si>
  <si>
    <t xml:space="preserve">Lucky</t>
  </si>
  <si>
    <t xml:space="preserve">I Wanna Know</t>
  </si>
  <si>
    <t xml:space="preserve">I Wanna Love You</t>
  </si>
  <si>
    <t xml:space="preserve">Final Song</t>
  </si>
  <si>
    <t xml:space="preserve">I Will Never Let You Down</t>
  </si>
  <si>
    <t xml:space="preserve">I Wish</t>
  </si>
  <si>
    <t xml:space="preserve">I Wish I Was a Punk Rocker (with Flowers in My Hair)</t>
  </si>
  <si>
    <t xml:space="preserve">World/Traditional, pop</t>
  </si>
  <si>
    <t xml:space="preserve">I Won't Let You Go</t>
  </si>
  <si>
    <t xml:space="preserve">Baby, I'm Back</t>
  </si>
  <si>
    <t xml:space="preserve">hip hop, pop, R&amp;B, latin</t>
  </si>
  <si>
    <t xml:space="preserve">I Write Sins Not Tragedies</t>
  </si>
  <si>
    <t xml:space="preserve">Ice Box</t>
  </si>
  <si>
    <t xml:space="preserve">IDGAF</t>
  </si>
  <si>
    <t xml:space="preserve">If I Could Go! (feat. Lil' Mo &amp; Sacario)</t>
  </si>
  <si>
    <t xml:space="preserve">If I Die Young</t>
  </si>
  <si>
    <t xml:space="preserve">If I Were a Boy</t>
  </si>
  <si>
    <t xml:space="preserve">If There's Any Justice</t>
  </si>
  <si>
    <t xml:space="preserve">If Today Was Your Last Day</t>
  </si>
  <si>
    <t xml:space="preserve">If Tomorrow Never Comes</t>
  </si>
  <si>
    <t xml:space="preserve">Oops!...I Did It Again</t>
  </si>
  <si>
    <t xml:space="preserve">If We Ever Meet Again (Featuring Katy Perry)</t>
  </si>
  <si>
    <t xml:space="preserve">Don't Lie</t>
  </si>
  <si>
    <t xml:space="preserve">If You're Not The One</t>
  </si>
  <si>
    <t xml:space="preserve">Treasure</t>
  </si>
  <si>
    <t xml:space="preserve">I'm a Thug</t>
  </si>
  <si>
    <t xml:space="preserve">I'm Gonna Be Alright (feat. Nas)</t>
  </si>
  <si>
    <t xml:space="preserve">All In My Head (Flex) (feat. Fetty Wap)</t>
  </si>
  <si>
    <t xml:space="preserve">I'm Like A Bird</t>
  </si>
  <si>
    <t xml:space="preserve">I'm N Luv (Wit a Stripper) (feat. Mike Jones)</t>
  </si>
  <si>
    <t xml:space="preserve">I'm Not a Girl, Not Yet a Woman</t>
  </si>
  <si>
    <t xml:space="preserve">I'm Not Alone - Radio Edit</t>
  </si>
  <si>
    <t xml:space="preserve">I'm On One</t>
  </si>
  <si>
    <t xml:space="preserve">I'm Outta Love - Radio Edit</t>
  </si>
  <si>
    <t xml:space="preserve">I'm Real (feat. Ja Rule) - Murder Remix</t>
  </si>
  <si>
    <t xml:space="preserve">i'm so tired...</t>
  </si>
  <si>
    <t xml:space="preserve">I'm Sprung</t>
  </si>
  <si>
    <t xml:space="preserve">I'm Still in Love with You (feat. Sasha)</t>
  </si>
  <si>
    <t xml:space="preserve">I'm Upset</t>
  </si>
  <si>
    <t xml:space="preserve">I'm with You</t>
  </si>
  <si>
    <t xml:space="preserve">Imma Be</t>
  </si>
  <si>
    <t xml:space="preserve">Impossible</t>
  </si>
  <si>
    <t xml:space="preserve">In Da Club</t>
  </si>
  <si>
    <t xml:space="preserve">In For The Kill</t>
  </si>
  <si>
    <t xml:space="preserve">In Love With a Girl</t>
  </si>
  <si>
    <t xml:space="preserve">In My Feelings</t>
  </si>
  <si>
    <t xml:space="preserve">In My Head</t>
  </si>
  <si>
    <t xml:space="preserve">In My Mind</t>
  </si>
  <si>
    <t xml:space="preserve">In My Place</t>
  </si>
  <si>
    <t xml:space="preserve">In The Dark</t>
  </si>
  <si>
    <t xml:space="preserve">In the End</t>
  </si>
  <si>
    <t xml:space="preserve">In The Morning</t>
  </si>
  <si>
    <t xml:space="preserve">In the Name of Love</t>
  </si>
  <si>
    <t xml:space="preserve">Tears (feat. Louisa Johnson)</t>
  </si>
  <si>
    <t xml:space="preserve">In the Shadows</t>
  </si>
  <si>
    <t xml:space="preserve">In Those Jeans</t>
  </si>
  <si>
    <t xml:space="preserve">In Your Eyes</t>
  </si>
  <si>
    <t xml:space="preserve">Incomplete</t>
  </si>
  <si>
    <t xml:space="preserve">Independent Women, Pt. 1</t>
  </si>
  <si>
    <t xml:space="preserve">Infinity 2008</t>
  </si>
  <si>
    <t xml:space="preserve">International Love (feat. Chris Brown)</t>
  </si>
  <si>
    <t xml:space="preserve">Into the Night (feat. Chad Kroeger)</t>
  </si>
  <si>
    <t xml:space="preserve">rock, blues, latin</t>
  </si>
  <si>
    <t xml:space="preserve">PILLOWTALK</t>
  </si>
  <si>
    <t xml:space="preserve">Into You (feat. Tamia)</t>
  </si>
  <si>
    <t xml:space="preserve">Intoxicated - New Radio Mix</t>
  </si>
  <si>
    <t xml:space="preserve">Intro</t>
  </si>
  <si>
    <t xml:space="preserve">Circus</t>
  </si>
  <si>
    <t xml:space="preserve">Irresistible</t>
  </si>
  <si>
    <t xml:space="preserve">Is It Any Wonder?</t>
  </si>
  <si>
    <t xml:space="preserve">It Ain't Me (with Selena Gomez)</t>
  </si>
  <si>
    <t xml:space="preserve">It Feels So Good</t>
  </si>
  <si>
    <t xml:space="preserve">It Girl</t>
  </si>
  <si>
    <t xml:space="preserve">It Wasn't Me</t>
  </si>
  <si>
    <t xml:space="preserve">It Will Rain</t>
  </si>
  <si>
    <t xml:space="preserve">It's A Vibe</t>
  </si>
  <si>
    <t xml:space="preserve">It's Been Awhile</t>
  </si>
  <si>
    <t xml:space="preserve">It's Goin' Down (feat. Nitti)</t>
  </si>
  <si>
    <t xml:space="preserve">It's Gonna Be Me</t>
  </si>
  <si>
    <t xml:space="preserve">It's Like That</t>
  </si>
  <si>
    <t xml:space="preserve">It's My Life</t>
  </si>
  <si>
    <t xml:space="preserve">It's Not My Time</t>
  </si>
  <si>
    <t xml:space="preserve">The Girl Is Mine</t>
  </si>
  <si>
    <t xml:space="preserve">It's Over Now</t>
  </si>
  <si>
    <t xml:space="preserve">It's Raining Men</t>
  </si>
  <si>
    <t xml:space="preserve">It's the Way You Make Me Feel</t>
  </si>
  <si>
    <t xml:space="preserve">Izzo (H.O.V.A.)</t>
  </si>
  <si>
    <t xml:space="preserve">Shake Ya Tailfeather (feat. P. Diddy &amp; Murphy Lee) - 2016 Remaster</t>
  </si>
  <si>
    <t xml:space="preserve">Jai Ho! (You Are My Destiny)</t>
  </si>
  <si>
    <t xml:space="preserve">Jar of Hearts</t>
  </si>
  <si>
    <t xml:space="preserve">Jealous - Remix</t>
  </si>
  <si>
    <t xml:space="preserve">Jenny from the Block (feat. Jadakiss &amp; Styles P.) - Track Masters Remix</t>
  </si>
  <si>
    <t xml:space="preserve">Jesus Walks</t>
  </si>
  <si>
    <t xml:space="preserve">Jocelyn Flores</t>
  </si>
  <si>
    <t xml:space="preserve">Jubel - Radio Edit</t>
  </si>
  <si>
    <t xml:space="preserve">Juicy</t>
  </si>
  <si>
    <t xml:space="preserve">Juju on That Beat (TZ Anthem)</t>
  </si>
  <si>
    <t xml:space="preserve">Jumanji</t>
  </si>
  <si>
    <t xml:space="preserve">Jump</t>
  </si>
  <si>
    <t xml:space="preserve">Jumpin', Jumpin'</t>
  </si>
  <si>
    <t xml:space="preserve">Jumpman</t>
  </si>
  <si>
    <t xml:space="preserve">Just A Dream</t>
  </si>
  <si>
    <t xml:space="preserve">Just A Kiss</t>
  </si>
  <si>
    <t xml:space="preserve">Just A Lil Bit</t>
  </si>
  <si>
    <t xml:space="preserve">Just A Little</t>
  </si>
  <si>
    <t xml:space="preserve">Just Canâ€™t Get Enough</t>
  </si>
  <si>
    <t xml:space="preserve">Just Dance</t>
  </si>
  <si>
    <t xml:space="preserve">Just Fine</t>
  </si>
  <si>
    <t xml:space="preserve">Just Hold On</t>
  </si>
  <si>
    <t xml:space="preserve">Call on Me - Ryan Riback Remix</t>
  </si>
  <si>
    <t xml:space="preserve">Just Lose It</t>
  </si>
  <si>
    <t xml:space="preserve">Just the Way You Are</t>
  </si>
  <si>
    <t xml:space="preserve">Karma</t>
  </si>
  <si>
    <t xml:space="preserve">Keisha &amp; Becky - Remix</t>
  </si>
  <si>
    <t xml:space="preserve">Kickstarts</t>
  </si>
  <si>
    <t xml:space="preserve">Kids</t>
  </si>
  <si>
    <t xml:space="preserve">Don't Give Up</t>
  </si>
  <si>
    <t xml:space="preserve">Another Day in Paradise - R&amp;B-Version</t>
  </si>
  <si>
    <t xml:space="preserve">It's Not Over</t>
  </si>
  <si>
    <t xml:space="preserve">Pop Ya Collar - Radio Edit</t>
  </si>
  <si>
    <t xml:space="preserve">Kiss Kiss</t>
  </si>
  <si>
    <t xml:space="preserve">Kiss Kiss (feat. T-Pain)</t>
  </si>
  <si>
    <t xml:space="preserve">Kiss Me Thru The Phone</t>
  </si>
  <si>
    <t xml:space="preserve">Knock You Down</t>
  </si>
  <si>
    <t xml:space="preserve">Kryptonite</t>
  </si>
  <si>
    <t xml:space="preserve">La Camisa Negra</t>
  </si>
  <si>
    <t xml:space="preserve">La La La</t>
  </si>
  <si>
    <t xml:space="preserve">La Tortura (feat. Alejandro Sanz)</t>
  </si>
  <si>
    <t xml:space="preserve">Ladbroke Grove</t>
  </si>
  <si>
    <t xml:space="preserve">Lady - Hear Me Tonight</t>
  </si>
  <si>
    <t xml:space="preserve">Lady Marmalade - From "Moulin Rouge" Soundtrack</t>
  </si>
  <si>
    <t xml:space="preserve">Laffy Taffy</t>
  </si>
  <si>
    <t xml:space="preserve">L'Amour Toujours</t>
  </si>
  <si>
    <t xml:space="preserve">Last Friday Night (T.G.I.F.)</t>
  </si>
  <si>
    <t xml:space="preserve">Last Night</t>
  </si>
  <si>
    <t xml:space="preserve">Latch</t>
  </si>
  <si>
    <t xml:space="preserve">Lean Back</t>
  </si>
  <si>
    <t xml:space="preserve">Lean On (feat. MÃ˜ &amp; DJ Snake)</t>
  </si>
  <si>
    <t xml:space="preserve">Lean Wit It, Rock Wit It</t>
  </si>
  <si>
    <t xml:space="preserve">Leave (Get Out) - Radio Edit</t>
  </si>
  <si>
    <t xml:space="preserve">Leave a Light On</t>
  </si>
  <si>
    <t xml:space="preserve">Leave Me Alone</t>
  </si>
  <si>
    <t xml:space="preserve">Leave Right Now</t>
  </si>
  <si>
    <t xml:space="preserve">Left Outside Alone</t>
  </si>
  <si>
    <t xml:space="preserve">Let Her Go</t>
  </si>
  <si>
    <t xml:space="preserve">Let It All Go</t>
  </si>
  <si>
    <t xml:space="preserve">Let It Go</t>
  </si>
  <si>
    <t xml:space="preserve">Let It Rock</t>
  </si>
  <si>
    <t xml:space="preserve">Let Me Blow Ya Mind</t>
  </si>
  <si>
    <t xml:space="preserve">Let Me Down Slowly</t>
  </si>
  <si>
    <t xml:space="preserve">Let Me Go</t>
  </si>
  <si>
    <t xml:space="preserve">Bounce With Me (feat. Xscape) - Edited Album Version</t>
  </si>
  <si>
    <t xml:space="preserve">Into You</t>
  </si>
  <si>
    <t xml:space="preserve">Let Me Love You (Until You Learn To Love Yourself)</t>
  </si>
  <si>
    <t xml:space="preserve">Let Me Think About It</t>
  </si>
  <si>
    <t xml:space="preserve">Sit Still, Look Pretty</t>
  </si>
  <si>
    <t xml:space="preserve">Let's Dance - Radio Edit</t>
  </si>
  <si>
    <t xml:space="preserve">Let's Fall in Love for the Night</t>
  </si>
  <si>
    <t xml:space="preserve">7/11</t>
  </si>
  <si>
    <t xml:space="preserve">Let's Go (feat. Ne-Yo)</t>
  </si>
  <si>
    <t xml:space="preserve">Levels - Radio Edit</t>
  </si>
  <si>
    <t xml:space="preserve">Liar</t>
  </si>
  <si>
    <t xml:space="preserve">Life is a Highway</t>
  </si>
  <si>
    <t xml:space="preserve">Life Is A Rollercoaster</t>
  </si>
  <si>
    <t xml:space="preserve">Lifestyles of the Rich &amp; Famous</t>
  </si>
  <si>
    <t xml:space="preserve">Light It Up (feat. Nyla &amp; Fuse ODG) - Remix</t>
  </si>
  <si>
    <t xml:space="preserve">Lighters</t>
  </si>
  <si>
    <t xml:space="preserve">Lights - Single Version</t>
  </si>
  <si>
    <t xml:space="preserve">Like a Boy</t>
  </si>
  <si>
    <t xml:space="preserve">Like A G6</t>
  </si>
  <si>
    <t xml:space="preserve">Like a Stone</t>
  </si>
  <si>
    <t xml:space="preserve">Like Glue</t>
  </si>
  <si>
    <t xml:space="preserve">Like I Can</t>
  </si>
  <si>
    <t xml:space="preserve">Like I Love You</t>
  </si>
  <si>
    <t xml:space="preserve">Like Toy Soldiers</t>
  </si>
  <si>
    <t xml:space="preserve">The Lazy Song</t>
  </si>
  <si>
    <t xml:space="preserve">Lips Are Movin</t>
  </si>
  <si>
    <t xml:space="preserve">Lips Of An Angel</t>
  </si>
  <si>
    <t xml:space="preserve">You Don't Know Me - Radio Edit</t>
  </si>
  <si>
    <t xml:space="preserve">Little Do You Know</t>
  </si>
  <si>
    <t xml:space="preserve">Little L</t>
  </si>
  <si>
    <t xml:space="preserve">Little Lion Man</t>
  </si>
  <si>
    <t xml:space="preserve">Folk/Acoustic, rock, pop</t>
  </si>
  <si>
    <t xml:space="preserve">Little Talks</t>
  </si>
  <si>
    <t xml:space="preserve">pop, rock, Folk/Acoustic</t>
  </si>
  <si>
    <t xml:space="preserve">Live Like We're Dying</t>
  </si>
  <si>
    <t xml:space="preserve">Live While We're Young</t>
  </si>
  <si>
    <t xml:space="preserve">Live Your Life</t>
  </si>
  <si>
    <t xml:space="preserve">Livin' It Up</t>
  </si>
  <si>
    <t xml:space="preserve">Loca People - Radio Edit</t>
  </si>
  <si>
    <t xml:space="preserve">Location (feat. Burna Boy)</t>
  </si>
  <si>
    <t xml:space="preserve">I'm In Control</t>
  </si>
  <si>
    <t xml:space="preserve">Show Me the Meaning of Being Lonely</t>
  </si>
  <si>
    <t xml:space="preserve">Locked Up</t>
  </si>
  <si>
    <t xml:space="preserve">Lola's Theme - Radio Edit</t>
  </si>
  <si>
    <t xml:space="preserve">Lollipop</t>
  </si>
  <si>
    <t xml:space="preserve">London Bridge</t>
  </si>
  <si>
    <t xml:space="preserve">Lonely</t>
  </si>
  <si>
    <t xml:space="preserve">Lonely No More</t>
  </si>
  <si>
    <t xml:space="preserve">Lonely Together (feat. Rita Ora)</t>
  </si>
  <si>
    <t xml:space="preserve">Piece of Me</t>
  </si>
  <si>
    <t xml:space="preserve">Look At Me Now (feat. Lil' Wayne &amp; Busta Rhymes)</t>
  </si>
  <si>
    <t xml:space="preserve">Look Back at It</t>
  </si>
  <si>
    <t xml:space="preserve">Look Right Through - MK Vocal Edit</t>
  </si>
  <si>
    <t xml:space="preserve">Middle</t>
  </si>
  <si>
    <t xml:space="preserve">Lose Control (feat. Ciara &amp; Fat Man Scoop)</t>
  </si>
  <si>
    <t xml:space="preserve">Lose My Breath</t>
  </si>
  <si>
    <t xml:space="preserve">Lose Yourself - From "8 Mile" Soundtrack</t>
  </si>
  <si>
    <t xml:space="preserve">Lose Yourself to Dance (feat. Pharrell Williams)</t>
  </si>
  <si>
    <t xml:space="preserve">Lost</t>
  </si>
  <si>
    <t xml:space="preserve">Lost in the Fire (feat. The Weeknd)</t>
  </si>
  <si>
    <t xml:space="preserve">Lost Without You</t>
  </si>
  <si>
    <t xml:space="preserve">Louder (feat. Sian Evans) - Radio Edit</t>
  </si>
  <si>
    <t xml:space="preserve">Love</t>
  </si>
  <si>
    <t xml:space="preserve">Love at First Sight</t>
  </si>
  <si>
    <t xml:space="preserve">Love Don't Cost a Thing</t>
  </si>
  <si>
    <t xml:space="preserve">Love Drunk</t>
  </si>
  <si>
    <t xml:space="preserve">Hit 'Em Up Style (Oops!)</t>
  </si>
  <si>
    <t xml:space="preserve">Love in This Club (feat. Young Jeezy)</t>
  </si>
  <si>
    <t xml:space="preserve">Love Lies (with Normani)</t>
  </si>
  <si>
    <t xml:space="preserve">Love Lockdown</t>
  </si>
  <si>
    <t xml:space="preserve">Love Machine</t>
  </si>
  <si>
    <t xml:space="preserve">Love Me</t>
  </si>
  <si>
    <t xml:space="preserve">Love Me Again</t>
  </si>
  <si>
    <t xml:space="preserve">Love Me Harder</t>
  </si>
  <si>
    <t xml:space="preserve">Love Me Like You Do - From "Fifty Shades Of Grey"</t>
  </si>
  <si>
    <t xml:space="preserve">Love Runs Out</t>
  </si>
  <si>
    <t xml:space="preserve">Love Sex Magic (feat. Justin Timberlake)</t>
  </si>
  <si>
    <t xml:space="preserve">Love Story</t>
  </si>
  <si>
    <t xml:space="preserve">Love The Way You Lie</t>
  </si>
  <si>
    <t xml:space="preserve">Love Today</t>
  </si>
  <si>
    <t xml:space="preserve">Love You Like A Love Song</t>
  </si>
  <si>
    <t xml:space="preserve">Love Yourself</t>
  </si>
  <si>
    <t xml:space="preserve">LOVE. FEAT. ZACARI.</t>
  </si>
  <si>
    <t xml:space="preserve">LoveGame</t>
  </si>
  <si>
    <t xml:space="preserve">lovely (with Khalid)</t>
  </si>
  <si>
    <t xml:space="preserve">Loverboy</t>
  </si>
  <si>
    <t xml:space="preserve">Lovers And Friends</t>
  </si>
  <si>
    <t xml:space="preserve">Lovers on the Sun (feat. Sam Martin)</t>
  </si>
  <si>
    <t xml:space="preserve">LoveStoned / I Think She Knows (Interlude)</t>
  </si>
  <si>
    <t xml:space="preserve">Lovin' Each Day</t>
  </si>
  <si>
    <t xml:space="preserve">Low (feat. T-Pain)</t>
  </si>
  <si>
    <t xml:space="preserve">Low Life (feat. The Weeknd)</t>
  </si>
  <si>
    <t xml:space="preserve">Loyal (feat. Lil Wayne &amp; Tyga)</t>
  </si>
  <si>
    <t xml:space="preserve">Lucid Dreams</t>
  </si>
  <si>
    <t xml:space="preserve">Uh Huh</t>
  </si>
  <si>
    <t xml:space="preserve">Sex</t>
  </si>
  <si>
    <t xml:space="preserve">Side To Side</t>
  </si>
  <si>
    <t xml:space="preserve">LUV</t>
  </si>
  <si>
    <t xml:space="preserve">Luv U Better</t>
  </si>
  <si>
    <t xml:space="preserve">m.A.A.d city</t>
  </si>
  <si>
    <t xml:space="preserve">Mad</t>
  </si>
  <si>
    <t xml:space="preserve">Mad Love</t>
  </si>
  <si>
    <t xml:space="preserve">Mad World (Feat. Michael Andrews)</t>
  </si>
  <si>
    <t xml:space="preserve">All The Small Things</t>
  </si>
  <si>
    <t xml:space="preserve">Magic Stick</t>
  </si>
  <si>
    <t xml:space="preserve">Magnolia</t>
  </si>
  <si>
    <t xml:space="preserve">Make It Rain</t>
  </si>
  <si>
    <t xml:space="preserve">Make Luv</t>
  </si>
  <si>
    <t xml:space="preserve">Make Me Better</t>
  </si>
  <si>
    <t xml:space="preserve">Makes Me Wonder</t>
  </si>
  <si>
    <t xml:space="preserve">Mama</t>
  </si>
  <si>
    <t xml:space="preserve">Mama Do (Uh Oh, Uh Oh)</t>
  </si>
  <si>
    <t xml:space="preserve">Man Down</t>
  </si>
  <si>
    <t xml:space="preserve">Man Of The Year</t>
  </si>
  <si>
    <t xml:space="preserve">Mandy</t>
  </si>
  <si>
    <t xml:space="preserve">Maneater</t>
  </si>
  <si>
    <t xml:space="preserve">Slow Down - 12" Version</t>
  </si>
  <si>
    <t xml:space="preserve">Maps</t>
  </si>
  <si>
    <t xml:space="preserve">Maria Maria (feat. The Product G&amp;B)</t>
  </si>
  <si>
    <t xml:space="preserve">Marry You</t>
  </si>
  <si>
    <t xml:space="preserve">Mask Off</t>
  </si>
  <si>
    <t xml:space="preserve">Me &amp; U</t>
  </si>
  <si>
    <t xml:space="preserve">Good Grief</t>
  </si>
  <si>
    <t xml:space="preserve">Me And My Broken Heart</t>
  </si>
  <si>
    <t xml:space="preserve">Unforgettable</t>
  </si>
  <si>
    <t xml:space="preserve">Feels (feat. Pharrell Williams, Katy Perry &amp; Big Sean)</t>
  </si>
  <si>
    <t xml:space="preserve">Finesse - Remix; feat. Cardi B</t>
  </si>
  <si>
    <t xml:space="preserve">Meant to Live</t>
  </si>
  <si>
    <t xml:space="preserve">Meet Me Halfway</t>
  </si>
  <si>
    <t xml:space="preserve">Memories (feat. Kid Cudi)</t>
  </si>
  <si>
    <t xml:space="preserve">Mercy</t>
  </si>
  <si>
    <t xml:space="preserve">Let You Down</t>
  </si>
  <si>
    <t xml:space="preserve">Mesmerize</t>
  </si>
  <si>
    <t xml:space="preserve">Mi Gente</t>
  </si>
  <si>
    <t xml:space="preserve">MIA (feat. Drake)</t>
  </si>
  <si>
    <t xml:space="preserve">Miami 2 Ibiza - Swedish House Mafia vs. Tinie Tempah</t>
  </si>
  <si>
    <t xml:space="preserve">Human</t>
  </si>
  <si>
    <t xml:space="preserve">MIDDLE CHILD</t>
  </si>
  <si>
    <t xml:space="preserve">Middle Of The Night</t>
  </si>
  <si>
    <t xml:space="preserve">Midnight City</t>
  </si>
  <si>
    <t xml:space="preserve">rock, pop, metal, Dance/Electronic</t>
  </si>
  <si>
    <t xml:space="preserve">Milkshake</t>
  </si>
  <si>
    <t xml:space="preserve">Million Voices - Radio Edit</t>
  </si>
  <si>
    <t xml:space="preserve">Millionaire</t>
  </si>
  <si>
    <t xml:space="preserve">Born to Make You Happy</t>
  </si>
  <si>
    <t xml:space="preserve">Mirrors</t>
  </si>
  <si>
    <t xml:space="preserve">Misery</t>
  </si>
  <si>
    <t xml:space="preserve">Misery Business</t>
  </si>
  <si>
    <t xml:space="preserve">Miss Independent</t>
  </si>
  <si>
    <t xml:space="preserve">Miss You - Main</t>
  </si>
  <si>
    <t xml:space="preserve">Miss You (with Major Lazer &amp; Tory Lanez)</t>
  </si>
  <si>
    <t xml:space="preserve">Missing You</t>
  </si>
  <si>
    <t xml:space="preserve">Mo Bamba</t>
  </si>
  <si>
    <t xml:space="preserve">Mockingbird</t>
  </si>
  <si>
    <t xml:space="preserve">Money</t>
  </si>
  <si>
    <t xml:space="preserve">Money In The Grave (Drake ft. Rick Ross)</t>
  </si>
  <si>
    <t xml:space="preserve">Money Maker</t>
  </si>
  <si>
    <t xml:space="preserve">Money On My Mind</t>
  </si>
  <si>
    <t xml:space="preserve">Monster</t>
  </si>
  <si>
    <t xml:space="preserve">Moonlight</t>
  </si>
  <si>
    <t xml:space="preserve">More - RedOne Jimmy Joker Remix</t>
  </si>
  <si>
    <t xml:space="preserve">More Than A Woman</t>
  </si>
  <si>
    <t xml:space="preserve">Look What You Made Me Do</t>
  </si>
  <si>
    <t xml:space="preserve">Most Girls</t>
  </si>
  <si>
    <t xml:space="preserve">Motivation</t>
  </si>
  <si>
    <t xml:space="preserve">MotorSport</t>
  </si>
  <si>
    <t xml:space="preserve">Move Bitch</t>
  </si>
  <si>
    <t xml:space="preserve">Move Ya Body</t>
  </si>
  <si>
    <t xml:space="preserve">Move Your Body - Gabry Ponte Original Radio Edit</t>
  </si>
  <si>
    <t xml:space="preserve">Move Your Feet</t>
  </si>
  <si>
    <t xml:space="preserve">Moves Like Jagger - Studio Recording From "The Voice" Performance</t>
  </si>
  <si>
    <t xml:space="preserve">Mr. Saxobeat</t>
  </si>
  <si>
    <t xml:space="preserve">Ms. Jackson</t>
  </si>
  <si>
    <t xml:space="preserve">Full Moon</t>
  </si>
  <si>
    <t xml:space="preserve">Mundian to Bach Ke</t>
  </si>
  <si>
    <t xml:space="preserve">World/Traditional, hip hop</t>
  </si>
  <si>
    <t xml:space="preserve">Murder On The Dancefloor</t>
  </si>
  <si>
    <t xml:space="preserve">Music</t>
  </si>
  <si>
    <t xml:space="preserve">Music (feat. Marvin Gaye)</t>
  </si>
  <si>
    <t xml:space="preserve">My Band</t>
  </si>
  <si>
    <t xml:space="preserve">My Boo</t>
  </si>
  <si>
    <t xml:space="preserve">My Chick Bad</t>
  </si>
  <si>
    <t xml:space="preserve">My First Kiss (feat. Ke$ha)</t>
  </si>
  <si>
    <t xml:space="preserve">My Happy Ending</t>
  </si>
  <si>
    <t xml:space="preserve">My House</t>
  </si>
  <si>
    <t xml:space="preserve">Boy With Luv (feat. Halsey)</t>
  </si>
  <si>
    <t xml:space="preserve">My Immortal</t>
  </si>
  <si>
    <t xml:space="preserve">My Life</t>
  </si>
  <si>
    <t xml:space="preserve">My Life Would Suck Without You</t>
  </si>
  <si>
    <t xml:space="preserve">My Love</t>
  </si>
  <si>
    <t xml:space="preserve">My Love (feat. Jess Glynne)</t>
  </si>
  <si>
    <t xml:space="preserve">My Love (feat. T.I.)</t>
  </si>
  <si>
    <t xml:space="preserve">My Love Is Like...Wo - Main Mix</t>
  </si>
  <si>
    <t xml:space="preserve">My My My - Radio Edit</t>
  </si>
  <si>
    <t xml:space="preserve">My Neck, My Back (Lick It)</t>
  </si>
  <si>
    <t xml:space="preserve">My Place</t>
  </si>
  <si>
    <t xml:space="preserve">Pass The Courvoisier Part II (feat. P. Diddy &amp; Pharrell) - Remix</t>
  </si>
  <si>
    <t xml:space="preserve">My Sacrifice</t>
  </si>
  <si>
    <t xml:space="preserve">My Songs Know What You Did In The Dark (Light Em Up)</t>
  </si>
  <si>
    <t xml:space="preserve">My Type</t>
  </si>
  <si>
    <t xml:space="preserve">Him &amp; I (with Halsey)</t>
  </si>
  <si>
    <t xml:space="preserve">Swalla (feat. Nicki Minaj &amp; Ty Dolla $ign)</t>
  </si>
  <si>
    <t xml:space="preserve">Na Na</t>
  </si>
  <si>
    <t xml:space="preserve">Naive</t>
  </si>
  <si>
    <t xml:space="preserve">Nasty Girl (feat. Diddy, Nelly, Jagged Edge &amp; Avery Storm) - 2005 Remaster</t>
  </si>
  <si>
    <t xml:space="preserve">Natural</t>
  </si>
  <si>
    <t xml:space="preserve">Naturally</t>
  </si>
  <si>
    <t xml:space="preserve">Irreplaceable</t>
  </si>
  <si>
    <t xml:space="preserve">Need U (100%) [feat. A*M*E] - Radio Edit</t>
  </si>
  <si>
    <t xml:space="preserve">Need You Now</t>
  </si>
  <si>
    <t xml:space="preserve">Needed Me</t>
  </si>
  <si>
    <t xml:space="preserve">Nessaja</t>
  </si>
  <si>
    <t xml:space="preserve">Never Be Like You</t>
  </si>
  <si>
    <t xml:space="preserve">Criminal</t>
  </si>
  <si>
    <t xml:space="preserve">Never Be The Same Again</t>
  </si>
  <si>
    <t xml:space="preserve">If You Come Back</t>
  </si>
  <si>
    <t xml:space="preserve">Glorious (feat. Skylar Grey)</t>
  </si>
  <si>
    <t xml:space="preserve">Never Leave You (Uh Oooh, Uh Oooh)</t>
  </si>
  <si>
    <t xml:space="preserve">Never Say Never</t>
  </si>
  <si>
    <t xml:space="preserve">Nevermind</t>
  </si>
  <si>
    <t xml:space="preserve">New Divide</t>
  </si>
  <si>
    <t xml:space="preserve">New Flame (feat. Usher &amp; Rick Ross)</t>
  </si>
  <si>
    <t xml:space="preserve">...Ready For It?</t>
  </si>
  <si>
    <t xml:space="preserve">Ni**as In Paris</t>
  </si>
  <si>
    <t xml:space="preserve">Night Changes</t>
  </si>
  <si>
    <t xml:space="preserve">Nights Like This (feat. Ty Dolla $ign)</t>
  </si>
  <si>
    <t xml:space="preserve">Nine Million Bicycles</t>
  </si>
  <si>
    <t xml:space="preserve">pop, easy listening, jazz</t>
  </si>
  <si>
    <t xml:space="preserve">Bad and Boujee (feat. Lil Uzi Vert)</t>
  </si>
  <si>
    <t xml:space="preserve">River (feat. Ed Sheeran)</t>
  </si>
  <si>
    <t xml:space="preserve">No Hands (feat. Roscoe Dash &amp; Wale)</t>
  </si>
  <si>
    <t xml:space="preserve">No Letting Go</t>
  </si>
  <si>
    <t xml:space="preserve">The Greatest Show</t>
  </si>
  <si>
    <t xml:space="preserve">easy listening</t>
  </si>
  <si>
    <t xml:space="preserve">Wild Thoughts (feat. Rihanna &amp; Bryson Tiller)</t>
  </si>
  <si>
    <t xml:space="preserve">No Money</t>
  </si>
  <si>
    <t xml:space="preserve">No More</t>
  </si>
  <si>
    <t xml:space="preserve">No More (Baby I'ma Do Right)</t>
  </si>
  <si>
    <t xml:space="preserve">No More Drama</t>
  </si>
  <si>
    <t xml:space="preserve">No One</t>
  </si>
  <si>
    <t xml:space="preserve">No Promises</t>
  </si>
  <si>
    <t xml:space="preserve">Home (with Machine Gun Kelly, X Ambassadors &amp; Bebe Rexha)</t>
  </si>
  <si>
    <t xml:space="preserve">SUBEME LA RADIO (feat. Descemer Bueno &amp; Zion &amp; Lennox)</t>
  </si>
  <si>
    <t xml:space="preserve">No Tomorrow</t>
  </si>
  <si>
    <t xml:space="preserve">No Type</t>
  </si>
  <si>
    <t xml:space="preserve">Nobody To Love - Radio Edit</t>
  </si>
  <si>
    <t xml:space="preserve">Nobody Wants to Be Lonely (with Christina Aguilera)</t>
  </si>
  <si>
    <t xml:space="preserve">Nobody's Home</t>
  </si>
  <si>
    <t xml:space="preserve">Nonstop</t>
  </si>
  <si>
    <t xml:space="preserve">Not Afraid</t>
  </si>
  <si>
    <t xml:space="preserve">Not Fair</t>
  </si>
  <si>
    <t xml:space="preserve">Not In Love - Radio Mix</t>
  </si>
  <si>
    <t xml:space="preserve">Not Nice</t>
  </si>
  <si>
    <t xml:space="preserve">Nothin'</t>
  </si>
  <si>
    <t xml:space="preserve">My Prerogative</t>
  </si>
  <si>
    <t xml:space="preserve">Chained To The Rhythm</t>
  </si>
  <si>
    <t xml:space="preserve">Now You're Gone - Video Edit</t>
  </si>
  <si>
    <t xml:space="preserve">Shape of My Heart</t>
  </si>
  <si>
    <t xml:space="preserve">Numb</t>
  </si>
  <si>
    <t xml:space="preserve">NUMB</t>
  </si>
  <si>
    <t xml:space="preserve">Numb / Encore</t>
  </si>
  <si>
    <t xml:space="preserve">Number 1</t>
  </si>
  <si>
    <t xml:space="preserve">Oblivion</t>
  </si>
  <si>
    <t xml:space="preserve">Obsessed</t>
  </si>
  <si>
    <t xml:space="preserve">Of The Night</t>
  </si>
  <si>
    <t xml:space="preserve">Oh (feat. Ludacris)</t>
  </si>
  <si>
    <t xml:space="preserve">Oh Boy</t>
  </si>
  <si>
    <t xml:space="preserve">Old Town Road</t>
  </si>
  <si>
    <t xml:space="preserve">Old Town Road - Remix</t>
  </si>
  <si>
    <t xml:space="preserve">Omen</t>
  </si>
  <si>
    <t xml:space="preserve">OMG (feat. will.i.am)</t>
  </si>
  <si>
    <t xml:space="preserve">On A Roll</t>
  </si>
  <si>
    <t xml:space="preserve">On Fire</t>
  </si>
  <si>
    <t xml:space="preserve">NO</t>
  </si>
  <si>
    <t xml:space="preserve">On The Floor</t>
  </si>
  <si>
    <t xml:space="preserve">On the Hotline - Amended Version</t>
  </si>
  <si>
    <t xml:space="preserve">One</t>
  </si>
  <si>
    <t xml:space="preserve">One (Your Name) - Radio Edit</t>
  </si>
  <si>
    <t xml:space="preserve">One Call Away</t>
  </si>
  <si>
    <t xml:space="preserve">One Dance</t>
  </si>
  <si>
    <t xml:space="preserve">One Day / Reckoning Song (Wankelmut Remix) [Radio Edit]</t>
  </si>
  <si>
    <t xml:space="preserve">Rolex</t>
  </si>
  <si>
    <t xml:space="preserve">No Promises (feat. Demi Lovato)</t>
  </si>
  <si>
    <t xml:space="preserve">One Last Time</t>
  </si>
  <si>
    <t xml:space="preserve">I Know What You Want (feat. Flipmode Squad)</t>
  </si>
  <si>
    <t xml:space="preserve">One Minute Man (feat. Ludacris)</t>
  </si>
  <si>
    <t xml:space="preserve">One More Night</t>
  </si>
  <si>
    <t xml:space="preserve">One More Time</t>
  </si>
  <si>
    <t xml:space="preserve">One Step At a Time</t>
  </si>
  <si>
    <t xml:space="preserve">One Thing Right</t>
  </si>
  <si>
    <t xml:space="preserve">One Time</t>
  </si>
  <si>
    <t xml:space="preserve">One Way or Another (Teenage Kicks)</t>
  </si>
  <si>
    <t xml:space="preserve">One Wish</t>
  </si>
  <si>
    <t xml:space="preserve">Only Girl (In The World)</t>
  </si>
  <si>
    <t xml:space="preserve">Only Human</t>
  </si>
  <si>
    <t xml:space="preserve">Only Love Can Hurt Like This</t>
  </si>
  <si>
    <t xml:space="preserve">Only Time</t>
  </si>
  <si>
    <t xml:space="preserve">World/Traditional, Folk/Acoustic</t>
  </si>
  <si>
    <t xml:space="preserve">Only U - No Intro</t>
  </si>
  <si>
    <t xml:space="preserve">Oops (Oh My) [feat. Missy Elliott]</t>
  </si>
  <si>
    <t xml:space="preserve">Ophelia</t>
  </si>
  <si>
    <t xml:space="preserve">Options</t>
  </si>
  <si>
    <t xml:space="preserve">Otherside</t>
  </si>
  <si>
    <t xml:space="preserve">Otro Trago</t>
  </si>
  <si>
    <t xml:space="preserve">Slippery (feat. Gucci Mane)</t>
  </si>
  <si>
    <t xml:space="preserve">Out Of Reach</t>
  </si>
  <si>
    <t xml:space="preserve">Outside (feat. Ellie Goulding)</t>
  </si>
  <si>
    <t xml:space="preserve">Outta Control - Remix</t>
  </si>
  <si>
    <t xml:space="preserve">24K Magic</t>
  </si>
  <si>
    <t xml:space="preserve">Over</t>
  </si>
  <si>
    <t xml:space="preserve">Over And Over</t>
  </si>
  <si>
    <t xml:space="preserve">Overnight Celebrity</t>
  </si>
  <si>
    <t xml:space="preserve">Romeo</t>
  </si>
  <si>
    <t xml:space="preserve">P.I.M.P.</t>
  </si>
  <si>
    <t xml:space="preserve">Ain't My Fault</t>
  </si>
  <si>
    <t xml:space="preserve">Panini</t>
  </si>
  <si>
    <t xml:space="preserve">Papaoutai</t>
  </si>
  <si>
    <t xml:space="preserve">Paparazzi</t>
  </si>
  <si>
    <t xml:space="preserve">Paper Planes</t>
  </si>
  <si>
    <t xml:space="preserve">Papercuts (feat. Vera Blue)</t>
  </si>
  <si>
    <t xml:space="preserve">Paradise</t>
  </si>
  <si>
    <t xml:space="preserve">Paralyzer</t>
  </si>
  <si>
    <t xml:space="preserve">Paris</t>
  </si>
  <si>
    <t xml:space="preserve">Part Of Me</t>
  </si>
  <si>
    <t xml:space="preserve">Party In The U.S.A.</t>
  </si>
  <si>
    <t xml:space="preserve">Party Like A Rock Star</t>
  </si>
  <si>
    <t xml:space="preserve">Party Rock Anthem</t>
  </si>
  <si>
    <t xml:space="preserve">Party Up</t>
  </si>
  <si>
    <t xml:space="preserve">Pass Out</t>
  </si>
  <si>
    <t xml:space="preserve">Locked out of Heaven</t>
  </si>
  <si>
    <t xml:space="preserve">Passionfruit</t>
  </si>
  <si>
    <t xml:space="preserve">Patience</t>
  </si>
  <si>
    <t xml:space="preserve">Payphone</t>
  </si>
  <si>
    <t xml:space="preserve">Peaches &amp; Cream</t>
  </si>
  <si>
    <t xml:space="preserve">Skin</t>
  </si>
  <si>
    <t xml:space="preserve">Perfect Strangers</t>
  </si>
  <si>
    <t xml:space="preserve">Photograph</t>
  </si>
  <si>
    <t xml:space="preserve">Kill This Love</t>
  </si>
  <si>
    <t xml:space="preserve">Piece Of Your Heart</t>
  </si>
  <si>
    <t xml:space="preserve">Pieces Of Me</t>
  </si>
  <si>
    <t xml:space="preserve">Rich Love (with Seeb)</t>
  </si>
  <si>
    <t xml:space="preserve">Pink + White</t>
  </si>
  <si>
    <t xml:space="preserve">Pjanoo - Radio Edit</t>
  </si>
  <si>
    <t xml:space="preserve">Plain Jane</t>
  </si>
  <si>
    <t xml:space="preserve">Play</t>
  </si>
  <si>
    <t xml:space="preserve">Play Hard (feat. Ne-Yo &amp; Akon)</t>
  </si>
  <si>
    <t xml:space="preserve">T-Shirt</t>
  </si>
  <si>
    <t xml:space="preserve">Please Me</t>
  </si>
  <si>
    <t xml:space="preserve">Plug Walk</t>
  </si>
  <si>
    <t xml:space="preserve">Pocketful of Sunshine</t>
  </si>
  <si>
    <t xml:space="preserve">Anywhere</t>
  </si>
  <si>
    <t xml:space="preserve">Poker Face</t>
  </si>
  <si>
    <t xml:space="preserve">Magic (feat. Rivers Cuomo)</t>
  </si>
  <si>
    <t xml:space="preserve">Pon de Replay</t>
  </si>
  <si>
    <t xml:space="preserve">Pop Out (feat. Lil Tjay)</t>
  </si>
  <si>
    <t xml:space="preserve">Pop Style</t>
  </si>
  <si>
    <t xml:space="preserve">Good Life (with G-Eazy &amp; Kehlani)</t>
  </si>
  <si>
    <t xml:space="preserve">Pop, Lock &amp; Drop It - Video Edit</t>
  </si>
  <si>
    <t xml:space="preserve">Post Malone (feat. RANI)</t>
  </si>
  <si>
    <t xml:space="preserve">Post to Be (feat. Chris Brown &amp; Jhene Aiko)</t>
  </si>
  <si>
    <t xml:space="preserve">Pound The Alarm</t>
  </si>
  <si>
    <t xml:space="preserve">Power Trip (feat. Miguel)</t>
  </si>
  <si>
    <t xml:space="preserve">New Rules</t>
  </si>
  <si>
    <t xml:space="preserve">Bodak Yellow</t>
  </si>
  <si>
    <t xml:space="preserve">Prayer in C - Robin Schulz Radio Edit</t>
  </si>
  <si>
    <t xml:space="preserve">Pretty Girl - Cheat Codes X CADE Remix</t>
  </si>
  <si>
    <t xml:space="preserve">Pretty Girl Rock</t>
  </si>
  <si>
    <t xml:space="preserve">Pretty Green Eyes - Radio Edit</t>
  </si>
  <si>
    <t xml:space="preserve">Price Tag</t>
  </si>
  <si>
    <t xml:space="preserve">Primadonna</t>
  </si>
  <si>
    <t xml:space="preserve">Princess of China</t>
  </si>
  <si>
    <t xml:space="preserve">Problem</t>
  </si>
  <si>
    <t xml:space="preserve">Promiscuous</t>
  </si>
  <si>
    <t xml:space="preserve">Promise</t>
  </si>
  <si>
    <t xml:space="preserve">Propane Nightmares</t>
  </si>
  <si>
    <t xml:space="preserve">Proper Education - Radio Edit</t>
  </si>
  <si>
    <t xml:space="preserve">Psycho (feat. Ty Dolla $ign)</t>
  </si>
  <si>
    <t xml:space="preserve">Pullin' Me Back</t>
  </si>
  <si>
    <t xml:space="preserve">Man's Not Hot</t>
  </si>
  <si>
    <t xml:space="preserve">Pumped Up Kicks</t>
  </si>
  <si>
    <t xml:space="preserve">Pure Shores</t>
  </si>
  <si>
    <t xml:space="preserve">Pure Water (with Migos)</t>
  </si>
  <si>
    <t xml:space="preserve">Purple Pills</t>
  </si>
  <si>
    <t xml:space="preserve">Push The Button</t>
  </si>
  <si>
    <t xml:space="preserve">Put On</t>
  </si>
  <si>
    <t xml:space="preserve">Put That Woman First</t>
  </si>
  <si>
    <t xml:space="preserve">Put Your Hands Up for Detroit - Radio Edit</t>
  </si>
  <si>
    <t xml:space="preserve">Put Your Hands Up For Detroit - Radio Edit</t>
  </si>
  <si>
    <t xml:space="preserve">R.I.P. (feat. Tinie Tempah)</t>
  </si>
  <si>
    <t xml:space="preserve">Rack City</t>
  </si>
  <si>
    <t xml:space="preserve">Radio</t>
  </si>
  <si>
    <t xml:space="preserve">Radioactive</t>
  </si>
  <si>
    <t xml:space="preserve">Rain On Me</t>
  </si>
  <si>
    <t xml:space="preserve">Rainy Dayz</t>
  </si>
  <si>
    <t xml:space="preserve">Raise Your Glass</t>
  </si>
  <si>
    <t xml:space="preserve">Rake It Up (feat. Nicki Minaj)</t>
  </si>
  <si>
    <t xml:space="preserve">Ransom</t>
  </si>
  <si>
    <t xml:space="preserve">Rapture (feat.Nadia Ali)</t>
  </si>
  <si>
    <t xml:space="preserve">Rather Be (feat. Jess Glynne)</t>
  </si>
  <si>
    <t xml:space="preserve">Read All About It</t>
  </si>
  <si>
    <t xml:space="preserve">Read All About It, Pt. III</t>
  </si>
  <si>
    <t xml:space="preserve">Read Your Mind</t>
  </si>
  <si>
    <t xml:space="preserve">Ready For Your Love</t>
  </si>
  <si>
    <t xml:space="preserve">One Love</t>
  </si>
  <si>
    <t xml:space="preserve">Red Lights</t>
  </si>
  <si>
    <t xml:space="preserve">ReggaetÃ³n Lento (Remix)</t>
  </si>
  <si>
    <t xml:space="preserve">Rehab</t>
  </si>
  <si>
    <t xml:space="preserve">Release Me</t>
  </si>
  <si>
    <t xml:space="preserve">Reload - Radio Edit</t>
  </si>
  <si>
    <t xml:space="preserve">Remember the Name (feat. Styles of Beyond)</t>
  </si>
  <si>
    <t xml:space="preserve">Renegades</t>
  </si>
  <si>
    <t xml:space="preserve">hip hop, rock, pop</t>
  </si>
  <si>
    <t xml:space="preserve">Replay</t>
  </si>
  <si>
    <t xml:space="preserve">Reptilia</t>
  </si>
  <si>
    <t xml:space="preserve">Ric Flair Drip (with Metro Boomin)</t>
  </si>
  <si>
    <t xml:space="preserve">Rich Girl</t>
  </si>
  <si>
    <t xml:space="preserve">Ride It</t>
  </si>
  <si>
    <t xml:space="preserve">Ride Wit Me</t>
  </si>
  <si>
    <t xml:space="preserve">Ridin'</t>
  </si>
  <si>
    <t xml:space="preserve">Ridin' Solo</t>
  </si>
  <si>
    <t xml:space="preserve">Right Above It</t>
  </si>
  <si>
    <t xml:space="preserve">Right Now (Na Na Na)</t>
  </si>
  <si>
    <t xml:space="preserve">Right Round</t>
  </si>
  <si>
    <t xml:space="preserve">Right Thurr</t>
  </si>
  <si>
    <t xml:space="preserve">Riptide</t>
  </si>
  <si>
    <t xml:space="preserve">Rise</t>
  </si>
  <si>
    <t xml:space="preserve">Rise &amp; Fall (feat. Sting)</t>
  </si>
  <si>
    <t xml:space="preserve">Ciao Adios</t>
  </si>
  <si>
    <t xml:space="preserve">Riverside</t>
  </si>
  <si>
    <t xml:space="preserve">Roar</t>
  </si>
  <si>
    <t xml:space="preserve">Robbery</t>
  </si>
  <si>
    <t xml:space="preserve">Rock DJ</t>
  </si>
  <si>
    <t xml:space="preserve">Rock The Boat</t>
  </si>
  <si>
    <t xml:space="preserve">The Great Escape</t>
  </si>
  <si>
    <t xml:space="preserve">Rock Wit U (Awww Baby)</t>
  </si>
  <si>
    <t xml:space="preserve">Rock Your Body</t>
  </si>
  <si>
    <t xml:space="preserve">I Would Like</t>
  </si>
  <si>
    <t xml:space="preserve">Rocketeer</t>
  </si>
  <si>
    <t xml:space="preserve">Rockin' That Shit</t>
  </si>
  <si>
    <t xml:space="preserve">Rockstar</t>
  </si>
  <si>
    <t xml:space="preserve">rockstar (feat. 21 Savage)</t>
  </si>
  <si>
    <t xml:space="preserve">This Ain't a Love Song</t>
  </si>
  <si>
    <t xml:space="preserve">Roll Up</t>
  </si>
  <si>
    <t xml:space="preserve">Rollin' (Air Raid Vehicle)</t>
  </si>
  <si>
    <t xml:space="preserve">Rolling in the Deep</t>
  </si>
  <si>
    <t xml:space="preserve">Rollout (My Business)</t>
  </si>
  <si>
    <t xml:space="preserve">Shut Up</t>
  </si>
  <si>
    <t xml:space="preserve">El PerdÃ³n - Forgiveness</t>
  </si>
  <si>
    <t xml:space="preserve">Round Round</t>
  </si>
  <si>
    <t xml:space="preserve">Royals</t>
  </si>
  <si>
    <t xml:space="preserve">Ruby</t>
  </si>
  <si>
    <t xml:space="preserve">Rude</t>
  </si>
  <si>
    <t xml:space="preserve">Rude Boy</t>
  </si>
  <si>
    <t xml:space="preserve">Rule The World - Radio Edit</t>
  </si>
  <si>
    <t xml:space="preserve">Rumour Has It</t>
  </si>
  <si>
    <t xml:space="preserve">Run</t>
  </si>
  <si>
    <t xml:space="preserve">Run It! (feat. Juelz Santana)</t>
  </si>
  <si>
    <t xml:space="preserve">Run This Town</t>
  </si>
  <si>
    <t xml:space="preserve">Believer</t>
  </si>
  <si>
    <t xml:space="preserve">Runaway Love</t>
  </si>
  <si>
    <t xml:space="preserve">Russian Roulette</t>
  </si>
  <si>
    <t xml:space="preserve">S&amp;M</t>
  </si>
  <si>
    <t xml:space="preserve">SAD!</t>
  </si>
  <si>
    <t xml:space="preserve">Safe And Sound</t>
  </si>
  <si>
    <t xml:space="preserve">Sail</t>
  </si>
  <si>
    <t xml:space="preserve">Salt Shaker</t>
  </si>
  <si>
    <t xml:space="preserve">Same Old Love</t>
  </si>
  <si>
    <t xml:space="preserve">Sandstorm</t>
  </si>
  <si>
    <t xml:space="preserve">Satisfaction (Isak Original Extended) - Benny Benassi Presents The Biz</t>
  </si>
  <si>
    <t xml:space="preserve">Save That Shit</t>
  </si>
  <si>
    <t xml:space="preserve">Save The World</t>
  </si>
  <si>
    <t xml:space="preserve">Savin' Me</t>
  </si>
  <si>
    <t xml:space="preserve">Say Aah (feat. Fabolous)</t>
  </si>
  <si>
    <t xml:space="preserve">Say It</t>
  </si>
  <si>
    <t xml:space="preserve">Say It Right</t>
  </si>
  <si>
    <t xml:space="preserve">Say My Name</t>
  </si>
  <si>
    <t xml:space="preserve">Say Yes</t>
  </si>
  <si>
    <t xml:space="preserve">Scandalous - U.S. Radio Edit</t>
  </si>
  <si>
    <t xml:space="preserve">Scared to Be Lonely</t>
  </si>
  <si>
    <t xml:space="preserve">Scars</t>
  </si>
  <si>
    <t xml:space="preserve">Shout Out to My Ex</t>
  </si>
  <si>
    <t xml:space="preserve">Scream</t>
  </si>
  <si>
    <t xml:space="preserve">Scream &amp; Shout</t>
  </si>
  <si>
    <t xml:space="preserve">SeÃ±orita</t>
  </si>
  <si>
    <t xml:space="preserve">Second Chance</t>
  </si>
  <si>
    <t xml:space="preserve">Secreto</t>
  </si>
  <si>
    <t xml:space="preserve">Secrets</t>
  </si>
  <si>
    <t xml:space="preserve">See You Again</t>
  </si>
  <si>
    <t xml:space="preserve">See You Again (feat. Charlie Puth)</t>
  </si>
  <si>
    <t xml:space="preserve">Seek Bromance - Aviciiâ€™s Vocal Edit</t>
  </si>
  <si>
    <t xml:space="preserve">Sensual Seduction</t>
  </si>
  <si>
    <t xml:space="preserve">Separated</t>
  </si>
  <si>
    <t xml:space="preserve">Set Fire to the Rain</t>
  </si>
  <si>
    <t xml:space="preserve">Seven Nation Army</t>
  </si>
  <si>
    <t xml:space="preserve">Cold (feat. Future)</t>
  </si>
  <si>
    <t xml:space="preserve">Sex on Fire</t>
  </si>
  <si>
    <t xml:space="preserve">Sexbomb</t>
  </si>
  <si>
    <t xml:space="preserve">rock, Folk/Acoustic, easy listening</t>
  </si>
  <si>
    <t xml:space="preserve">Sexy And I Know It</t>
  </si>
  <si>
    <t xml:space="preserve">Sexy Bitch (feat. Akon)</t>
  </si>
  <si>
    <t xml:space="preserve">Sexy Can I feat. Yung Berg</t>
  </si>
  <si>
    <t xml:space="preserve">Sexy Love</t>
  </si>
  <si>
    <t xml:space="preserve">SexyBack (feat. Timbaland)</t>
  </si>
  <si>
    <t xml:space="preserve">Shackles (Praise You)</t>
  </si>
  <si>
    <t xml:space="preserve">Shake It</t>
  </si>
  <si>
    <t xml:space="preserve">Shake It Off</t>
  </si>
  <si>
    <t xml:space="preserve">Shake That</t>
  </si>
  <si>
    <t xml:space="preserve">Shake Ya Ass</t>
  </si>
  <si>
    <t xml:space="preserve">Despacito (Featuring Daddy Yankee)</t>
  </si>
  <si>
    <t xml:space="preserve">Shalala Lala</t>
  </si>
  <si>
    <t xml:space="preserve">Shallow</t>
  </si>
  <si>
    <t xml:space="preserve">Toxic</t>
  </si>
  <si>
    <t xml:space="preserve">Shape of You</t>
  </si>
  <si>
    <t xml:space="preserve">Shawty (feat. T Pain)</t>
  </si>
  <si>
    <t xml:space="preserve">She Bangs - English Version</t>
  </si>
  <si>
    <t xml:space="preserve">She Doesn't Mind</t>
  </si>
  <si>
    <t xml:space="preserve">She Hates Me</t>
  </si>
  <si>
    <t xml:space="preserve">She Looks So Perfect</t>
  </si>
  <si>
    <t xml:space="preserve">She Said</t>
  </si>
  <si>
    <t xml:space="preserve">She Wants To Move</t>
  </si>
  <si>
    <t xml:space="preserve">She Wolf</t>
  </si>
  <si>
    <t xml:space="preserve">She Wolf (Falling to Pieces) [feat. Sia]</t>
  </si>
  <si>
    <t xml:space="preserve">Drowning (feat. Kodak Black)</t>
  </si>
  <si>
    <t xml:space="preserve">Shiver</t>
  </si>
  <si>
    <t xml:space="preserve">Shotta Flow (feat. Blueface) [Remix]</t>
  </si>
  <si>
    <t xml:space="preserve">Him &amp; I</t>
  </si>
  <si>
    <t xml:space="preserve">Show Me (feat. Chris Brown)</t>
  </si>
  <si>
    <t xml:space="preserve">Check On It (feat. Slim Thug)</t>
  </si>
  <si>
    <t xml:space="preserve">Shower</t>
  </si>
  <si>
    <t xml:space="preserve">Mine</t>
  </si>
  <si>
    <t xml:space="preserve">Shut Up And Drive</t>
  </si>
  <si>
    <t xml:space="preserve">Shut Up and Let Me Go</t>
  </si>
  <si>
    <t xml:space="preserve">Sick and Tired</t>
  </si>
  <si>
    <t xml:space="preserve">Sick Boy</t>
  </si>
  <si>
    <t xml:space="preserve">Lust for Life (with The Weeknd)</t>
  </si>
  <si>
    <t xml:space="preserve">Signs</t>
  </si>
  <si>
    <t xml:space="preserve">Silence</t>
  </si>
  <si>
    <t xml:space="preserve">Silhouettes - Original Radio Edit</t>
  </si>
  <si>
    <t xml:space="preserve">Break the Ice</t>
  </si>
  <si>
    <t xml:space="preserve">Since U Been Gone</t>
  </si>
  <si>
    <t xml:space="preserve">Sing</t>
  </si>
  <si>
    <t xml:space="preserve">Sing For The Moment</t>
  </si>
  <si>
    <t xml:space="preserve">Single Ladies (Put a Ring on It)</t>
  </si>
  <si>
    <t xml:space="preserve">More Than You Know</t>
  </si>
  <si>
    <t xml:space="preserve">Sk8er Boi</t>
  </si>
  <si>
    <t xml:space="preserve">No Limit</t>
  </si>
  <si>
    <t xml:space="preserve">Skyfall</t>
  </si>
  <si>
    <t xml:space="preserve">No Lie</t>
  </si>
  <si>
    <t xml:space="preserve">Ready or Not</t>
  </si>
  <si>
    <t xml:space="preserve">Slow Jamz</t>
  </si>
  <si>
    <t xml:space="preserve">Slow Motion</t>
  </si>
  <si>
    <t xml:space="preserve">Smack That</t>
  </si>
  <si>
    <t xml:space="preserve">Smile</t>
  </si>
  <si>
    <t xml:space="preserve">Smooth Criminal</t>
  </si>
  <si>
    <t xml:space="preserve">Snap Yo Fingers</t>
  </si>
  <si>
    <t xml:space="preserve">Snow (Hey Oh)</t>
  </si>
  <si>
    <t xml:space="preserve">So Am I</t>
  </si>
  <si>
    <t xml:space="preserve">So Gone</t>
  </si>
  <si>
    <t xml:space="preserve">So Sick</t>
  </si>
  <si>
    <t xml:space="preserve">So What</t>
  </si>
  <si>
    <t xml:space="preserve">Sober</t>
  </si>
  <si>
    <t xml:space="preserve">Soldier (feat. T.I. &amp; Lil' Wayne)</t>
  </si>
  <si>
    <t xml:space="preserve">Solo (feat. Demi Lovato)</t>
  </si>
  <si>
    <t xml:space="preserve">Solo Dance</t>
  </si>
  <si>
    <t xml:space="preserve">Soltera - Remix</t>
  </si>
  <si>
    <t xml:space="preserve">Some Cut</t>
  </si>
  <si>
    <t xml:space="preserve">Somebody</t>
  </si>
  <si>
    <t xml:space="preserve">Somebody That I Used To Know</t>
  </si>
  <si>
    <t xml:space="preserve">Someday</t>
  </si>
  <si>
    <t xml:space="preserve">Someone Like You</t>
  </si>
  <si>
    <t xml:space="preserve">Someone You Loved</t>
  </si>
  <si>
    <t xml:space="preserve">Somethin' Stupid</t>
  </si>
  <si>
    <t xml:space="preserve">Something</t>
  </si>
  <si>
    <t xml:space="preserve">Something Just Like This</t>
  </si>
  <si>
    <t xml:space="preserve">Something Kinda Ooooh</t>
  </si>
  <si>
    <t xml:space="preserve">Sometimes You Can't Make It On Your Own</t>
  </si>
  <si>
    <t xml:space="preserve">World/Traditional, rock</t>
  </si>
  <si>
    <t xml:space="preserve">Sonnentanz - Sun Don't Shine</t>
  </si>
  <si>
    <t xml:space="preserve">Happier</t>
  </si>
  <si>
    <t xml:space="preserve">Sorry Seems To Be The Hardest Word</t>
  </si>
  <si>
    <t xml:space="preserve">SOS</t>
  </si>
  <si>
    <t xml:space="preserve">SOS (feat. Aloe Blacc)</t>
  </si>
  <si>
    <t xml:space="preserve">Soul Survivor</t>
  </si>
  <si>
    <t xml:space="preserve">Sound Of The Underground</t>
  </si>
  <si>
    <t xml:space="preserve">Southern Hospitality (Featuring Pharrell)</t>
  </si>
  <si>
    <t xml:space="preserve">Southside</t>
  </si>
  <si>
    <t xml:space="preserve">Spectrum (Say My Name) - Calvin Harris Remix</t>
  </si>
  <si>
    <t xml:space="preserve">Speed of Sound</t>
  </si>
  <si>
    <t xml:space="preserve">Spinning Around</t>
  </si>
  <si>
    <t xml:space="preserve">Spirits</t>
  </si>
  <si>
    <t xml:space="preserve">rock, Folk/Acoustic, pop</t>
  </si>
  <si>
    <t xml:space="preserve">Splash Waterfalls</t>
  </si>
  <si>
    <t xml:space="preserve">Spotlight</t>
  </si>
  <si>
    <t xml:space="preserve">pop, R&amp;B, easy listening</t>
  </si>
  <si>
    <t xml:space="preserve">Stan</t>
  </si>
  <si>
    <t xml:space="preserve">Stand Up</t>
  </si>
  <si>
    <t xml:space="preserve">Starboy</t>
  </si>
  <si>
    <t xml:space="preserve">Starlight - Radio Edit</t>
  </si>
  <si>
    <t xml:space="preserve">Starry Eyed</t>
  </si>
  <si>
    <t xml:space="preserve">Starships</t>
  </si>
  <si>
    <t xml:space="preserve">Starstrukk</t>
  </si>
  <si>
    <t xml:space="preserve">Started From the Bottom</t>
  </si>
  <si>
    <t xml:space="preserve">Starz In Their Eyes</t>
  </si>
  <si>
    <t xml:space="preserve">Stay</t>
  </si>
  <si>
    <t xml:space="preserve">Stay The Night - Featuring Hayley Williams Of Paramore</t>
  </si>
  <si>
    <t xml:space="preserve">Stay With Me</t>
  </si>
  <si>
    <t xml:space="preserve">Steady, As She Goes</t>
  </si>
  <si>
    <t xml:space="preserve">Steal My Girl</t>
  </si>
  <si>
    <t xml:space="preserve">Stereo Hearts (feat. Adam Levine)</t>
  </si>
  <si>
    <t xml:space="preserve">Stereo Love - Radio Edit</t>
  </si>
  <si>
    <t xml:space="preserve">Stickwitu</t>
  </si>
  <si>
    <t xml:space="preserve">Rock This Party - Everybody Dance Now</t>
  </si>
  <si>
    <t xml:space="preserve">Still into You</t>
  </si>
  <si>
    <t xml:space="preserve">Stir Fry</t>
  </si>
  <si>
    <t xml:space="preserve">Little Dark Age</t>
  </si>
  <si>
    <t xml:space="preserve">Stole</t>
  </si>
  <si>
    <t xml:space="preserve">Stole the Show</t>
  </si>
  <si>
    <t xml:space="preserve">Stolen Dance</t>
  </si>
  <si>
    <t xml:space="preserve">Stop And Stare</t>
  </si>
  <si>
    <t xml:space="preserve">Stop Me (feat. Daniel Merriweather)</t>
  </si>
  <si>
    <t xml:space="preserve">Story of My Life</t>
  </si>
  <si>
    <t xml:space="preserve">Stranger in My House</t>
  </si>
  <si>
    <t xml:space="preserve">Stressed Out</t>
  </si>
  <si>
    <t xml:space="preserve">Strike a Pose (feat. Aitch)</t>
  </si>
  <si>
    <t xml:space="preserve">Strip That Down</t>
  </si>
  <si>
    <t xml:space="preserve">Stronger</t>
  </si>
  <si>
    <t xml:space="preserve">Stronger (What Doesn't Kill You)</t>
  </si>
  <si>
    <t xml:space="preserve">Stupid Girls</t>
  </si>
  <si>
    <t xml:space="preserve">Stutter (feat. Mystikal) - Double Take Remix</t>
  </si>
  <si>
    <t xml:space="preserve">Style</t>
  </si>
  <si>
    <t xml:space="preserve">One Kiss (with Dua Lipa)</t>
  </si>
  <si>
    <t xml:space="preserve">Sucker</t>
  </si>
  <si>
    <t xml:space="preserve">SICKO MODE</t>
  </si>
  <si>
    <t xml:space="preserve">Suddenly I See</t>
  </si>
  <si>
    <t xml:space="preserve">Suffocate - Superclean</t>
  </si>
  <si>
    <t xml:space="preserve">Sin Pijama</t>
  </si>
  <si>
    <t xml:space="preserve">Sugar</t>
  </si>
  <si>
    <t xml:space="preserve">Suge</t>
  </si>
  <si>
    <t xml:space="preserve">Suit &amp; Tie (feat. Jay-Z)</t>
  </si>
  <si>
    <t xml:space="preserve">Summer</t>
  </si>
  <si>
    <t xml:space="preserve">Summer Love</t>
  </si>
  <si>
    <t xml:space="preserve">Summertime Sadness (Lana Del Rey Vs. Cedric Gervais) - Cedric Gervais Remix</t>
  </si>
  <si>
    <t xml:space="preserve">Sunflower - Spider-Man: Into the Spider-Verse</t>
  </si>
  <si>
    <t xml:space="preserve">Sunrise</t>
  </si>
  <si>
    <t xml:space="preserve">rock, R&amp;B, Folk/Acoustic, pop</t>
  </si>
  <si>
    <t xml:space="preserve">Sunset Lover</t>
  </si>
  <si>
    <t xml:space="preserve">Sunshine (feat. Anthony Hamilton)</t>
  </si>
  <si>
    <t xml:space="preserve">Sunshine (feat. Lea)</t>
  </si>
  <si>
    <t xml:space="preserve">Super Bass</t>
  </si>
  <si>
    <t xml:space="preserve">Superheroes</t>
  </si>
  <si>
    <t xml:space="preserve">Supermassive Black Hole</t>
  </si>
  <si>
    <t xml:space="preserve">Superstar</t>
  </si>
  <si>
    <t xml:space="preserve">Superstar (feat. Matthew Santos)</t>
  </si>
  <si>
    <t xml:space="preserve">Sure Be Cool If You Did</t>
  </si>
  <si>
    <t xml:space="preserve">Sure Thing</t>
  </si>
  <si>
    <t xml:space="preserve">Survivor</t>
  </si>
  <si>
    <t xml:space="preserve">Nothing Breaks Like a Heart (feat. Miley Cyrus)</t>
  </si>
  <si>
    <t xml:space="preserve">Swang</t>
  </si>
  <si>
    <t xml:space="preserve">Sweat - Remix</t>
  </si>
  <si>
    <t xml:space="preserve">Sweater Weather</t>
  </si>
  <si>
    <t xml:space="preserve">Sweet About Me</t>
  </si>
  <si>
    <t xml:space="preserve">Sweet but Psycho</t>
  </si>
  <si>
    <t xml:space="preserve">I'm a Slave 4 U</t>
  </si>
  <si>
    <t xml:space="preserve">Sweet Dreams My LA Ex - Radio Edit</t>
  </si>
  <si>
    <t xml:space="preserve">FRIENDS</t>
  </si>
  <si>
    <t xml:space="preserve">Sweet Nothing (feat. Florence Welch)</t>
  </si>
  <si>
    <t xml:space="preserve">Sweetest Girl (Dollar Bill) (feat. Akon, Lil' Wayne &amp; Niia)</t>
  </si>
  <si>
    <t xml:space="preserve">Swervin (feat. 6ix9ine)</t>
  </si>
  <si>
    <t xml:space="preserve">Swimming Pools (Drank) - Extended Version</t>
  </si>
  <si>
    <t xml:space="preserve">Switch</t>
  </si>
  <si>
    <t xml:space="preserve">Symphony (feat. Zara Larsson)</t>
  </si>
  <si>
    <t xml:space="preserve">Tainted Love</t>
  </si>
  <si>
    <t xml:space="preserve">Take A Bow</t>
  </si>
  <si>
    <t xml:space="preserve">Take A Look Around</t>
  </si>
  <si>
    <t xml:space="preserve">Take Care</t>
  </si>
  <si>
    <t xml:space="preserve">Take It Off</t>
  </si>
  <si>
    <t xml:space="preserve">Take Me Back to London (feat. Stormzy)</t>
  </si>
  <si>
    <t xml:space="preserve">Take Me Out</t>
  </si>
  <si>
    <t xml:space="preserve">Take Me To Church</t>
  </si>
  <si>
    <t xml:space="preserve">Take Me To The Clouds Above - LMC Vs. U2 / Radio Edit</t>
  </si>
  <si>
    <t xml:space="preserve">Take You There</t>
  </si>
  <si>
    <t xml:space="preserve">Taki Taki (feat. Selena Gomez, Ozuna &amp; Cardi B)</t>
  </si>
  <si>
    <t xml:space="preserve">Nice For What</t>
  </si>
  <si>
    <t xml:space="preserve">Talk Dirty (feat. 2 Chainz)</t>
  </si>
  <si>
    <t xml:space="preserve">Talking Body</t>
  </si>
  <si>
    <t xml:space="preserve">Talking to the Moon</t>
  </si>
  <si>
    <t xml:space="preserve">Taste (feat. Offset)</t>
  </si>
  <si>
    <t xml:space="preserve">Tattoo</t>
  </si>
  <si>
    <t xml:space="preserve">Te Amo</t>
  </si>
  <si>
    <t xml:space="preserve">no tears left to cry</t>
  </si>
  <si>
    <t xml:space="preserve">Teach Me How to Dougie</t>
  </si>
  <si>
    <t xml:space="preserve">Team</t>
  </si>
  <si>
    <t xml:space="preserve">Taki Taki (with Selena Gomez, Ozuna &amp; Cardi B)</t>
  </si>
  <si>
    <t xml:space="preserve">Teenage Dirtbag</t>
  </si>
  <si>
    <t xml:space="preserve">Teenage Dream</t>
  </si>
  <si>
    <t xml:space="preserve">Teenagers</t>
  </si>
  <si>
    <t xml:space="preserve">Telephone</t>
  </si>
  <si>
    <t xml:space="preserve">Temperature</t>
  </si>
  <si>
    <t xml:space="preserve">Thank God I Found You (feat. Joe &amp; 98Â°)</t>
  </si>
  <si>
    <t xml:space="preserve">Thank You</t>
  </si>
  <si>
    <t xml:space="preserve">That's My Goal</t>
  </si>
  <si>
    <t xml:space="preserve">That's Not My Name</t>
  </si>
  <si>
    <t xml:space="preserve">That's the Way It Is</t>
  </si>
  <si>
    <t xml:space="preserve">The Adventures of Rain Dance Maggie</t>
  </si>
  <si>
    <t xml:space="preserve">The Boy Does Nothing</t>
  </si>
  <si>
    <t xml:space="preserve">The Closest Thing to Crazy</t>
  </si>
  <si>
    <t xml:space="preserve">The Creeps - Fedde Le Grand Radio Mix</t>
  </si>
  <si>
    <t xml:space="preserve">The Edge Of Glory</t>
  </si>
  <si>
    <t xml:space="preserve">The Fear</t>
  </si>
  <si>
    <t xml:space="preserve">The Flood</t>
  </si>
  <si>
    <t xml:space="preserve">The Fox (What Does the Fox Say?)</t>
  </si>
  <si>
    <t xml:space="preserve">Te BotÃ© - Remix</t>
  </si>
  <si>
    <t xml:space="preserve">The Git Up</t>
  </si>
  <si>
    <t xml:space="preserve">hip hop, country</t>
  </si>
  <si>
    <t xml:space="preserve">Still Fly</t>
  </si>
  <si>
    <t xml:space="preserve">Calma - Remix</t>
  </si>
  <si>
    <t xml:space="preserve">Never Be the Same</t>
  </si>
  <si>
    <t xml:space="preserve">The Heart Wants What It Wants</t>
  </si>
  <si>
    <t xml:space="preserve">The Hills</t>
  </si>
  <si>
    <t xml:space="preserve">The Jump Off (feat. Mr. Cheeks) - Remix</t>
  </si>
  <si>
    <t xml:space="preserve">The Ketchup Song (AserejÃ©) - Spanglish Version</t>
  </si>
  <si>
    <t xml:space="preserve">The Kill</t>
  </si>
  <si>
    <t xml:space="preserve">Where Is The Love?</t>
  </si>
  <si>
    <t xml:space="preserve">The Logical Song</t>
  </si>
  <si>
    <t xml:space="preserve">The London (feat. J. Cole &amp; Travis Scott)</t>
  </si>
  <si>
    <t xml:space="preserve">The Middle</t>
  </si>
  <si>
    <t xml:space="preserve">The Monster</t>
  </si>
  <si>
    <t xml:space="preserve">The Motto</t>
  </si>
  <si>
    <t xml:space="preserve">The Next Episode</t>
  </si>
  <si>
    <t xml:space="preserve">The Nights</t>
  </si>
  <si>
    <t xml:space="preserve">The Ocean (feat. Shy Martin)</t>
  </si>
  <si>
    <t xml:space="preserve">The One That Got Away</t>
  </si>
  <si>
    <t xml:space="preserve">The Other Side</t>
  </si>
  <si>
    <t xml:space="preserve">The Pretender</t>
  </si>
  <si>
    <t xml:space="preserve">The Real Slim Shady</t>
  </si>
  <si>
    <t xml:space="preserve">The Reason</t>
  </si>
  <si>
    <t xml:space="preserve">The Riddle</t>
  </si>
  <si>
    <t xml:space="preserve">The Rose</t>
  </si>
  <si>
    <t xml:space="preserve">The Seed (2.0)</t>
  </si>
  <si>
    <t xml:space="preserve">The Show Goes On</t>
  </si>
  <si>
    <t xml:space="preserve">The Sweet Escape</t>
  </si>
  <si>
    <t xml:space="preserve">The Tide Is High - Radio Mix</t>
  </si>
  <si>
    <t xml:space="preserve">The Time (Dirty Bit)</t>
  </si>
  <si>
    <t xml:space="preserve">The Time Is Now</t>
  </si>
  <si>
    <t xml:space="preserve">The Way</t>
  </si>
  <si>
    <t xml:space="preserve">The Way I Am</t>
  </si>
  <si>
    <t xml:space="preserve">The Way I Are</t>
  </si>
  <si>
    <t xml:space="preserve">Pump It</t>
  </si>
  <si>
    <t xml:space="preserve">The Way You Move (feat. Sleepy Brown)</t>
  </si>
  <si>
    <t xml:space="preserve">The Whole World (feat. Killer Mike)</t>
  </si>
  <si>
    <t xml:space="preserve">There You Go</t>
  </si>
  <si>
    <t xml:space="preserve">There You'll Be</t>
  </si>
  <si>
    <t xml:space="preserve">There's Nothing Holdin' Me Back</t>
  </si>
  <si>
    <t xml:space="preserve">Thinking About You (feat. Ayah Marar)</t>
  </si>
  <si>
    <t xml:space="preserve">Thinking out Loud</t>
  </si>
  <si>
    <t xml:space="preserve">Jackie Chan</t>
  </si>
  <si>
    <t xml:space="preserve">This Ain't A Scene, It's An Arms Race</t>
  </si>
  <si>
    <t xml:space="preserve">This Feeling</t>
  </si>
  <si>
    <t xml:space="preserve">This Girl - Kungs Vs. Cookin' On 3 Burners</t>
  </si>
  <si>
    <t xml:space="preserve">This Is How We Do</t>
  </si>
  <si>
    <t xml:space="preserve">This Is Love</t>
  </si>
  <si>
    <t xml:space="preserve">This Is What It Feels Like</t>
  </si>
  <si>
    <t xml:space="preserve">Dura</t>
  </si>
  <si>
    <t xml:space="preserve">This Is Why I'm Hot</t>
  </si>
  <si>
    <t xml:space="preserve">This Love</t>
  </si>
  <si>
    <t xml:space="preserve">King's Dead (with Kendrick Lamar, Future &amp; James Blake)</t>
  </si>
  <si>
    <t xml:space="preserve">Thnks fr th Mmrs</t>
  </si>
  <si>
    <t xml:space="preserve">Thong Song</t>
  </si>
  <si>
    <t xml:space="preserve">Thotiana</t>
  </si>
  <si>
    <t xml:space="preserve">Thrift Shop (feat. Wanz)</t>
  </si>
  <si>
    <t xml:space="preserve">Through The Wire</t>
  </si>
  <si>
    <t xml:space="preserve">Throw It In The Bag</t>
  </si>
  <si>
    <t xml:space="preserve">Throw Some D's</t>
  </si>
  <si>
    <t xml:space="preserve">Thunder</t>
  </si>
  <si>
    <t xml:space="preserve">Thunder in My Heart Again (Radio Edit)</t>
  </si>
  <si>
    <t xml:space="preserve">Everyday</t>
  </si>
  <si>
    <t xml:space="preserve">TiK ToK</t>
  </si>
  <si>
    <t xml:space="preserve">'Till I Collapse</t>
  </si>
  <si>
    <t xml:space="preserve">Till the World Ends</t>
  </si>
  <si>
    <t xml:space="preserve">Timber (feat. Ke$ha)</t>
  </si>
  <si>
    <t xml:space="preserve">Time of Our Lives</t>
  </si>
  <si>
    <t xml:space="preserve">Tip Toe (feat. French Montana)</t>
  </si>
  <si>
    <t xml:space="preserve">Tipsy - Club Mix</t>
  </si>
  <si>
    <t xml:space="preserve">Titanium (feat. Sia)</t>
  </si>
  <si>
    <t xml:space="preserve">Tongue Tied</t>
  </si>
  <si>
    <t xml:space="preserve">Tonight (I'm Fuckin' You)</t>
  </si>
  <si>
    <t xml:space="preserve">Tonight Tonight</t>
  </si>
  <si>
    <t xml:space="preserve">Too Close</t>
  </si>
  <si>
    <t xml:space="preserve">Too Good</t>
  </si>
  <si>
    <t xml:space="preserve">Too Good At Goodbyes</t>
  </si>
  <si>
    <t xml:space="preserve">Too Little Too Late</t>
  </si>
  <si>
    <t xml:space="preserve">Too Lost In You</t>
  </si>
  <si>
    <t xml:space="preserve">Touch It</t>
  </si>
  <si>
    <t xml:space="preserve">Touch Me (Radio Edit) [feat. Cassandra]</t>
  </si>
  <si>
    <t xml:space="preserve">Touch My Body</t>
  </si>
  <si>
    <t xml:space="preserve">Touch The Sky</t>
  </si>
  <si>
    <t xml:space="preserve">Suga Suga</t>
  </si>
  <si>
    <t xml:space="preserve">Pray For Me (with Kendrick Lamar)</t>
  </si>
  <si>
    <t xml:space="preserve">What About Us?</t>
  </si>
  <si>
    <t xml:space="preserve">Treat You Better</t>
  </si>
  <si>
    <t xml:space="preserve">Trick Me</t>
  </si>
  <si>
    <t xml:space="preserve">Trip</t>
  </si>
  <si>
    <t xml:space="preserve">Tripping</t>
  </si>
  <si>
    <t xml:space="preserve">Troublemaker (feat. Flo Rida)</t>
  </si>
  <si>
    <t xml:space="preserve">True</t>
  </si>
  <si>
    <t xml:space="preserve">True Love (feat. Lily Allen)</t>
  </si>
  <si>
    <t xml:space="preserve">Trumpets</t>
  </si>
  <si>
    <t xml:space="preserve">Try</t>
  </si>
  <si>
    <t xml:space="preserve">Try Again</t>
  </si>
  <si>
    <t xml:space="preserve">Youngblood</t>
  </si>
  <si>
    <t xml:space="preserve">Tuesday (feat. Danelle Sandoval)</t>
  </si>
  <si>
    <t xml:space="preserve">Tunnel Vision</t>
  </si>
  <si>
    <t xml:space="preserve">Turn Down for What</t>
  </si>
  <si>
    <t xml:space="preserve">Turn Me On</t>
  </si>
  <si>
    <t xml:space="preserve">Turn Me On (feat. Nicki Minaj)</t>
  </si>
  <si>
    <t xml:space="preserve">Turn My Swag On</t>
  </si>
  <si>
    <t xml:space="preserve">Turn Off The Light</t>
  </si>
  <si>
    <t xml:space="preserve">Turn Up the Music</t>
  </si>
  <si>
    <t xml:space="preserve">Turnin Me On - Original Dirty</t>
  </si>
  <si>
    <t xml:space="preserve">U + Ur Hand</t>
  </si>
  <si>
    <t xml:space="preserve">U and Dat (feat. T. Pain &amp; Kandi Girl)</t>
  </si>
  <si>
    <t xml:space="preserve">U Don't Have to Call</t>
  </si>
  <si>
    <t xml:space="preserve">U Know What's Up (feat. Lisa "Left Eye" Lopes)</t>
  </si>
  <si>
    <t xml:space="preserve">Don't Phunk With My Heart</t>
  </si>
  <si>
    <t xml:space="preserve">Ugly Heart</t>
  </si>
  <si>
    <t xml:space="preserve">All Rise</t>
  </si>
  <si>
    <t xml:space="preserve">Umbrella</t>
  </si>
  <si>
    <t xml:space="preserve">Unchained Melody</t>
  </si>
  <si>
    <t xml:space="preserve">Unconditionally</t>
  </si>
  <si>
    <t xml:space="preserve">Under Control (feat. Hurts)</t>
  </si>
  <si>
    <t xml:space="preserve">Underneath It All</t>
  </si>
  <si>
    <t xml:space="preserve">Underneath Your Clothes</t>
  </si>
  <si>
    <t xml:space="preserve">Unfaithful</t>
  </si>
  <si>
    <t xml:space="preserve">No Brainer</t>
  </si>
  <si>
    <t xml:space="preserve">Until The End Of Time</t>
  </si>
  <si>
    <t xml:space="preserve">Untouched</t>
  </si>
  <si>
    <t xml:space="preserve">Unwell</t>
  </si>
  <si>
    <t xml:space="preserve">Unwritten</t>
  </si>
  <si>
    <t xml:space="preserve">Up (feat. Demi Lovato)</t>
  </si>
  <si>
    <t xml:space="preserve">Uprising</t>
  </si>
  <si>
    <t xml:space="preserve">Uptown Funk (feat. Bruno Mars)</t>
  </si>
  <si>
    <t xml:space="preserve">Vaina Loca</t>
  </si>
  <si>
    <t xml:space="preserve">Valerie (feat. Amy Winehouse) - Version Revisited</t>
  </si>
  <si>
    <t xml:space="preserve">Vertigo</t>
  </si>
  <si>
    <t xml:space="preserve">Violet Hill</t>
  </si>
  <si>
    <t xml:space="preserve">Viva La Vida</t>
  </si>
  <si>
    <t xml:space="preserve">Vossi Bop</t>
  </si>
  <si>
    <t xml:space="preserve">Wait (The Whisper Song)</t>
  </si>
  <si>
    <t xml:space="preserve">Wait a Minute!</t>
  </si>
  <si>
    <t xml:space="preserve">Wait for You</t>
  </si>
  <si>
    <t xml:space="preserve">Waiting All Night (feat. Ella Eyre)</t>
  </si>
  <si>
    <t xml:space="preserve">Easy Love</t>
  </si>
  <si>
    <t xml:space="preserve">Wake Me Up</t>
  </si>
  <si>
    <t xml:space="preserve">Waking Up In Vegas</t>
  </si>
  <si>
    <t xml:space="preserve">Walk It Out</t>
  </si>
  <si>
    <t xml:space="preserve">Walk It Talk It</t>
  </si>
  <si>
    <t xml:space="preserve">Walking On A Dream</t>
  </si>
  <si>
    <t xml:space="preserve">Wanksta - From "8 Mile" Soundtrack</t>
  </si>
  <si>
    <t xml:space="preserve">Wanna Get To Know You</t>
  </si>
  <si>
    <t xml:space="preserve">Want U Back</t>
  </si>
  <si>
    <t xml:space="preserve">Wasted</t>
  </si>
  <si>
    <t xml:space="preserve">Wasting My Time</t>
  </si>
  <si>
    <t xml:space="preserve">Watch Me (Whip / Nae Nae)</t>
  </si>
  <si>
    <t xml:space="preserve">Waves - Robin Schulz Radio Edit</t>
  </si>
  <si>
    <t xml:space="preserve">Wavin' Flag</t>
  </si>
  <si>
    <t xml:space="preserve">Way down We Go</t>
  </si>
  <si>
    <t xml:space="preserve">rock, classical</t>
  </si>
  <si>
    <t xml:space="preserve">We Are Young (feat. Janelle MonÃ¡e)</t>
  </si>
  <si>
    <t xml:space="preserve">We Be Burnin'</t>
  </si>
  <si>
    <t xml:space="preserve">We Belong Together</t>
  </si>
  <si>
    <t xml:space="preserve">We Can't Stop</t>
  </si>
  <si>
    <t xml:space="preserve">Powerglide (feat. Juicy J) - From SR3MM</t>
  </si>
  <si>
    <t xml:space="preserve">We Don't Talk Anymore (feat. Selena Gomez)</t>
  </si>
  <si>
    <t xml:space="preserve">we fell in love in october</t>
  </si>
  <si>
    <t xml:space="preserve">We Fly High</t>
  </si>
  <si>
    <t xml:space="preserve">We Found Love</t>
  </si>
  <si>
    <t xml:space="preserve">We Made You</t>
  </si>
  <si>
    <t xml:space="preserve">We No Speak Americano (JT Radio Edit)</t>
  </si>
  <si>
    <t xml:space="preserve">We Own It (Fast &amp; Furious)</t>
  </si>
  <si>
    <t xml:space="preserve">We R Who We R</t>
  </si>
  <si>
    <t xml:space="preserve">Weak</t>
  </si>
  <si>
    <t xml:space="preserve">Wearing My Rolex - Radio Edit</t>
  </si>
  <si>
    <t xml:space="preserve">Welcome to the Black Parade</t>
  </si>
  <si>
    <t xml:space="preserve">We'll Be Coming Back (feat. Example)</t>
  </si>
  <si>
    <t xml:space="preserve">What About Us</t>
  </si>
  <si>
    <t xml:space="preserve">Get Up (Rattle) - Vocal Edit</t>
  </si>
  <si>
    <t xml:space="preserve">What Do You Mean?</t>
  </si>
  <si>
    <t xml:space="preserve">What Goes Around.../...Comes Around (Interlude)</t>
  </si>
  <si>
    <t xml:space="preserve">What Hurts The Most</t>
  </si>
  <si>
    <t xml:space="preserve">What I've Done</t>
  </si>
  <si>
    <t xml:space="preserve">What Makes You Beautiful</t>
  </si>
  <si>
    <t xml:space="preserve">What the Hell</t>
  </si>
  <si>
    <t xml:space="preserve">What Took You So Long?</t>
  </si>
  <si>
    <t xml:space="preserve">What You Got</t>
  </si>
  <si>
    <t xml:space="preserve">What You Know</t>
  </si>
  <si>
    <t xml:space="preserve">World/Traditional, rock, pop</t>
  </si>
  <si>
    <t xml:space="preserve">What You Waiting For?</t>
  </si>
  <si>
    <t xml:space="preserve">Whataya Want from Me</t>
  </si>
  <si>
    <t xml:space="preserve">Whatcha Say</t>
  </si>
  <si>
    <t xml:space="preserve">What'chu Like (feat. Tyrese)</t>
  </si>
  <si>
    <t xml:space="preserve">Whatever It Takes</t>
  </si>
  <si>
    <t xml:space="preserve">Whatever You Like</t>
  </si>
  <si>
    <t xml:space="preserve">What's It Gonna Be (feat. Platnum)</t>
  </si>
  <si>
    <t xml:space="preserve">What's Left Of Me</t>
  </si>
  <si>
    <t xml:space="preserve">What's Luv? (feat. Ja-Rule &amp; Ashanti)</t>
  </si>
  <si>
    <t xml:space="preserve">What's My Name?</t>
  </si>
  <si>
    <t xml:space="preserve">When I Grow Up</t>
  </si>
  <si>
    <t xml:space="preserve">When I Was Your Man</t>
  </si>
  <si>
    <t xml:space="preserve">When I'm Gone</t>
  </si>
  <si>
    <t xml:space="preserve">When Love Takes Over (feat. Kelly Rowland)</t>
  </si>
  <si>
    <t xml:space="preserve">When The Sun Goes Down</t>
  </si>
  <si>
    <t xml:space="preserve">When We Collide</t>
  </si>
  <si>
    <t xml:space="preserve">When We Stand Together</t>
  </si>
  <si>
    <t xml:space="preserve">When You Look At Me - Radio Edit</t>
  </si>
  <si>
    <t xml:space="preserve">When You're Gone</t>
  </si>
  <si>
    <t xml:space="preserve">Whenever, Wherever</t>
  </si>
  <si>
    <t xml:space="preserve">1, 2, 3 (feat. Jason Derulo &amp; De La Ghetto)</t>
  </si>
  <si>
    <t xml:space="preserve">Where Have You Been</t>
  </si>
  <si>
    <t xml:space="preserve">Where I Wanna Be</t>
  </si>
  <si>
    <t xml:space="preserve">Let's Get It Started - Spike Mix</t>
  </si>
  <si>
    <t xml:space="preserve">Where the Party At (feat. Nelly)</t>
  </si>
  <si>
    <t xml:space="preserve">Where Them Girls At (feat. Nicki Minaj &amp; Flo Rida)</t>
  </si>
  <si>
    <t xml:space="preserve">Where'd You Go (feat. Holly Brook &amp; Jonah Matranga)</t>
  </si>
  <si>
    <t xml:space="preserve">Wherever I Go</t>
  </si>
  <si>
    <t xml:space="preserve">Wherever You Will Go</t>
  </si>
  <si>
    <t xml:space="preserve">Whistle</t>
  </si>
  <si>
    <t xml:space="preserve">White Flag</t>
  </si>
  <si>
    <t xml:space="preserve">White Noise</t>
  </si>
  <si>
    <t xml:space="preserve">Who Knew</t>
  </si>
  <si>
    <t xml:space="preserve">Who Let The Dogs Out</t>
  </si>
  <si>
    <t xml:space="preserve">Who Says</t>
  </si>
  <si>
    <t xml:space="preserve">Whole Again</t>
  </si>
  <si>
    <t xml:space="preserve">Who's That Chick? (feat. Rihanna)</t>
  </si>
  <si>
    <t xml:space="preserve">Why'd You Only Call Me When You're High?</t>
  </si>
  <si>
    <t xml:space="preserve">Wide Awake</t>
  </si>
  <si>
    <t xml:space="preserve">Wifey</t>
  </si>
  <si>
    <t xml:space="preserve">Wiggle (feat. Snoop Dogg)</t>
  </si>
  <si>
    <t xml:space="preserve">Wild Ones (feat. Sia)</t>
  </si>
  <si>
    <t xml:space="preserve">For You (Fifty Shades Freed) (&amp; Rita Ora)</t>
  </si>
  <si>
    <t xml:space="preserve">Wildest Dreams</t>
  </si>
  <si>
    <t xml:space="preserve">Wings</t>
  </si>
  <si>
    <t xml:space="preserve">Wish You Well</t>
  </si>
  <si>
    <t xml:space="preserve">Wish You Were Mine - Radio Edit</t>
  </si>
  <si>
    <t xml:space="preserve">With Arms Wide Open</t>
  </si>
  <si>
    <t xml:space="preserve">With Every Heartbeat</t>
  </si>
  <si>
    <t xml:space="preserve">With You</t>
  </si>
  <si>
    <t xml:space="preserve">Without Me</t>
  </si>
  <si>
    <t xml:space="preserve">Without You (feat. Sandro Cavazza)</t>
  </si>
  <si>
    <t xml:space="preserve">Without You (feat. Usher)</t>
  </si>
  <si>
    <t xml:space="preserve">Wolves</t>
  </si>
  <si>
    <t xml:space="preserve">Womanizer</t>
  </si>
  <si>
    <t xml:space="preserve">Wonderful World</t>
  </si>
  <si>
    <t xml:space="preserve">Work</t>
  </si>
  <si>
    <t xml:space="preserve">Overprotected - Radio Edit</t>
  </si>
  <si>
    <t xml:space="preserve">Work from Home (feat. Ty Dolla $ign)</t>
  </si>
  <si>
    <t xml:space="preserve">Work Hard, Play Hard</t>
  </si>
  <si>
    <t xml:space="preserve">Work It</t>
  </si>
  <si>
    <t xml:space="preserve">Bad Vibe</t>
  </si>
  <si>
    <t xml:space="preserve">Wow</t>
  </si>
  <si>
    <t xml:space="preserve">Wow.</t>
  </si>
  <si>
    <t xml:space="preserve">Wrapped Up (feat. Travie McCoy)</t>
  </si>
  <si>
    <t xml:space="preserve">Wrecking Ball</t>
  </si>
  <si>
    <t xml:space="preserve">Writing's On The Wall - From "Spectre" Soundtrack</t>
  </si>
  <si>
    <t xml:space="preserve">Written in the Stars (feat. Eric Turner)</t>
  </si>
  <si>
    <t xml:space="preserve">X</t>
  </si>
  <si>
    <t xml:space="preserve">X Gon' Give It To Ya</t>
  </si>
  <si>
    <t xml:space="preserve">XO Tour Llif3</t>
  </si>
  <si>
    <t xml:space="preserve">Yeah 3x</t>
  </si>
  <si>
    <t xml:space="preserve">Yeah! (feat. Lil Jon &amp; Ludacris)</t>
  </si>
  <si>
    <t xml:space="preserve">Years - ãƒ©ã‚¸ã‚ªãƒ»ã‚¨ãƒ‡ã‚£ãƒƒãƒˆ</t>
  </si>
  <si>
    <t xml:space="preserve">Yes Indeed</t>
  </si>
  <si>
    <t xml:space="preserve">Yo (Excuse Me Miss)</t>
  </si>
  <si>
    <t xml:space="preserve">You</t>
  </si>
  <si>
    <t xml:space="preserve">You Belong With Me</t>
  </si>
  <si>
    <t xml:space="preserve">Me Niego (feat. Ozuna &amp; Wisin)</t>
  </si>
  <si>
    <t xml:space="preserve">You Don't Know My Name</t>
  </si>
  <si>
    <t xml:space="preserve">You Don't Own Me (feat. G-Eazy)</t>
  </si>
  <si>
    <t xml:space="preserve">You Found Me</t>
  </si>
  <si>
    <t xml:space="preserve">You Give Me Something</t>
  </si>
  <si>
    <t xml:space="preserve">You Know I'm No Good</t>
  </si>
  <si>
    <t xml:space="preserve">You Know You Like It</t>
  </si>
  <si>
    <t xml:space="preserve">You Make Me Feel... (feat. Sabi)</t>
  </si>
  <si>
    <t xml:space="preserve">You Raise Me Up</t>
  </si>
  <si>
    <t xml:space="preserve">You Rock My World</t>
  </si>
  <si>
    <t xml:space="preserve">You Sang To Me</t>
  </si>
  <si>
    <t xml:space="preserve">Young Forever</t>
  </si>
  <si>
    <t xml:space="preserve">Young, Wild &amp; Free (feat. Bruno Mars)</t>
  </si>
  <si>
    <t xml:space="preserve">Point Of View - Radio Edit</t>
  </si>
  <si>
    <t xml:space="preserve">Your Body</t>
  </si>
  <si>
    <t xml:space="preserve">Your Love Alone Is Not Enough (feat. Nina Persson)</t>
  </si>
  <si>
    <t xml:space="preserve">Your Love Is My Drug</t>
  </si>
  <si>
    <t xml:space="preserve">You're All I Have</t>
  </si>
  <si>
    <t xml:space="preserve">You're Beautiful</t>
  </si>
  <si>
    <t xml:space="preserve">You're Gonna Go Far, Kid</t>
  </si>
  <si>
    <t xml:space="preserve">Youth of the Nation</t>
  </si>
  <si>
    <t xml:space="preserve">ZEZE (feat. Travis Scott &amp; Offset)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</si>
  <si>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</si>
  <si>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</si>
  <si>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</si>
  <si>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</si>
  <si>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</si>
  <si>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</si>
  <si>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</si>
  <si>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</si>
  <si>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</si>
  <si>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</si>
  <si>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</si>
  <si>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</si>
  <si>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</si>
  <si>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</si>
  <si>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</si>
  <si>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</si>
  <si>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</si>
  <si>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</si>
  <si>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</si>
  <si>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</si>
  <si>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</si>
  <si>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</si>
  <si>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</si>
  <si>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</si>
  <si>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</si>
  <si>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</si>
  <si>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</si>
  <si>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</si>
  <si>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</si>
  <si>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</si>
  <si>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</si>
  <si>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</si>
  <si>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</si>
  <si>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</si>
  <si>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</si>
  <si>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</si>
  <si>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</si>
  <si>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</si>
  <si>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</si>
  <si>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</si>
  <si>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</si>
  <si>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</si>
  <si>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</si>
  <si>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</si>
  <si>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</si>
  <si>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</si>
  <si>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</si>
  <si>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</si>
  <si>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</si>
  <si>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</si>
  <si>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</si>
  <si>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</si>
  <si>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</si>
  <si>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</si>
  <si>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</si>
  <si>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</si>
  <si>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</si>
  <si>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</si>
  <si>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</si>
  <si>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</si>
  <si>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</si>
  <si>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</si>
  <si>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</si>
  <si>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</si>
  <si>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</si>
  <si>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</si>
  <si>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</si>
  <si>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</si>
  <si>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</si>
  <si>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</si>
  <si>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</si>
  <si>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</si>
  <si>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</si>
  <si>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</si>
  <si>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</si>
  <si>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</si>
  <si>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</si>
  <si>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</si>
  <si>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</si>
  <si>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</si>
  <si>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</si>
  <si>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</si>
  <si>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</si>
  <si>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</si>
  <si>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</si>
  <si>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</si>
  <si>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</si>
  <si>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</si>
  <si>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</si>
  <si>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</si>
  <si>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</si>
  <si>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</si>
  <si>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</si>
  <si>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</si>
  <si>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</si>
  <si>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</si>
  <si>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</si>
  <si>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</si>
  <si>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</si>
  <si>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</si>
  <si>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</si>
  <si>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</si>
  <si>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</si>
  <si>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</si>
  <si>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</si>
  <si>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</si>
  <si>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</si>
  <si>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</si>
  <si>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</si>
  <si>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</si>
  <si>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</si>
  <si>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</si>
  <si>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</si>
  <si>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</si>
  <si>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</si>
  <si>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</si>
  <si>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</si>
  <si>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</si>
  <si>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</si>
  <si>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</si>
  <si>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</si>
  <si>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</si>
  <si>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</si>
  <si>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</si>
  <si>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</si>
  <si>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</si>
  <si>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</si>
  <si>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</si>
  <si>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</si>
  <si>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</si>
  <si>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</si>
  <si>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</si>
  <si>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</si>
  <si>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</si>
  <si>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</si>
  <si>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</si>
  <si>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</si>
  <si>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</si>
  <si>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</si>
  <si>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</si>
  <si>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</si>
  <si>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</si>
  <si>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</si>
  <si>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</si>
  <si>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</si>
  <si>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</si>
  <si>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</si>
  <si>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</si>
  <si>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</si>
  <si>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</si>
  <si>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</si>
  <si>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</si>
  <si>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</si>
  <si>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</si>
  <si>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</si>
  <si>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</si>
  <si>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</si>
  <si>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</si>
  <si>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</si>
  <si>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</si>
  <si>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</si>
  <si>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</si>
  <si>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</si>
  <si>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</si>
  <si>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</si>
  <si>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</si>
  <si>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</si>
  <si>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</si>
  <si>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</si>
  <si>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</si>
  <si>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</si>
  <si>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</si>
  <si>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</si>
  <si>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</si>
  <si>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</si>
  <si>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</si>
  <si>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</si>
  <si>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</si>
  <si>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</si>
  <si>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</si>
  <si>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</si>
  <si>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</si>
  <si>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</si>
  <si>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</si>
  <si>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</si>
  <si>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</si>
  <si>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</si>
  <si>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</si>
  <si>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</si>
  <si>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</si>
  <si>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</si>
  <si>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</si>
  <si>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</si>
  <si>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</si>
  <si>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</si>
  <si>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</si>
  <si>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</si>
  <si>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</si>
  <si>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</si>
  <si>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</si>
  <si>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</si>
  <si>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</si>
  <si>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</si>
  <si>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</si>
  <si>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</si>
  <si>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</si>
  <si>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</si>
  <si>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</si>
  <si>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</si>
  <si>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</si>
  <si>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</si>
  <si>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</si>
  <si>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</si>
  <si>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</si>
  <si>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</si>
  <si>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</si>
  <si>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</si>
  <si>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</si>
  <si>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</si>
  <si>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</si>
  <si>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</si>
  <si>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</si>
  <si>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</si>
  <si>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</si>
  <si>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</si>
  <si>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</si>
  <si>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</si>
  <si>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</si>
  <si>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</si>
  <si>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</si>
  <si>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</si>
  <si>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</si>
  <si>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</si>
  <si>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</si>
  <si>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</si>
  <si>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</si>
  <si>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</si>
  <si>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</si>
  <si>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</si>
  <si>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</si>
  <si>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</si>
  <si>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</si>
  <si>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</si>
  <si>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</si>
  <si>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</si>
  <si>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</si>
  <si>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</si>
  <si>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</si>
  <si>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</si>
  <si>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</si>
  <si>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</si>
  <si>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</si>
  <si>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</si>
  <si>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</si>
  <si>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</si>
  <si>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</si>
  <si>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</si>
  <si>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</si>
  <si>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</si>
  <si>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</si>
  <si>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</si>
  <si>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</si>
  <si>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</si>
  <si>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</si>
  <si>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</si>
  <si>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</si>
  <si>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</si>
  <si>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</si>
  <si>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</si>
  <si>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</si>
  <si>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</si>
  <si>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</si>
  <si>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</si>
  <si>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</si>
  <si>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</si>
  <si>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</si>
  <si>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</si>
  <si>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</si>
  <si>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</si>
  <si>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</si>
  <si>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</si>
  <si>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</si>
  <si>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</si>
  <si>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</si>
  <si>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</si>
  <si>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</si>
  <si>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</si>
  <si>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</si>
  <si>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</si>
  <si>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</si>
  <si>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</si>
  <si>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</si>
  <si>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</si>
  <si>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</si>
  <si>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</si>
  <si>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</si>
  <si>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</si>
  <si>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</si>
  <si>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</si>
  <si>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</si>
  <si>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</si>
  <si>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</si>
  <si>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</si>
  <si>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</si>
  <si>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</si>
  <si>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</si>
  <si>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</si>
  <si>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</si>
  <si>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</si>
  <si>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</si>
  <si>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</si>
  <si>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</si>
  <si>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</si>
  <si>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</si>
  <si>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</si>
  <si>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</si>
  <si>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</si>
  <si>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</si>
  <si>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</si>
  <si>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</si>
  <si>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</si>
  <si>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</si>
  <si>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</si>
  <si>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</si>
  <si>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</si>
  <si>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</si>
  <si>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</si>
  <si>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</si>
  <si>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</si>
  <si>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</si>
  <si>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</si>
  <si>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</si>
  <si>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</si>
  <si>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</si>
  <si>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</si>
  <si>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</si>
  <si>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</si>
  <si>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</si>
  <si>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</si>
  <si>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</si>
  <si>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</si>
  <si>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</si>
  <si>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</si>
  <si>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</si>
  <si>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</si>
  <si>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</si>
  <si>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</si>
  <si>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</si>
  <si>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</si>
  <si>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</si>
  <si>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</si>
  <si>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</si>
  <si>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</si>
  <si>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</si>
  <si>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</si>
  <si>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</si>
  <si>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</si>
  <si>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</si>
  <si>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</si>
  <si>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</si>
  <si>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</si>
  <si>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</si>
  <si>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</si>
  <si>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</si>
  <si>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</si>
  <si>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</si>
  <si>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</si>
  <si>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</si>
  <si>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</si>
  <si>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</si>
  <si>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</si>
  <si>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</si>
  <si>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</si>
  <si>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</si>
  <si>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</si>
  <si>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</si>
  <si>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</si>
  <si>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</si>
  <si>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</si>
  <si>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</si>
  <si>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</si>
  <si>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</si>
  <si>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</si>
  <si>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</si>
  <si>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</si>
  <si>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</si>
  <si>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</si>
  <si>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</si>
  <si>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</si>
  <si>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</si>
  <si>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</si>
  <si>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</si>
  <si>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</si>
  <si>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</si>
  <si>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</si>
  <si>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</si>
  <si>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</si>
  <si>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</si>
  <si>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</si>
  <si>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</si>
  <si>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</si>
  <si>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</si>
  <si>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</si>
  <si>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</si>
  <si>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</si>
  <si>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</si>
  <si>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</si>
  <si>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</si>
  <si>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</si>
  <si>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</si>
  <si>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</si>
  <si>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</si>
  <si>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</si>
  <si>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</si>
  <si>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</si>
  <si>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</si>
  <si>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</si>
  <si>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</si>
  <si>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</si>
  <si>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</si>
  <si>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</si>
  <si>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</si>
  <si>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</si>
  <si>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</si>
  <si>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</si>
  <si>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</si>
  <si>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</si>
  <si>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</si>
  <si>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</si>
  <si>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</si>
  <si>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</si>
  <si>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</si>
  <si>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</si>
  <si>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</si>
  <si>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</si>
  <si>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</si>
  <si>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</si>
  <si>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</si>
  <si>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</si>
  <si>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</si>
  <si>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</si>
  <si>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</si>
  <si>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</si>
  <si>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</si>
  <si>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</si>
  <si>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</si>
  <si>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</si>
  <si>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</si>
  <si>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</si>
  <si>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</si>
  <si>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</si>
  <si>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</si>
  <si>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</si>
  <si>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</si>
  <si>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</si>
  <si>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</si>
  <si>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</si>
  <si>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</si>
  <si>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</si>
  <si>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</si>
  <si>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</si>
  <si>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</si>
  <si>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</si>
  <si>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</si>
  <si>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</si>
  <si>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</si>
  <si>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</si>
  <si>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</si>
  <si>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</si>
  <si>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</si>
  <si>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</si>
  <si>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</si>
  <si>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</si>
  <si>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</si>
  <si>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</si>
  <si>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</si>
  <si>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</si>
  <si>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</si>
  <si>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</si>
  <si>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</si>
  <si>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</si>
  <si>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</si>
  <si>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</si>
  <si>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</si>
  <si>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</si>
  <si>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</si>
  <si>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</si>
  <si>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</si>
  <si>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</si>
  <si>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</si>
  <si>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</si>
  <si>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</si>
  <si>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</si>
  <si>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</si>
  <si>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</si>
  <si>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</si>
  <si>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</si>
  <si>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</si>
  <si>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</si>
  <si>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</si>
  <si>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</si>
  <si>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</si>
  <si>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</si>
  <si>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</si>
  <si>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</si>
  <si>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</si>
  <si>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</si>
  <si>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</si>
  <si>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</si>
  <si>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</si>
  <si>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</si>
  <si>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</si>
  <si>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</si>
  <si>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</si>
  <si>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</si>
  <si>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</si>
  <si>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</si>
  <si>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</si>
  <si>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</si>
  <si>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</si>
  <si>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</si>
  <si>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</si>
  <si>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</si>
  <si>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</si>
  <si>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</si>
  <si>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</si>
  <si>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</si>
  <si>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</si>
  <si>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</si>
  <si>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</si>
  <si>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</si>
  <si>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</si>
  <si>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</si>
  <si>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</si>
  <si>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</si>
  <si>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</si>
  <si>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</si>
  <si>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</si>
  <si>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</si>
  <si>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</si>
  <si>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</si>
  <si>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</si>
  <si>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</si>
  <si>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</si>
  <si>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</si>
  <si>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</si>
  <si>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</si>
  <si>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</si>
  <si>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</si>
  <si>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</si>
  <si>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</si>
  <si>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</si>
  <si>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</si>
  <si>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</si>
  <si>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</si>
  <si>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</si>
  <si>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</si>
  <si>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</si>
  <si>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</si>
  <si>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</si>
  <si>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</si>
  <si>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</si>
  <si>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</si>
  <si>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</si>
  <si>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</si>
  <si>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</si>
  <si>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</si>
  <si>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</si>
  <si>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</si>
  <si>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</si>
  <si>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</si>
  <si>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</si>
  <si>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</si>
  <si>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</si>
  <si>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</si>
  <si>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</si>
  <si>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</si>
  <si>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</si>
  <si>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</si>
  <si>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</si>
  <si>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</si>
  <si>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</si>
  <si>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</si>
  <si>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</si>
  <si>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</si>
  <si>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</si>
  <si>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</si>
  <si>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</si>
  <si>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</si>
  <si>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</si>
  <si>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</si>
  <si>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</si>
  <si>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</si>
  <si>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</si>
  <si>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</si>
  <si>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</si>
  <si>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</si>
  <si>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</si>
  <si>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</si>
  <si>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</si>
  <si>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</si>
  <si>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</si>
  <si>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</si>
  <si>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</si>
  <si>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</si>
  <si>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</si>
  <si>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</si>
  <si>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</si>
  <si>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</si>
  <si>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</si>
  <si>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</si>
  <si>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</si>
  <si>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</si>
  <si>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</si>
  <si>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</si>
  <si>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</si>
  <si>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</si>
  <si>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</si>
  <si>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</si>
  <si>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</si>
  <si>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</si>
  <si>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</si>
  <si>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</si>
  <si>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</si>
  <si>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</si>
  <si>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</si>
  <si>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</si>
  <si>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</si>
  <si>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</si>
  <si>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</si>
  <si>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</si>
  <si>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</si>
  <si>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</si>
  <si>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</si>
  <si>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</si>
  <si>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</si>
  <si>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</si>
  <si>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</si>
  <si>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</si>
  <si>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</si>
  <si>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</si>
  <si>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</si>
  <si>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</si>
  <si>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</si>
  <si>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</si>
  <si>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</si>
  <si>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</si>
  <si>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</si>
  <si>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</si>
  <si>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</si>
  <si>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</si>
  <si>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</si>
  <si>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</si>
  <si>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</si>
  <si>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</si>
  <si>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</si>
  <si>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</si>
  <si>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</si>
  <si>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</si>
  <si>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</si>
  <si>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</si>
  <si>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</si>
  <si>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</si>
  <si>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</si>
  <si>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</si>
  <si>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</si>
  <si>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</si>
  <si>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</si>
  <si>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</si>
  <si>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</si>
  <si>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</si>
  <si>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</si>
  <si>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</si>
  <si>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</si>
  <si>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</si>
  <si>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</si>
  <si>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</si>
  <si>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</si>
  <si>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</si>
  <si>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</si>
  <si>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</si>
  <si>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</si>
  <si>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</si>
  <si>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</si>
  <si>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</si>
  <si>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</si>
  <si>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</si>
  <si>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</si>
  <si>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</si>
  <si>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</si>
  <si>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</si>
  <si>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</si>
  <si>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</si>
  <si>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</si>
  <si>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</si>
  <si>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</si>
  <si>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</si>
  <si>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</si>
  <si>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</si>
  <si>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</si>
  <si>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</si>
  <si>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</si>
  <si>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</si>
  <si>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</si>
  <si>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</si>
  <si>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</si>
  <si>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</si>
  <si>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</si>
  <si>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</si>
  <si>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</si>
  <si>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</si>
  <si>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</si>
  <si>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</si>
  <si>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</si>
  <si>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</si>
  <si>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</si>
  <si>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</si>
  <si>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</si>
  <si>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</si>
  <si>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</si>
  <si>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</si>
  <si>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</si>
  <si>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</si>
  <si>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</si>
  <si>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</si>
  <si>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</si>
  <si>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</si>
  <si>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</si>
  <si>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</si>
  <si>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</si>
  <si>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</si>
  <si>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</si>
  <si>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</si>
  <si>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</si>
  <si>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</si>
  <si>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</si>
  <si>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</si>
  <si>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</si>
  <si>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</si>
  <si>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</si>
  <si>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</si>
  <si>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</si>
  <si>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</si>
  <si>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</si>
  <si>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</si>
  <si>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</si>
  <si>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</si>
  <si>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</si>
  <si>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</si>
  <si>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</si>
  <si>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</si>
  <si>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</si>
  <si>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</si>
  <si>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</si>
  <si>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</si>
  <si>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</si>
  <si>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</si>
  <si>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</si>
  <si>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</si>
  <si>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</si>
  <si>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</si>
  <si>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</si>
  <si>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</si>
  <si>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</si>
  <si>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</si>
  <si>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</si>
  <si>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</si>
  <si>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</si>
  <si>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</si>
  <si>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</si>
  <si>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</si>
  <si>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</si>
  <si>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</si>
  <si>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</si>
  <si>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</si>
  <si>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</si>
  <si>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</si>
  <si>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</si>
  <si>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</si>
  <si>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</si>
  <si>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</si>
  <si>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</si>
  <si>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</si>
  <si>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</si>
  <si>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</si>
  <si>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</si>
  <si>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</si>
  <si>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</si>
  <si>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</si>
  <si>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</si>
  <si>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</si>
  <si>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</si>
  <si>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</si>
  <si>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</si>
  <si>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</si>
  <si>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</si>
  <si>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</si>
  <si>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</si>
  <si>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</si>
  <si>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</si>
  <si>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</si>
  <si>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</si>
  <si>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</si>
  <si>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</si>
  <si>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</si>
  <si>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</si>
  <si>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</si>
  <si>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</si>
  <si>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</si>
  <si>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</si>
  <si>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</si>
  <si>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</si>
  <si>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</si>
  <si>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</si>
  <si>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</si>
  <si>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</si>
  <si>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</si>
  <si>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</si>
  <si>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</si>
  <si>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</si>
  <si>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</si>
  <si>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</si>
  <si>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</si>
  <si>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</si>
  <si>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</si>
  <si>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</si>
  <si>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</si>
  <si>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</si>
  <si>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</si>
  <si>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</si>
  <si>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</si>
  <si>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</si>
  <si>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</si>
  <si>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</si>
  <si>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Number of null values</t>
  </si>
  <si>
    <t xml:space="preserve">STATISTICS</t>
  </si>
  <si>
    <t xml:space="preserve"># OF UNIQUE VALUES</t>
  </si>
  <si>
    <t xml:space="preserve">Count (number of records)</t>
  </si>
  <si>
    <t xml:space="preserve">Number of unique values</t>
  </si>
  <si>
    <t xml:space="preserve">Average</t>
  </si>
  <si>
    <t xml:space="preserve">Median</t>
  </si>
  <si>
    <t xml:space="preserve">First quartile</t>
  </si>
  <si>
    <t xml:space="preserve">Minimum</t>
  </si>
  <si>
    <t xml:space="preserve">ARTIST WITH THE HIGHEST NUMBER OF SONGS</t>
  </si>
  <si>
    <t xml:space="preserve">Artist</t>
  </si>
  <si>
    <t xml:space="preserve">% of negative songs</t>
  </si>
  <si>
    <t xml:space="preserve">% of positive songs</t>
  </si>
  <si>
    <t xml:space="preserve">Average of tempo</t>
  </si>
  <si>
    <t xml:space="preserve">Total Result</t>
  </si>
  <si>
    <t xml:space="preserve">AVERAGE TEMPO BY RELEASE YEAR OF SONG</t>
  </si>
  <si>
    <t xml:space="preserve">Year</t>
  </si>
  <si>
    <t xml:space="preserve">Average tempo (BPM)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</si>
</sst>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  <numFmt numFmtId="170" formatCode="0.00%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238"/>
    </font>
    <font>
      <b val="true"/>
      <sz val="14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Times New Roman"/>
      <family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Number of songs by explicit value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1404</c:v>
                </c:pt>
                <c:pt idx="1">
                  <c:v>538</c:v>
                </c:pt>
              </c:numCache>
            </c:numRef>
          </c:val>
        </c:ser>
        <c:gapWidth val="219"/>
        <c:overlap val="-27"/>
        <c:axId val="1727830"/>
        <c:axId val="44553575"/>
      </c:barChart>
      <c:catAx>
        <c:axId val="17278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553575"/>
        <c:crosses val="autoZero"/>
        <c:auto val="1"/>
        <c:lblAlgn val="ctr"/>
        <c:lblOffset val="100"/>
        <c:noMultiLvlLbl val="0"/>
      </c:catAx>
      <c:valAx>
        <c:axId val="445535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278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Average tempo (BPM)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pivot_tables!$I$29</c:f>
              <c:strCache>
                <c:ptCount val="1"/>
                <c:pt idx="0">
                  <c:v>Average tempo (BPM)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pivot_tables!$H$30:$H$52</c:f>
              <c:strCach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strCache>
            </c:strRef>
          </c:cat>
          <c:val>
            <c:numRef>
              <c:f>pivot_tables!$I$30:$I$52</c:f>
              <c:numCache>
                <c:formatCode>General</c:formatCode>
                <c:ptCount val="23"/>
                <c:pt idx="0">
                  <c:v>81.125</c:v>
                </c:pt>
                <c:pt idx="1">
                  <c:v>122.705</c:v>
                </c:pt>
                <c:pt idx="2">
                  <c:v>112.660873239437</c:v>
                </c:pt>
                <c:pt idx="3">
                  <c:v>117.414877358491</c:v>
                </c:pt>
                <c:pt idx="4">
                  <c:v>113.131563218391</c:v>
                </c:pt>
                <c:pt idx="5">
                  <c:v>119.410373626374</c:v>
                </c:pt>
                <c:pt idx="6">
                  <c:v>115.007484210526</c:v>
                </c:pt>
                <c:pt idx="7">
                  <c:v>119.289910891089</c:v>
                </c:pt>
                <c:pt idx="8">
                  <c:v>113.865451612903</c:v>
                </c:pt>
                <c:pt idx="9">
                  <c:v>120.7118</c:v>
                </c:pt>
                <c:pt idx="10">
                  <c:v>125.71456043956</c:v>
                </c:pt>
                <c:pt idx="11">
                  <c:v>125.218402439024</c:v>
                </c:pt>
                <c:pt idx="12">
                  <c:v>120.74986407767</c:v>
                </c:pt>
                <c:pt idx="13">
                  <c:v>125.569145833333</c:v>
                </c:pt>
                <c:pt idx="14">
                  <c:v>120.889955752212</c:v>
                </c:pt>
                <c:pt idx="15">
                  <c:v>122.101103448276</c:v>
                </c:pt>
                <c:pt idx="16">
                  <c:v>121.79707</c:v>
                </c:pt>
                <c:pt idx="17">
                  <c:v>120.005838709677</c:v>
                </c:pt>
                <c:pt idx="18">
                  <c:v>120.882653061224</c:v>
                </c:pt>
                <c:pt idx="19">
                  <c:v>120.045309090909</c:v>
                </c:pt>
                <c:pt idx="20">
                  <c:v>118.665759615385</c:v>
                </c:pt>
                <c:pt idx="21">
                  <c:v>127.952988764045</c:v>
                </c:pt>
                <c:pt idx="22">
                  <c:v>128.143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924579"/>
        <c:axId val="37738233"/>
      </c:lineChart>
      <c:catAx>
        <c:axId val="349245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738233"/>
        <c:crosses val="autoZero"/>
        <c:auto val="1"/>
        <c:lblAlgn val="ctr"/>
        <c:lblOffset val="100"/>
        <c:noMultiLvlLbl val="0"/>
      </c:catAx>
      <c:valAx>
        <c:axId val="377382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9245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257040</xdr:colOff>
      <xdr:row>15</xdr:row>
      <xdr:rowOff>6840</xdr:rowOff>
    </xdr:from>
    <xdr:to>
      <xdr:col>4</xdr:col>
      <xdr:colOff>521640</xdr:colOff>
      <xdr:row>31</xdr:row>
      <xdr:rowOff>91080</xdr:rowOff>
    </xdr:to>
    <xdr:sp>
      <xdr:nvSpPr>
        <xdr:cNvPr id="0" name=""/>
        <xdr:cNvSpPr/>
      </xdr:nvSpPr>
      <xdr:spPr>
        <a:xfrm>
          <a:off x="257040" y="2988000"/>
          <a:ext cx="5786640" cy="298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266760</xdr:colOff>
      <xdr:row>32</xdr:row>
      <xdr:rowOff>29520</xdr:rowOff>
    </xdr:from>
    <xdr:to>
      <xdr:col>4</xdr:col>
      <xdr:colOff>502560</xdr:colOff>
      <xdr:row>48</xdr:row>
      <xdr:rowOff>131040</xdr:rowOff>
    </xdr:to>
    <xdr:sp>
      <xdr:nvSpPr>
        <xdr:cNvPr id="1" name=""/>
        <xdr:cNvSpPr/>
      </xdr:nvSpPr>
      <xdr:spPr>
        <a:xfrm>
          <a:off x="266760" y="6087600"/>
          <a:ext cx="5757840" cy="299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684720</xdr:colOff>
      <xdr:row>15</xdr:row>
      <xdr:rowOff>12240</xdr:rowOff>
    </xdr:from>
    <xdr:to>
      <xdr:col>9</xdr:col>
      <xdr:colOff>1432080</xdr:colOff>
      <xdr:row>31</xdr:row>
      <xdr:rowOff>54720</xdr:rowOff>
    </xdr:to>
    <xdr:sp>
      <xdr:nvSpPr>
        <xdr:cNvPr id="2" name=""/>
        <xdr:cNvSpPr/>
      </xdr:nvSpPr>
      <xdr:spPr>
        <a:xfrm>
          <a:off x="6206760" y="2993400"/>
          <a:ext cx="5241960" cy="2938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5760</xdr:colOff>
      <xdr:row>15</xdr:row>
      <xdr:rowOff>1800</xdr:rowOff>
    </xdr:from>
    <xdr:to>
      <xdr:col>16</xdr:col>
      <xdr:colOff>157680</xdr:colOff>
      <xdr:row>30</xdr:row>
      <xdr:rowOff>123480</xdr:rowOff>
    </xdr:to>
    <xdr:graphicFrame>
      <xdr:nvGraphicFramePr>
        <xdr:cNvPr id="3" name="Chart 7"/>
        <xdr:cNvGraphicFramePr/>
      </xdr:nvGraphicFramePr>
      <xdr:xfrm>
        <a:off x="12213720" y="2982960"/>
        <a:ext cx="5176080" cy="283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396360</xdr:colOff>
      <xdr:row>29</xdr:row>
      <xdr:rowOff>8640</xdr:rowOff>
    </xdr:from>
    <xdr:to>
      <xdr:col>16</xdr:col>
      <xdr:colOff>64440</xdr:colOff>
      <xdr:row>48</xdr:row>
      <xdr:rowOff>68400</xdr:rowOff>
    </xdr:to>
    <xdr:graphicFrame>
      <xdr:nvGraphicFramePr>
        <xdr:cNvPr id="4" name="Chart 1"/>
        <xdr:cNvGraphicFramePr/>
      </xdr:nvGraphicFramePr>
      <xdr:xfrm>
        <a:off x="9843840" y="6028560"/>
        <a:ext cx="7504560" cy="349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42" createdVersion="3">
  <cacheSource type="worksheet">
    <worksheetSource ref="A1:U1943" sheet="songs"/>
  </cacheSource>
  <cacheFields count="21">
    <cacheField name="artist_id" numFmtId="0">
      <sharedItems containsSemiMixedTypes="0" containsString="0" containsNumber="1" containsInteger="1" minValue="1" maxValue="835" count="8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</sharedItems>
    </cacheField>
    <cacheField name="artist_name" numFmtId="0">
      <sharedItems count="835">
        <s v="*NSYNC"/>
        <s v="112"/>
        <s v="2 Chainz"/>
        <s v="21 Savage"/>
        <s v="2Pac"/>
        <s v="3 Doors Down"/>
        <s v="3LW"/>
        <s v="3OH!3"/>
        <s v="5 Seconds of Summer"/>
        <s v="50 Cent"/>
        <s v="6ix9ine"/>
        <s v="99 Souls"/>
        <s v="A Boogie Wit da Hoodie"/>
        <s v="A.R. Rahman"/>
        <s v="A$AP Ferg"/>
        <s v="A$AP Rocky"/>
        <s v="A1"/>
        <s v="Aaliyah"/>
        <s v="Adam Lambert"/>
        <s v="Adele"/>
        <s v="Afroman"/>
        <s v="Agnes"/>
        <s v="AJ Tracey"/>
        <s v="AJR"/>
        <s v="Akon"/>
        <s v="Alan Walker"/>
        <s v="Alanis Morissette"/>
        <s v="Alec Benjamin"/>
        <s v="Alesha Dixon"/>
        <s v="Alessia Cara"/>
        <s v="Alesso"/>
        <s v="Alex &amp; Sierra"/>
        <s v="Alex Clare"/>
        <s v="Alex Gaudino"/>
        <s v="Alexandra Burke"/>
        <s v="Alexandra Stan"/>
        <s v="Alice Deejay"/>
        <s v="Alicia Keys"/>
        <s v="Alien Ant Farm"/>
        <s v="All Saints"/>
        <s v="All Time Low"/>
        <s v="Aloe Blacc"/>
        <s v="Alok"/>
        <s v="alt-J"/>
        <s v="AlunaGeorge"/>
        <s v="Amanda Perez"/>
        <s v="Amerie"/>
        <s v="Amy Winehouse"/>
        <s v="Anastacia"/>
        <s v="Angie Martinez"/>
        <s v="Anne-Marie"/>
        <s v="Anuel AA"/>
        <s v="Arctic Monkeys"/>
        <s v="Ariana Grande"/>
        <s v="Armand Van Helden"/>
        <s v="Armin van Buuren"/>
        <s v="Asaf Avidan &amp; the Mojos"/>
        <s v="Ashanti"/>
        <s v="Asher Roth"/>
        <s v="Ashlee Simpson"/>
        <s v="Ashley O"/>
        <s v="Astrid S"/>
        <s v="Atomic Kitten"/>
        <s v="Audioslave"/>
        <s v="Ava Max"/>
        <s v="Avant"/>
        <s v="Avicii"/>
        <s v="Avril Lavigne"/>
        <s v="AWOLNATION"/>
        <s v="Axwell /\ Ingrosso"/>
        <s v="Ayo &amp; Teo"/>
        <s v="Azealia Banks"/>
        <s v="B Young"/>
        <s v="B.o.B"/>
        <s v="B2K"/>
        <s v="Baauer"/>
        <s v="Baby Bash"/>
        <s v="Baby Boy Da Prince"/>
        <s v="Backstreet Boys"/>
        <s v="Bad Bunny"/>
        <s v="Bad Meets Evil"/>
        <s v="Baha Men"/>
        <s v="Banx &amp; Ranx"/>
        <s v="Basement Jaxx"/>
        <s v="Basshunter"/>
        <s v="Bastille"/>
        <s v="Bazzi"/>
        <s v="Becky G"/>
        <s v="Benny Benassi"/>
        <s v="benny blanco"/>
        <s v="Beyoncé"/>
        <s v="Big Brovaz"/>
        <s v="Big Sean"/>
        <s v="Big Shaq"/>
        <s v="Big Tymers"/>
        <s v="Billie Eilish"/>
        <s v="Bingo Players"/>
        <s v="Birdy"/>
        <s v="Black Eyed Peas"/>
        <s v="blackbear"/>
        <s v="BLACKPINK"/>
        <s v="Blake Shelton"/>
        <s v="Blanco Brown"/>
        <s v="Blazin' Squad"/>
        <s v="blink-182"/>
        <s v="BlocBoy JB"/>
        <s v="Blu Cantrell"/>
        <s v="Blue"/>
        <s v="Blueface"/>
        <s v="Bob Sinclar"/>
        <s v="Bobby Shmurda"/>
        <s v="Bobby V."/>
        <s v="Bodyrockers"/>
        <s v="Bomfunk MC's"/>
        <s v="Bon Jovi"/>
        <s v="Bone Thugs-N-Harmony"/>
        <s v="BØRNS"/>
        <s v="Bow Wow"/>
        <s v="Boys Like Girls"/>
        <s v="Brandy"/>
        <s v="Brian McFadden"/>
        <s v="Bridgit Mendler"/>
        <s v="Britney Spears"/>
        <s v="Bruno Mars"/>
        <s v="Bryson Tiller"/>
        <s v="BTS"/>
        <s v="Bubba Sparxxx"/>
        <s v="Burak Yeter"/>
        <s v="Busta Rhymes"/>
        <s v="Cali Swag District"/>
        <s v="Calvin Harris"/>
        <s v="Cam’ron"/>
        <s v="Camila Cabello"/>
        <s v="Camille Jones"/>
        <s v="Capital Cities"/>
        <s v="Cardi B"/>
        <s v="Carl Thomas"/>
        <s v="Carly Rae Jepsen"/>
        <s v="Carrie Underwood"/>
        <s v="Cascada"/>
        <s v="Case"/>
        <s v="Cashmere Cat"/>
        <s v="Cassie"/>
        <s v="Céline Dion"/>
        <s v="Chad Kroeger"/>
        <s v="Chamillionaire"/>
        <s v="Charlene Soraia"/>
        <s v="Charli Baltimore"/>
        <s v="Charli XCX"/>
        <s v="Charlie Puth"/>
        <s v="Chase &amp; Status"/>
        <s v="Cheat Codes"/>
        <s v="Cher Lloyd"/>
        <s v="Cherish"/>
        <s v="Cheryl"/>
        <s v="Chicane"/>
        <s v="Childish Gambino"/>
        <s v="Chingy"/>
        <s v="Chip"/>
        <s v="Chord Overstreet"/>
        <s v="Chris Brown"/>
        <s v="Christina Aguilera"/>
        <s v="Christina Milian"/>
        <s v="Christina Perri"/>
        <s v="Ciara"/>
        <s v="Clean Bandit"/>
        <s v="CNCO"/>
        <s v="Cobra Starship"/>
        <s v="Colby O'Donis"/>
        <s v="Coldplay"/>
        <s v="Counting Crows"/>
        <s v="Craig David"/>
        <s v="Crazy Frog"/>
        <s v="Crazy Town"/>
        <s v="Creed"/>
        <s v="D12"/>
        <s v="D4L"/>
        <s v="Da Brat"/>
        <s v="DaBaby"/>
        <s v="Daddy Yankee"/>
        <s v="Daft Punk"/>
        <s v="Daniel Bedingfield"/>
        <s v="Daniel Powter"/>
        <s v="Danity Kane"/>
        <s v="Darude"/>
        <s v="Daughtry"/>
        <s v="Dave"/>
        <s v="David Archuleta"/>
        <s v="David Banner"/>
        <s v="David Guetta"/>
        <s v="Daya"/>
        <s v="DB Boulevard"/>
        <s v="Dean Lewis"/>
        <s v="Debelah Morgan"/>
        <s v="Default"/>
        <s v="Delta Goodrem"/>
        <s v="Dem Franchize Boyz"/>
        <s v="Demi Lovato"/>
        <s v="Dennis Lloyd"/>
        <s v="Deorro"/>
        <s v="Desiigner"/>
        <s v="Destiny's Child"/>
        <s v="DEV"/>
        <s v="Diddy"/>
        <s v="Diddy - Dirty Money"/>
        <s v="Dido"/>
        <s v="Dirty Vegas"/>
        <s v="Disclosure"/>
        <s v="Disturbing Tha Peace"/>
        <s v="Dizzee Rascal"/>
        <s v="DJ Casper"/>
        <s v="DJ Fresh"/>
        <s v="DJ Khaled"/>
        <s v="DJ Ötzi"/>
        <s v="DJ Pied Piper &amp; The Masters Of Ceremonies"/>
        <s v="DJ Sammy"/>
        <s v="DJ Snake"/>
        <s v="DMX"/>
        <s v="DNCE"/>
        <s v="Doja Cat"/>
        <s v="Dominic Fike"/>
        <s v="Donell Jones"/>
        <s v="Dr. Dre"/>
        <s v="Drake"/>
        <s v="Dua Lipa"/>
        <s v="Duck Sauce"/>
        <s v="Duffy"/>
        <s v="Duke Dumont"/>
        <s v="Dynoro"/>
        <s v="E-40"/>
        <s v="Eamon"/>
        <s v="Echosmith"/>
        <s v="Ed Sheeran"/>
        <s v="Edward Maya"/>
        <s v="Eiffel 65"/>
        <s v="Electric Six"/>
        <s v="Ella Henderson"/>
        <s v="Ella Mai"/>
        <s v="Ellie Goulding"/>
        <s v="Elliott Yamin"/>
        <s v="Elvis Presley"/>
        <s v="Emeli Sandé"/>
        <s v="Eminem"/>
        <s v="Emma Bunton"/>
        <s v="Empire of the Sun"/>
        <s v="Enrique Iglesias"/>
        <s v="Enya"/>
        <s v="EO"/>
        <s v="Eric Prydz"/>
        <s v="Erick Sermon"/>
        <s v="Erykah Badu"/>
        <s v="Estelle"/>
        <s v="Evanescence"/>
        <s v="Eve"/>
        <s v="Example"/>
        <s v="Fabolous"/>
        <s v="Faith Evans"/>
        <s v="Faith Hill"/>
        <s v="Faithless"/>
        <s v="Fall Out Boy"/>
        <s v="Far East Movement"/>
        <s v="Fat Joe"/>
        <s v="Fatman Scoop"/>
        <s v="Fedde Le Grand"/>
        <s v="Felix Jaehn"/>
        <s v="Fergie"/>
        <s v="Fetty Wap"/>
        <s v="Fifth Harmony"/>
        <s v="Finger Eleven"/>
        <s v="FINNEAS"/>
        <s v="Fitz and The Tantrums"/>
        <s v="Five"/>
        <s v="Flipp Dinero"/>
        <s v="Flo Rida"/>
        <s v="Floetry"/>
        <s v="Florence + The Machine"/>
        <s v="Florida Georgia Line"/>
        <s v="Flume"/>
        <s v="Foo Fighters"/>
        <s v="Fort Minor"/>
        <s v="Foster The People"/>
        <s v="Fragma"/>
        <s v="Frank Ocean"/>
        <s v="Frankie J"/>
        <s v="Franz Ferdinand"/>
        <s v="French Montana"/>
        <s v="Fuel"/>
        <s v="fun."/>
        <s v="Future"/>
        <s v="G-Eazy"/>
        <s v="G-Unit"/>
        <s v="G.R.L."/>
        <s v="Gabriella Cilmi"/>
        <s v="Gabrielle"/>
        <s v="Galantis"/>
        <s v="Gareth Gates"/>
        <s v="Garrett Nash"/>
        <s v="Gary Jules"/>
        <s v="Gavin DeGraw"/>
        <s v="George Michael"/>
        <s v="Geri Halliwell"/>
        <s v="Gesaffelstein"/>
        <s v="Gigi D'Agostino"/>
        <s v="Ginuwine"/>
        <s v="girl in red"/>
        <s v="Girls Aloud"/>
        <s v="Gnarls Barkley"/>
        <s v="Good Charlotte"/>
        <s v="Gorgon City"/>
        <s v="Gorillaz"/>
        <s v="Gotye"/>
        <s v="Green Day"/>
        <s v="Grimes"/>
        <s v="Grouplove"/>
        <s v="Guru Josh Project"/>
        <s v="Guy Sebastian"/>
        <s v="Gwen Stefani"/>
        <s v="Gym Class Heroes"/>
        <s v="H &quot;two&quot; O"/>
        <s v="Halsey"/>
        <s v="Hayden James"/>
        <s v="Hilltop Hoods"/>
        <s v="Hinder"/>
        <s v="Holly Valance"/>
        <s v="Hoobastank"/>
        <s v="Hot Chelle Rae"/>
        <s v="Houston"/>
        <s v="Hozier"/>
        <s v="Huey"/>
        <s v="Hugh Jackman"/>
        <s v="iann dior"/>
        <s v="Icona Pop"/>
        <s v="Ida Corr"/>
        <s v="Iggy Azalea"/>
        <s v="iio"/>
        <s v="Illy"/>
        <s v="Imagine Dragons"/>
        <s v="Infernal"/>
        <s v="INNA"/>
        <s v="Iyaz"/>
        <s v="J Balvin"/>
        <s v="J-Kwon"/>
        <s v="J. Cole"/>
        <s v="J. Holiday"/>
        <s v="Ja Rule"/>
        <s v="Jack Ü"/>
        <s v="Jack White"/>
        <s v="Jagged Edge"/>
        <s v="Jaheim"/>
        <s v="Jamelia"/>
        <s v="James Arthur"/>
        <s v="James Blunt"/>
        <s v="James Morrison"/>
        <s v="Jamie Foxx"/>
        <s v="Jamiroquai"/>
        <s v="Janet Jackson"/>
        <s v="Jason Aldean"/>
        <s v="Jason Derulo"/>
        <s v="Jax Jones"/>
        <s v="Jay Rock"/>
        <s v="Jay Sean"/>
        <s v="JAY-Z"/>
        <s v="Jeezy"/>
        <s v="Jennifer Hudson"/>
        <s v="Jennifer Lopez"/>
        <s v="Jeremih"/>
        <s v="Jessica Simpson"/>
        <s v="Jessie J"/>
        <s v="Jibbs"/>
        <s v="Jim Jones"/>
        <s v="Jimmy Eat World"/>
        <s v="JLS"/>
        <s v="Joe"/>
        <s v="Joel Adams"/>
        <s v="Joel Corry"/>
        <s v="John Legend"/>
        <s v="John Newman"/>
        <s v="JoJo"/>
        <s v="Jon Bellion"/>
        <s v="Jonas Blue"/>
        <s v="Jonas Brothers"/>
        <s v="Jordin Sparks"/>
        <s v="Juanes"/>
        <s v="Juice WRLD"/>
        <s v="Junior Senior"/>
        <s v="Just Jack"/>
        <s v="Justin Bieber"/>
        <s v="Justin Timberlake"/>
        <s v="JUVENILE"/>
        <s v="K-Ci &amp; JoJo"/>
        <s v="K'NAAN"/>
        <s v="Kaiser Chiefs"/>
        <s v="KALEO"/>
        <s v="Kandi"/>
        <s v="Kanye West"/>
        <s v="Kardinal Offishall"/>
        <s v="Kasabian"/>
        <s v="Katie Melua"/>
        <s v="Katy Perry"/>
        <s v="Keane"/>
        <s v="Kehlani"/>
        <s v="Kelis"/>
        <s v="Kelly Clarkson"/>
        <s v="Kelly Rowland"/>
        <s v="Kendrick Lamar"/>
        <s v="Kent Jones"/>
        <s v="Keri Hilson"/>
        <s v="Kesha"/>
        <s v="Kevin Gates"/>
        <s v="Kevin Lyttle"/>
        <s v="Kevin Rudolf"/>
        <s v="Keyshia Cole"/>
        <s v="Khalid"/>
        <s v="Khia"/>
        <s v="Kid Cudi"/>
        <s v="Kid Ink"/>
        <s v="Kiesza"/>
        <s v="Kiiara"/>
        <s v="Kings of Leon"/>
        <s v="Klangkarussell"/>
        <s v="Klaxons"/>
        <s v="Klingande"/>
        <s v="Kodak Black"/>
        <s v="Kris Allen"/>
        <s v="KT Tunstall"/>
        <s v="Kungs"/>
        <s v="Kygo"/>
        <s v="Kylie Minogue"/>
        <s v="La Roux"/>
        <s v="Labrinth"/>
        <s v="Lady A"/>
        <s v="Lady Gaga"/>
        <s v="Lana Del Rey"/>
        <s v="Las Ketchup"/>
        <s v="Lasgo"/>
        <s v="Lauv"/>
        <s v="LeAnn Rimes"/>
        <s v="Lemaitre"/>
        <s v="Lemar"/>
        <s v="Lenny Kravitz"/>
        <s v="Leona Lewis"/>
        <s v="Lewis Capaldi"/>
        <s v="Liam Payne"/>
        <s v="Liberty X"/>
        <s v="Lifehouse"/>
        <s v="Lil Baby"/>
        <s v="Lil Dicky"/>
        <s v="Lil Jon"/>
        <s v="Lil Jon &amp; The East Side Boyz"/>
        <s v="Lil Nas X"/>
        <s v="Lil Peep"/>
        <s v="Lil Pump"/>
        <s v="Lil Tecca"/>
        <s v="Lil Uzi Vert"/>
        <s v="Lil Wayne"/>
        <s v="Lil' Flip"/>
        <s v="Lil' Kim"/>
        <s v="Lilly Wood and The Prick"/>
        <s v="Lily Allen"/>
        <s v="Limp Bizkit"/>
        <s v="Linkin Park"/>
        <s v="Little Mix"/>
        <s v="LL Cool J"/>
        <s v="Lloyd"/>
        <s v="Lloyd Banks"/>
        <s v="LMC"/>
        <s v="LMFAO"/>
        <s v="Logic"/>
        <s v="Lorde"/>
        <s v="Lost Frequencies"/>
        <s v="Loud Luxury"/>
        <s v="Lucenzo"/>
        <s v="Ludacris"/>
        <s v="Luis Fonsi"/>
        <s v="Lumidee"/>
        <s v="Lunay"/>
        <s v="Lupe Fiasco"/>
        <s v="Lykke Li"/>
        <s v="M.I.A."/>
        <s v="M.O"/>
        <s v="M.O.P."/>
        <s v="M83"/>
        <s v="Mabel"/>
        <s v="Mac Miller"/>
        <s v="Machine Gun Kelly"/>
        <s v="Macklemore"/>
        <s v="Macklemore &amp; Ryan Lewis"/>
        <s v="Madcon"/>
        <s v="Madison Avenue"/>
        <s v="Madonna"/>
        <s v="Maggie Lindemann"/>
        <s v="MAGIC!"/>
        <s v="Major Lazer"/>
        <s v="Maluma"/>
        <s v="Manic Street Preachers"/>
        <s v="Mann"/>
        <s v="Marc Anthony"/>
        <s v="Mariah Carey"/>
        <s v="Marilyn Manson"/>
        <s v="MARINA"/>
        <s v="Mario"/>
        <s v="Mario Winans"/>
        <s v="Mark Ronson"/>
        <s v="Maroon 5"/>
        <s v="Marshmello"/>
        <s v="Martin Garrix"/>
        <s v="Martin Jensen"/>
        <s v="Martin Solveig"/>
        <s v="Mary J. Blige"/>
        <s v="Mary Mary"/>
        <s v="Matchbox Twenty"/>
        <s v="Matt Cardle"/>
        <s v="Meck"/>
        <s v="MEDUZA"/>
        <s v="Meek Mill"/>
        <s v="Megan Thee Stallion"/>
        <s v="Meghan Trainor"/>
        <s v="Melanie C"/>
        <s v="Metro Station"/>
        <s v="MGMT"/>
        <s v="Michael Jackson"/>
        <s v="Michel Teló"/>
        <s v="Michelle Branch"/>
        <s v="Migos"/>
        <s v="Miguel"/>
        <s v="MIKA"/>
        <s v="Mike Perry"/>
        <s v="Mike Posner"/>
        <s v="Miley Cyrus"/>
        <s v="Milky Chance"/>
        <s v="MiMS"/>
        <s v="Mis-Teeq"/>
        <s v="Missy Elliott"/>
        <s v="MK"/>
        <s v="MKTO"/>
        <s v="MNEK"/>
        <s v="MØ"/>
        <s v="Modjo"/>
        <s v="Moloko"/>
        <s v="Monica"/>
        <s v="Montell Jordan"/>
        <s v="Mr. Probz"/>
        <s v="Mumford &amp; Sons"/>
        <s v="Muse"/>
        <s v="Musiq Soulchild"/>
        <s v="Mustard"/>
        <s v="My Chemical Romance"/>
        <s v="Mýa"/>
        <s v="Mystikal"/>
        <s v="N.E.R.D"/>
        <s v="N.O.R.E."/>
        <s v="Nas"/>
        <s v="Natalie Imbruglia"/>
        <s v="Natalie La Rose"/>
        <s v="Natasha Bedingfield"/>
        <s v="Natti Natasha"/>
        <s v="Naughty Boy"/>
        <s v="Ne-Yo"/>
        <s v="Nelly"/>
        <s v="Nelly Furtado"/>
        <s v="Neon Trees"/>
        <s v="Next"/>
        <s v="NF"/>
        <s v="Nick Jonas"/>
        <s v="Nick Lachey"/>
        <s v="Nickelback"/>
        <s v="Nicki Minaj"/>
        <s v="Nicky Jam"/>
        <s v="Nico &amp; Vinz"/>
        <s v="Nicole Scherzinger"/>
        <s v="Nina Sky"/>
        <s v="Nio Garcia"/>
        <s v="NLE Choppa"/>
        <s v="No Doubt"/>
        <s v="Normani"/>
        <s v="NSG"/>
        <s v="O-Zone"/>
        <s v="O.T. Genasis"/>
        <s v="Oasis"/>
        <s v="Of Monsters and Men"/>
        <s v="Offset"/>
        <s v="Oliver Heldens"/>
        <s v="Olly Murs"/>
        <s v="Omarion"/>
        <s v="One Direction"/>
        <s v="OneRepublic"/>
        <s v="OPM"/>
        <s v="Orson"/>
        <s v="Otto Knows"/>
        <s v="Outkast"/>
        <s v="Owl City"/>
        <s v="Ozuna"/>
        <s v="P!nk"/>
        <s v="P.O.D."/>
        <s v="Paloma Faith"/>
        <s v="Panic! At The Disco"/>
        <s v="Panjabi MC"/>
        <s v="Papa Roach"/>
        <s v="Paramore"/>
        <s v="PARTYNEXTDOOR"/>
        <s v="Passenger"/>
        <s v="Paulo Londra"/>
        <s v="Pedro Capó"/>
        <s v="Peking Duk"/>
        <s v="Pendulum"/>
        <s v="Petey Pablo"/>
        <s v="Petit Biscuit"/>
        <s v="Pharrell Williams"/>
        <s v="Philip George"/>
        <s v="Pia Mia"/>
        <s v="Pitbull"/>
        <s v="Pixie Lott"/>
        <s v="Plain White T's"/>
        <s v="Plan B"/>
        <s v="Playboi Carti"/>
        <s v="Plies"/>
        <s v="Polo G"/>
        <s v="Post Malone"/>
        <s v="Pretty Ricky"/>
        <s v="Professor Green"/>
        <s v="PSY"/>
        <s v="Puddle Of Mudd"/>
        <s v="R. City"/>
        <s v="Rachel Stevens"/>
        <s v="Rae Sremmurd"/>
        <s v="Rag'n'Bone Man"/>
        <s v="Rascal Flatts"/>
        <s v="Ray J"/>
        <s v="Razorlight"/>
        <s v="Red Hot Chili Peppers"/>
        <s v="Regard"/>
        <s v="Reik"/>
        <s v="Rich Boy"/>
        <s v="Rich Homie Quan"/>
        <s v="Rich The Kid"/>
        <s v="Ricky Martin"/>
        <s v="Rihanna"/>
        <s v="Rita Ora"/>
        <s v="Rixton"/>
        <s v="Rizzle Kicks"/>
        <s v="Rob $tone"/>
        <s v="Rob Thomas"/>
        <s v="Robbie Williams"/>
        <s v="Robin Schulz"/>
        <s v="Robin Thicke"/>
        <s v="Robyn"/>
        <s v="Roger Sanchez"/>
        <s v="Ronan Keating"/>
        <s v="Room 5"/>
        <s v="Route 94"/>
        <s v="Rudimental"/>
        <s v="Ruff Endz"/>
        <s v="Rui Da Silva"/>
        <s v="Russ Millions"/>
        <s v="Ryan Cabrera"/>
        <s v="S Club 7"/>
        <s v="Sak Noel"/>
        <s v="Sam Feldt"/>
        <s v="Sam Smith"/>
        <s v="Sam Sparro"/>
        <s v="Samantha Mumba"/>
        <s v="Sammie"/>
        <s v="Sandi Thom"/>
        <s v="Santana"/>
        <s v="Savage Garden"/>
        <s v="Saving Abel"/>
        <s v="Saweetie"/>
        <s v="SAYGRACE"/>
        <s v="ScHoolboy Q"/>
        <s v="Scissor Sisters"/>
        <s v="Scooter"/>
        <s v="Scouting For Girls"/>
        <s v="Sean Kingston"/>
        <s v="Sean Paul"/>
        <s v="Sebastian Ingrosso"/>
        <s v="Sech"/>
        <s v="Seether"/>
        <s v="Selena Gomez"/>
        <s v="Selena Gomez &amp; The Scene"/>
        <s v="September"/>
        <s v="Shaggy"/>
        <s v="Shakira"/>
        <s v="Shawn Mendes"/>
        <s v="Shayne Ward"/>
        <s v="Sheck Wes"/>
        <s v="Sheppard"/>
        <s v="Shinedown"/>
        <s v="Shontelle"/>
        <s v="Shop Boyz"/>
        <s v="Sia"/>
        <s v="Sidney Samson"/>
        <s v="Sigala"/>
        <s v="Sigma"/>
        <s v="Silentó"/>
        <s v="Simply Red"/>
        <s v="Sisqo"/>
        <s v="Skillet"/>
        <s v="Skrillex"/>
        <s v="Snoop Dogg"/>
        <s v="Snow Patrol"/>
        <s v="So Solid Crew"/>
        <s v="Sofía Reyes"/>
        <s v="Sonique"/>
        <s v="Sophie Ellis-Bextor"/>
        <s v="Soulja Boy"/>
        <s v="Special D."/>
        <s v="Spiderbait"/>
        <s v="Staind"/>
        <s v="Starley"/>
        <s v="Steps"/>
        <s v="Stereophonics"/>
        <s v="Steve Aoki"/>
        <s v="Sting"/>
        <s v="Storm Queen"/>
        <s v="Stormzy"/>
        <s v="Stromae"/>
        <s v="Sugababes"/>
        <s v="Sunshine Anderson"/>
        <s v="Swedish House Mafia"/>
        <s v="Switchfoot"/>
        <s v="T-Pain"/>
        <s v="t.A.T.u."/>
        <s v="T.I."/>
        <s v="T2"/>
        <s v="Taio Cruz"/>
        <s v="Take That"/>
        <s v="Tame Impala"/>
        <s v="Tamia"/>
        <s v="Taylor Swift"/>
        <s v="Terror Squad"/>
        <s v="The All-American Rejects"/>
        <s v="The Band Perry"/>
        <s v="The Calling"/>
        <s v="The Chainsmokers"/>
        <s v="The Chemical Brothers"/>
        <s v="The Corrs"/>
        <s v="The Fratellis"/>
        <s v="The Fray"/>
        <s v="The Game"/>
        <s v="The Goo Goo Dolls"/>
        <s v="The Kooks"/>
        <s v="The Lumineers"/>
        <s v="The Neighbourhood"/>
        <s v="The Notorious B.I.G."/>
        <s v="The Offspring"/>
        <s v="The Prodigy"/>
        <s v="The Pussycat Dolls"/>
        <s v="The Raconteurs"/>
        <s v="The Rasmus"/>
        <s v="The Red Jumpsuit Apparatus"/>
        <s v="The Roots"/>
        <s v="The Saturdays"/>
        <s v="The Script"/>
        <s v="The Shapeshifters"/>
        <s v="The Streets"/>
        <s v="The Strokes"/>
        <s v="The Strumbellas"/>
        <s v="The Supermen Lovers"/>
        <s v="The Ting Tings"/>
        <s v="The Vamps"/>
        <s v="The Veronicas"/>
        <s v="The Wanted"/>
        <s v="The Weeknd"/>
        <s v="The White Stripes"/>
        <s v="The xx"/>
        <s v="The-Dream"/>
        <s v="Thirty Seconds To Mars"/>
        <s v="Three Days Grace"/>
        <s v="Tiësto"/>
        <s v="Tim Berg"/>
        <s v="Timbaland"/>
        <s v="Tinashe"/>
        <s v="Tinchy Stryder"/>
        <s v="Tinie Tempah"/>
        <s v="Toby Keith"/>
        <s v="Tom Jones"/>
        <s v="Tom Odell"/>
        <s v="Tom Walker"/>
        <s v="Tones And I"/>
        <s v="Toni Braxton"/>
        <s v="Tory Lanez"/>
        <s v="Tove Lo"/>
        <s v="Train"/>
        <s v="Trapt"/>
        <s v="Travie McCoy"/>
        <s v="Travis"/>
        <s v="Travis Scott"/>
        <s v="Trey Songz"/>
        <s v="Trick Daddy"/>
        <s v="Trillville"/>
        <s v="Truth Hurts"/>
        <s v="Tweet"/>
        <s v="Twenty One Pilots"/>
        <s v="Twista"/>
        <s v="Two Door Cinema Club"/>
        <s v="Tyga"/>
        <s v="Tyler, The Creator"/>
        <s v="Tyrese"/>
        <s v="U2"/>
        <s v="Ultrabeat"/>
        <s v="Unk"/>
        <s v="Usher"/>
        <s v="Vance Joy"/>
        <s v="Vanessa Carlton"/>
        <s v="Vengaboys"/>
        <s v="Waka Flocka Flame"/>
        <s v="Wale"/>
        <s v="Wayne Wonder"/>
        <s v="Westlife"/>
        <s v="Wheatus"/>
        <s v="Wiley"/>
        <s v="Will Smith"/>
        <s v="Will Young"/>
        <s v="will.i.am"/>
        <s v="WILLOW"/>
        <s v="Wiz Khalifa"/>
        <s v="Wyclef Jean"/>
        <s v="X Ambassadors"/>
        <s v="XXXTENTACION"/>
        <s v="Years &amp; Years"/>
        <s v="YG"/>
        <s v="Ying Yang Twins"/>
        <s v="Ylvis"/>
        <s v="Yo Gotti"/>
        <s v="Yolanda Be Cool"/>
        <s v="Young Money"/>
        <s v="Young T &amp; Bugsey"/>
        <s v="Young Thug"/>
        <s v="Youngbloodz"/>
        <s v="Yung Joc"/>
        <s v="Zara Larsson"/>
        <s v="Zay Hilfigerrr"/>
        <s v="ZAYN"/>
        <s v="Zedd"/>
        <s v="ZHU"/>
      </sharedItems>
    </cacheField>
    <cacheField name="song" numFmtId="0">
      <sharedItems count="1874">
        <s v="...Ready For It?"/>
        <s v="'Till I Collapse"/>
        <s v="(When You Gonna) Give It Up to Me (feat. Keyshia Cole) - Radio Version"/>
        <s v="#SELFIE - Original Mix"/>
        <s v="#thatPOWER"/>
        <s v="03' Bonnie &amp; Clyde"/>
        <s v="1 Thing"/>
        <s v="1, 2 Step (feat. Missy Elliott) - Main"/>
        <s v="1, 2, 3 (feat. Jason Derulo &amp; De La Ghetto)"/>
        <s v="17"/>
        <s v="1955"/>
        <s v="1973"/>
        <s v="2 On (feat. ScHoolboy Q)"/>
        <s v="2 Phones"/>
        <s v="2002"/>
        <s v="21 Guns"/>
        <s v="21 Questions"/>
        <s v="21 Seconds"/>
        <s v="212"/>
        <s v="22"/>
        <s v="24K Magic"/>
        <s v="2U (feat. Justin Bieber)"/>
        <s v="3 Nights"/>
        <s v="3005"/>
        <s v="4 Minutes (feat. Justin Timberlake &amp; Timbaland)"/>
        <s v="4 My People (feat. Eve)"/>
        <s v="6 Foot 7 Foot"/>
        <s v="679 (feat. Remy Boyz)"/>
        <s v="7 Days"/>
        <s v="7 rings"/>
        <s v="7/11"/>
        <s v="A Little Less Conversation - JXL Radio Edit Remix"/>
        <s v="a lot"/>
        <s v="A Milli"/>
        <s v="A Moment Like This"/>
        <s v="A New Day Has Come - Radio Remix"/>
        <s v="A Sky Full of Stars"/>
        <s v="A Thousand Miles"/>
        <s v="A Thousand Years"/>
        <s v="A Woman's Worth"/>
        <s v="Ã‰chame La Culpa"/>
        <s v="About You Now"/>
        <s v="Acceptable in the 80's"/>
        <s v="Adan y Eva"/>
        <s v="Addicted"/>
        <s v="Addictive"/>
        <s v="Adventure of a Lifetime"/>
        <s v="Again"/>
        <s v="Against All Odds (Take A Look at Me Now) (feat. Westlife)"/>
        <s v="Ai Se Eu Te Pego - Live"/>
        <s v="Ain't It Funny"/>
        <s v="Ain't My Fault"/>
        <s v="Ain't No Other Man"/>
        <s v="Ain't Nobody (Loves Me Better) (feat. Jasmine Thompson)"/>
        <s v="Air Force Ones"/>
        <s v="Airplanes (feat. Hayley Williams of Paramore)"/>
        <s v="Alarm"/>
        <s v="Alejandro"/>
        <s v="All About That Bass"/>
        <s v="All Day And Night"/>
        <s v="All Eyes on You (feat. Chris Brown &amp; Nicki Minaj)"/>
        <s v="All Falls Down"/>
        <s v="All For You"/>
        <s v="All I Do Is Win (feat. T-Pain, Ludacris, Snoop Dogg &amp; Rick Ross)"/>
        <s v="All I Ever Wanted - Radio Edit"/>
        <s v="All I Have (feat. LL Cool J)"/>
        <s v="All I Want - Sunship Radio Edit"/>
        <s v="All In My Head (Flex) (feat. Fetty Wap)"/>
        <s v="All Night"/>
        <s v="All of Me"/>
        <s v="All Of The Lights"/>
        <s v="All Rise"/>
        <s v="All The Right Moves"/>
        <s v="All The Small Things"/>
        <s v="All The Stars (with SZA)"/>
        <s v="All The Things She Said"/>
        <s v="All Time Low"/>
        <s v="All You Wanted"/>
        <s v="Almost Here"/>
        <s v="Alone"/>
        <s v="Alors on danse - Radio Edit"/>
        <s v="Already Gone"/>
        <s v="Always On Time"/>
        <s v="Am I Wrong"/>
        <s v="AM To PM"/>
        <s v="Amazing"/>
        <s v="America"/>
        <s v="American Boy"/>
        <s v="American Idiot"/>
        <s v="American Pie"/>
        <s v="Anaconda"/>
        <s v="Angel"/>
        <s v="Animal"/>
        <s v="Animals"/>
        <s v="Animals - Radio Edit"/>
        <s v="Another Chance"/>
        <s v="Another Day in Paradise - R&amp;B-Version"/>
        <s v="Another Love"/>
        <s v="Another Way to Die"/>
        <s v="Answerphone (feat. Yxng Bane)"/>
        <s v="Antidote"/>
        <s v="Antisocial (with Travis Scott)"/>
        <s v="Anyone of Us (Stupid Mistake)"/>
        <s v="Anywhere"/>
        <s v="Apologize"/>
        <s v="Are You With Me - Radio Edit"/>
        <s v="As Good As I Once Was"/>
        <s v="As Long As You Love Me"/>
        <s v="Ass Back Home (feat. Neon Hitch)"/>
        <s v="Ass Like That"/>
        <s v="Attention"/>
        <s v="Axel F"/>
        <s v="Ayo"/>
        <s v="Ayo Technology"/>
        <s v="Baby"/>
        <s v="Baby Boy (feat. Sean Paul)"/>
        <s v="Baby, I'm Back"/>
        <s v="Back To Black"/>
        <s v="Back To December"/>
        <s v="Bad (feat. Rihanna) - Remix"/>
        <s v="Bad (feat. Vassy) - Radio Edit"/>
        <s v="Bad and Boujee (feat. Lil Uzi Vert)"/>
        <s v="Bad At Love"/>
        <s v="Bad Blood"/>
        <s v="Bad Boys (feat. Flo Rida)"/>
        <s v="Bad Day"/>
        <s v="bad guy"/>
        <s v="Bad Romance"/>
        <s v="Bad Vibe"/>
        <s v="Bag Lady"/>
        <s v="Bailando - Spanish Version"/>
        <s v="Bananza (Belly Dancer)"/>
        <s v="Bang Bang"/>
        <s v="Bang My Head (feat. Sia &amp; Fetty Wap)"/>
        <s v="Bangarang (feat. Sirah)"/>
        <s v="Bank Account"/>
        <s v="Barbra Streisand - Radio Edit"/>
        <s v="Bartender (feat. Akon)"/>
        <s v="Battle Scars (feat. Lupe Fiasco)"/>
        <s v="Battlefield"/>
        <s v="Be Alright"/>
        <s v="Be Faithful"/>
        <s v="Be With You"/>
        <s v="Be Without You - Kendu Mix"/>
        <s v="Beat Again - Radio Edit"/>
        <s v="Beautiful"/>
        <s v="Beautiful Girls"/>
        <s v="Beautiful Liar"/>
        <s v="Beautiful Monster"/>
        <s v="Beautiful People"/>
        <s v="Beauty And A Beat"/>
        <s v="Because I Got High"/>
        <s v="Because of You"/>
        <s v="Bed"/>
        <s v="Bed Of Lies"/>
        <s v="BedRock"/>
        <s v="Beep"/>
        <s v="Before He Cheats"/>
        <s v="Beggin (original version)"/>
        <s v="Behind Blue Eyes"/>
        <s v="Behind These Hazel Eyes"/>
        <s v="Believer"/>
        <s v="Bent"/>
        <s v="Berzerk"/>
        <s v="Best I Ever Had"/>
        <s v="Best of You"/>
        <s v="Best Song Ever"/>
        <s v="Best Thing I Never Had"/>
        <s v="Better"/>
        <s v="Better in Time"/>
        <s v="Better Now"/>
        <s v="Better Off Alone"/>
        <s v="Better Than Me"/>
        <s v="BIG BANK (feat. 2 Chainz, Big Sean, Nicki Minaj)"/>
        <s v="Big Girls Don't Cry (Personal)"/>
        <s v="Big Green Tractor"/>
        <s v="Big Pimpin'"/>
        <s v="Big Yellow Taxi"/>
        <s v="Billionaire (feat. Bruno Mars)"/>
        <s v="Birthday Sex"/>
        <s v="Bitch Better Have My Money"/>
        <s v="Black &amp; Gold - Radio Edit"/>
        <s v="Black and Yellow"/>
        <s v="Black Beatles"/>
        <s v="Black Betty - Edit"/>
        <s v="Black Horse And The Cherry Tree"/>
        <s v="Black Magic"/>
        <s v="Black Skinhead"/>
        <s v="Black Widow"/>
        <s v="Blah Blah Blah (feat. 3OH!3)"/>
        <s v="Blame (feat. John Newman)"/>
        <s v="Blame It"/>
        <s v="Blank Space"/>
        <s v="Bleed It Out"/>
        <s v="Bleeding Love"/>
        <s v="Blind Faith"/>
        <s v="Blow"/>
        <s v="Blown Away"/>
        <s v="Blurred Lines"/>
        <s v="Blurry"/>
        <s v="Boasty (feat. Idris Elba)"/>
        <s v="Bodak Yellow"/>
        <s v="Body (feat. brando)"/>
        <s v="Body Party"/>
        <s v="Bonfire Heart"/>
        <s v="Bonkers"/>
        <s v="Boom Boom Pow"/>
        <s v="Boom Clap"/>
        <s v="Bootylicious"/>
        <s v="Bored"/>
        <s v="Born This Way"/>
        <s v="Born To Die"/>
        <s v="Born to Make You Happy"/>
        <s v="Born to Try"/>
        <s v="Bossy"/>
        <s v="Bottoms Up (feat. Nicki Minaj)"/>
        <s v="Boulevard of Broken Dreams"/>
        <s v="Bounce (feat. Kelis) - Radio Edit"/>
        <s v="Bounce Back"/>
        <s v="Bounce With Me (feat. Xscape) - Edited Album Version"/>
        <s v="Boy With Luv (feat. Halsey)"/>
        <s v="Boyfriend"/>
        <s v="boyfriend (with Social House)"/>
        <s v="Break Free"/>
        <s v="Break the Ice"/>
        <s v="Break Up"/>
        <s v="break up with your girlfriend, i'm bored"/>
        <s v="Break Your Heart"/>
        <s v="Breaking the Habit"/>
        <s v="Breathe"/>
        <s v="Breathless"/>
        <s v="Breezeblocks"/>
        <s v="Brianstorm"/>
        <s v="Bring Em Out"/>
        <s v="Bring Me To Life"/>
        <s v="Broken Strings"/>
        <s v="Bulletproof"/>
        <s v="Bump, Bump, Bump (feat. P. Diddy)"/>
        <s v="Burn"/>
        <s v="BURN IT DOWN"/>
        <s v="Burnin' Up"/>
        <s v="bury a friend"/>
        <s v="Bust It Baby, Pt. 2 (feat. Ne-Yo)"/>
        <s v="Butterfly"/>
        <s v="BUTTERFLY EFFECT"/>
        <s v="Buttons"/>
        <s v="Buy U a Drank (Shawty Snappin') (feat. Yung Joc)"/>
        <s v="Buzzin Remix"/>
        <s v="By the Way"/>
        <s v="Bye Bye Bye"/>
        <s v="C'Mon"/>
        <s v="Cake By The Ocean"/>
        <s v="California Gurls"/>
        <s v="Call Me Maybe"/>
        <s v="Call Me When You're Sober"/>
        <s v="Call on Me - Radio Mix"/>
        <s v="Call on Me - Ryan Riback Remix"/>
        <s v="Call Out My Name"/>
        <s v="Callaita"/>
        <s v="Calma - Remix"/>
        <s v="Can't Be Tamed"/>
        <s v="Can't Believe It (feat. Lil' Wayne)"/>
        <s v="Can't Feel My Face"/>
        <s v="Can't Fight The Moonlight"/>
        <s v="Can't Get You out of My Head"/>
        <s v="Can't Help but Wait"/>
        <s v="Can't Hold Us (feat. Ray Dalton)"/>
        <s v="Can't Hold Us Down (feat. Lil' Kim)"/>
        <s v="Can't Let You Go (feat. Mike Shorey &amp; Lil' Mo)"/>
        <s v="Can't Stop"/>
        <s v="CAN'T STOP THE FEELING! (from DreamWorks Animation's &quot;TROLLS&quot;)"/>
        <s v="Can't Tell Me Nothing"/>
        <s v="Candy"/>
        <s v="Candy Shop"/>
        <s v="Candyman"/>
        <s v="Carry Out (Featuring Justin Timberlake)"/>
        <s v="Case Of The Ex (Whatcha Gonna Do)"/>
        <s v="Cater 2 U"/>
        <s v="Caught in the Middle"/>
        <s v="Caught Up"/>
        <s v="Centuries"/>
        <s v="Cha Cha Slide - Hardino Mix"/>
        <s v="Chain Hang Low"/>
        <s v="Chained To The Rhythm"/>
        <s v="Champion (feat. Chris Brown)"/>
        <s v="Chandelier"/>
        <s v="Changed the Way You Kiss Me - Radio Edit"/>
        <s v="changes"/>
        <s v="Chasing Pavements"/>
        <s v="Chasing The Sun"/>
        <s v="Cheap Thrills (feat. Sean Paul)"/>
        <s v="Check On It (feat. Slim Thug)"/>
        <s v="Chelsea Dagger"/>
        <s v="Chill Bill (feat. J. Davi$ &amp; Spooks)"/>
        <s v="China"/>
        <s v="Ciao Adios"/>
        <s v="Circles"/>
        <s v="Circus"/>
        <s v="Clarity"/>
        <s v="Classic"/>
        <s v="Cleanin' Out My Closet"/>
        <s v="Clint Eastwood"/>
        <s v="Clocks"/>
        <s v="Close"/>
        <s v="Closer"/>
        <s v="Clout (feat. Cardi B)"/>
        <s v="Club Can't Handle Me (feat. David Guetta)"/>
        <s v="Clumsy"/>
        <s v="CoCo"/>
        <s v="Cold (feat. Future)"/>
        <s v="Cold as Ice"/>
        <s v="Cold Water (feat. Justin Bieber &amp; MÃ˜)"/>
        <s v="Collard Greens"/>
        <s v="Come &amp; Get It"/>
        <s v="Come on over Baby (All I Want Is You) - Radio Version"/>
        <s v="Come to Me (feat. Nicole Scherzinger)"/>
        <s v="Come With Me - Radio Edit"/>
        <s v="Comfortably Numb"/>
        <s v="Coming Home"/>
        <s v="Commander"/>
        <s v="Complicated"/>
        <s v="Con Calma"/>
        <s v="Confident"/>
        <s v="Congratulations"/>
        <s v="Control Myself"/>
        <s v="Cookie Jar (feat. The-Dream)"/>
        <s v="Cool"/>
        <s v="Cool for the Summer"/>
        <s v="Cool Girl"/>
        <s v="Cool Kids"/>
        <s v="Cooler Than Me - Single Mix"/>
        <s v="CorazÃ³n (feat. Nego do Borel)"/>
        <s v="Counting Stars"/>
        <s v="Country Grammar (Hot Shit)"/>
        <s v="Crack A Bottle"/>
        <s v="Crank That (Soulja Boy)"/>
        <s v="Crash and Burn"/>
        <s v="Crazy"/>
        <s v="Crazy In Love (feat. Jay-Z)"/>
        <s v="Criminal"/>
        <s v="Cross Me (feat. Chance the Rapper &amp; PnB Rock)"/>
        <s v="Crossroads - Radio Edit"/>
        <s v="Cruel Summer"/>
        <s v="Cruise"/>
        <s v="Crush"/>
        <s v="Cry for You"/>
        <s v="Cry Me a River"/>
        <s v="Cupid's Chokehold / Breakfast in America - Radio Mix"/>
        <s v="Daddy Issues"/>
        <s v="Dakota"/>
        <s v="Damaged"/>
        <s v="Damn! (feat. Lil' Jon) - Club Mix"/>
        <s v="Dance Again"/>
        <s v="Dance Monkey"/>
        <s v="Dance with Me"/>
        <s v="Dance Wiv Me - Radio Edit"/>
        <s v="Dance, Dance"/>
        <s v="Dancing On My Own"/>
        <s v="Dancing With A Stranger (with Normani)"/>
        <s v="Danger! High Voltage - Soulchild Radio Mix"/>
        <s v="Dangerous"/>
        <s v="Dangerous Woman"/>
        <s v="Dangerously"/>
        <s v="Dani California"/>
        <s v="Danza Kuduro (feat. Don Omar)"/>
        <s v="DARE"/>
        <s v="Dark Horse"/>
        <s v="Day 'N' Nite (Nightmare)"/>
        <s v="Daylight"/>
        <s v="Days Go By"/>
        <s v="Dead And Gone"/>
        <s v="Dear Darlin'"/>
        <s v="Dear Maria, Count Me In"/>
        <s v="Deja Vu (feat. Jay-Z)"/>
        <s v="Demons"/>
        <s v="Desert Rose"/>
        <s v="Despacito (Featuring Daddy Yankee)"/>
        <s v="Destination Calabria - Radio Edit"/>
        <s v="Deuces (feat. Tyga &amp; Kevin McCall)"/>
        <s v="Diamonds"/>
        <s v="Diamonds From Sierra Leone - Remix"/>
        <s v="Diary (feat. Tony! Toni! Tone! &amp; Jermaine Paul)"/>
        <s v="Die Another Day"/>
        <s v="Die Young"/>
        <s v="Differences"/>
        <s v="Dilemma"/>
        <s v="Dip It Low"/>
        <s v="Dirrty (feat. Redman)"/>
        <s v="Dirt Off Your Shoulder"/>
        <s v="Dirt Road Anthem"/>
        <s v="Dirty Little Secret"/>
        <s v="Disco Inferno"/>
        <s v="Disturbia"/>
        <s v="DJ Got Us Fallin' In Love (feat. Pitbull)"/>
        <s v="DNA."/>
        <s v="Do I Wanna Know?"/>
        <s v="Do It Again"/>
        <s v="Do It Like A Dude"/>
        <s v="Do It To It"/>
        <s v="do re mi"/>
        <s v="Do You Know? (The Ping Pong Song)"/>
        <s v="Do You Really Like It? - Radio Edit"/>
        <s v="Do You Remember"/>
        <s v="Do You Want To"/>
        <s v="Doesn't Really Matter"/>
        <s v="Doin' Time"/>
        <s v="Domino"/>
        <s v="Don't"/>
        <s v="Don't Call Me Baby"/>
        <s v="Don't Call Me Up"/>
        <s v="Don't Cha"/>
        <s v="Don't Forget About Us - Radio Edit"/>
        <s v="Don't Give Up"/>
        <s v="Don't Hold Your Breath"/>
        <s v="Don't Let Me Down"/>
        <s v="Don't Let Me Get Me - Radio Edit"/>
        <s v="Don't Lie"/>
        <s v="Don't Love You No More (I'm Sorry)"/>
        <s v="Don't Matter"/>
        <s v="Don't Mind"/>
        <s v="Don't Phunk With My Heart"/>
        <s v="Don't Start Now"/>
        <s v="Don't Stop Movin'"/>
        <s v="Don't Stop The Music"/>
        <s v="Don't Stop the Party (feat. TJR)"/>
        <s v="Don't Tell 'Em"/>
        <s v="Don't Tell Me"/>
        <s v="Don't Think I'm Not"/>
        <s v="Don't Wake Me Up"/>
        <s v="Don't Wanna Go Home"/>
        <s v="Don't Wanna Know (feat. Kendrick Lamar)"/>
        <s v="Don't Wanna Try"/>
        <s v="Don't You Worry Child - Radio Edit"/>
        <s v="Donald Trump"/>
        <s v="Done for Me (feat. Kehlani)"/>
        <s v="DONTTRUSTME"/>
        <s v="Down"/>
        <s v="Down 4 U"/>
        <s v="Down On Me"/>
        <s v="Down With The Trumpets"/>
        <s v="Drag Me Down"/>
        <s v="Dragostea Din Tei"/>
        <s v="Drinking from the Bottle (feat. Tinie Tempah)"/>
        <s v="Drive By"/>
        <s v="Drop It Like It's Hot"/>
        <s v="Drops of Jupiter (Tell Me)"/>
        <s v="Drowning (feat. Kodak Black)"/>
        <s v="Drunk in Love (feat. Jay-Z)"/>
        <s v="DUELE EL CORAZON (feat. Wisin)"/>
        <s v="Dura"/>
        <s v="Dusk Till Dawn (feat. Sia) - Radio Edit"/>
        <s v="Dynamite"/>
        <s v="E.T."/>
        <s v="EARFQUAKE"/>
        <s v="Earned It (Fifty Shades Of Grey) - From The &quot;Fifty Shades Of Grey&quot; Soundtrack"/>
        <s v="Earthquake (feat. Tinie Tempah)"/>
        <s v="Easier"/>
        <s v="Eastside (with Halsey &amp; Khalid)"/>
        <s v="Easy Love"/>
        <s v="Eenie Meenie"/>
        <s v="El PerdÃ³n - Forgiveness"/>
        <s v="Elastic Heart"/>
        <s v="Electric Love"/>
        <s v="emotions"/>
        <s v="Empire State Of Mind"/>
        <s v="Empire State of Mind (Part II) Broken Down"/>
        <s v="Escape"/>
        <s v="Eternal Flame - Single Version"/>
        <s v="Eternity"/>
        <s v="Evacuate The Dancefloor"/>
        <s v="Every Teardrop Is a Waterfall"/>
        <s v="Everybody in Love"/>
        <s v="Everyday"/>
        <s v="Everyday I Love You Less And Less"/>
        <s v="Everytime"/>
        <s v="Everytime We Touch - Radio Edit"/>
        <s v="Everytime You Need Me - Radio Version"/>
        <s v="Exchange"/>
        <s v="Excuse Me Miss"/>
        <s v="Eyes On You - Radio Mix"/>
        <s v="F**kin' Perfect"/>
        <s v="F**kin' Problems (feat. Drake, 2 Chainz &amp; Kendrick Lamar)"/>
        <s v="Face Down"/>
        <s v="Faded"/>
        <s v="Faint"/>
        <s v="Fake It"/>
        <s v="Family Affair"/>
        <s v="Fancy"/>
        <s v="Far Away"/>
        <s v="Fast Car"/>
        <s v="Feel Good Inc."/>
        <s v="Feel So Close - Radio Edit"/>
        <s v="Feel the Love (feat. John Newman)"/>
        <s v="Feel This Moment (feat. Christina Aguilera)"/>
        <s v="Feels (feat. Pharrell Williams, Katy Perry &amp; Big Sean)"/>
        <s v="FEFE"/>
        <s v="Fergalicious"/>
        <s v="Fetish (feat. Gucci Mane)"/>
        <s v="Fight For This Love"/>
        <s v="Fighter"/>
        <s v="Fill Me In"/>
        <s v="Final Song"/>
        <s v="Find Your Love"/>
        <s v="Fine China"/>
        <s v="Finesse - Remix; feat. Cardi B"/>
        <s v="Fire"/>
        <s v="Fire Burning"/>
        <s v="Fireflies"/>
        <s v="Firestone"/>
        <s v="Firework"/>
        <s v="Fit but You Know It"/>
        <s v="Five More Hours"/>
        <s v="Flames"/>
        <s v="Flashing Lights"/>
        <s v="Flex (Ooh, Ooh, Ooh)"/>
        <s v="Foolish"/>
        <s v="For You (Fifty Shades Freed) (&amp; Rita Ora)"/>
        <s v="Forever"/>
        <s v="Forgot About Dre"/>
        <s v="Freak Like Me"/>
        <s v="Freaky Friday (feat. Chris Brown)"/>
        <s v="Freek-A-Leek"/>
        <s v="Freestyler"/>
        <s v="FRIENDS"/>
        <s v="Friends (with BloodPopÂ®)"/>
        <s v="From Paris to Berlin"/>
        <s v="Frontin' (feat. Jay-Z) - Club Mix"/>
        <s v="Fuck It (I Don't Want You Back)"/>
        <s v="Full Moon"/>
        <s v="Galvanize"/>
        <s v="Gangnam Style (ê°•ë‚¨ìŠ¤íƒ€ì¼)"/>
        <s v="Gangsta Lovin'"/>
        <s v="Gasolina"/>
        <s v="GDFR (feat. Sage the Gemini &amp; Lookas)"/>
        <s v="Gecko (Overdrive) - Radio Edit"/>
        <s v="German"/>
        <s v="Geronimo"/>
        <s v="Get Back"/>
        <s v="Get Busy"/>
        <s v="Get It On Tonite"/>
        <s v="Get It Poppin' (feat. Nelly) - Radio Version"/>
        <s v="Get It Shawty"/>
        <s v="Get Low"/>
        <s v="Get Lucky (feat. Pharrell Williams &amp; Nile Rodgers) - Radio Edit"/>
        <s v="Get Right"/>
        <s v="Get the Party Started"/>
        <s v="Get Up (feat. Chamillionaire)"/>
        <s v="Get Up (Rattle) - Vocal Edit"/>
        <s v="Get Ur Freak On"/>
        <s v="Gettin' Over You (feat. Fergie &amp; LMFAO)"/>
        <s v="Ghetto Gospel"/>
        <s v="Ghost"/>
        <s v="Ghost Town"/>
        <s v="Giant (with Rag'n'Bone Man)"/>
        <s v="Gimme More"/>
        <s v="Gimme That"/>
        <s v="Gimme the Light"/>
        <s v="Girl"/>
        <s v="Girlfriend"/>
        <s v="Girls Like (feat. Zara Larsson)"/>
        <s v="Girls Like You (feat. Cardi B) - Cardi B Version"/>
        <s v="Give It 2 Me"/>
        <s v="Give It To Me"/>
        <s v="Give Me Everything (feat. Ne-Yo, Afrojack &amp; Nayer)"/>
        <s v="Give Your Heart a Break"/>
        <s v="Glad You Came"/>
        <s v="Glamorous"/>
        <s v="Glorious (feat. Skylar Grey)"/>
        <s v="Go Let It Out"/>
        <s v="God is a woman"/>
        <s v="God's Plan"/>
        <s v="Going Bad (feat. Drake)"/>
        <s v="Gold"/>
        <s v="Gold Digger"/>
        <s v="Gold Dust - Radio Edit"/>
        <s v="Golden Skans"/>
        <s v="Gone"/>
        <s v="gone girl"/>
        <s v="Good Feeling"/>
        <s v="Good For You"/>
        <s v="Good Girls Go Bad (feat. Leighton Meester)"/>
        <s v="Good Grief"/>
        <s v="Good Life"/>
        <s v="Good Life (with G-Eazy &amp; Kehlani)"/>
        <s v="Good Luck"/>
        <s v="Good Time"/>
        <s v="Goodbye My Lover"/>
        <s v="Goodbyes (Feat. Young Thug)"/>
        <s v="Goodies (feat. Petey Pablo)"/>
        <s v="goosebumps"/>
        <s v="Gossip Folks (feat. Ludacris)"/>
        <s v="Got Money"/>
        <s v="Gotta Be Somebody"/>
        <s v="Gotta Get Thru This - D'N'D Radio Edit"/>
        <s v="Gotta Tell You"/>
        <s v="Grace Kelly"/>
        <s v="Green Light (feat. AndrÃ© 3000)"/>
        <s v="Grenade"/>
        <s v="Grillz"/>
        <s v="Grind With Me"/>
        <s v="Gucci Gang"/>
        <s v="GUMMO"/>
        <s v="Habits (Stay High)"/>
        <s v="Halfcrazy"/>
        <s v="Hall of Fame (feat. will.i.am)"/>
        <s v="Hallelujah"/>
        <s v="Halo"/>
        <s v="HandClap"/>
        <s v="Hands Clean"/>
        <s v="Hands on the Wheel (feat. Asap Rocky)"/>
        <s v="Hanging By A Moment"/>
        <s v="Happier"/>
        <s v="Happy"/>
        <s v="Happy - From &quot;Despicable Me 2&quot;"/>
        <s v="Hard"/>
        <s v="Harlem Shake"/>
        <s v="Hate It Or Love It"/>
        <s v="Havana (feat. Young Thug)"/>
        <s v="Have You Ever"/>
        <s v="He Can't Love U"/>
        <s v="He Wasn't Man Enough"/>
        <s v="Headlines"/>
        <s v="Headsprung"/>
        <s v="Headstrong"/>
        <s v="Hear Me Now"/>
        <s v="Heard It All Before"/>
        <s v="Heart Attack"/>
        <s v="Heart Skips a Beat (feat. Rizzle Kicks)"/>
        <s v="Heartbreaker"/>
        <s v="Heartbroken - Edit"/>
        <s v="Heartless"/>
        <s v="Heathens"/>
        <s v="Heaven"/>
        <s v="Heaven Is a Halfpipe (If I Die)"/>
        <s v="Hella Good"/>
        <s v="Hello"/>
        <s v="Hemorrhage (In My Hands)"/>
        <s v="Here"/>
        <s v="Here Is Gone"/>
        <s v="Here Without You"/>
        <s v="Here's to Never Growing Up"/>
        <s v="Hero (feat. Josey Scott)"/>
        <s v="Heroes (we could be)"/>
        <s v="Hey Baby"/>
        <s v="Hey Baby (Drop It to the Floor) (feat. T-Pain)"/>
        <s v="Hey Baby (Radio Mix)"/>
        <s v="Hey Brother"/>
        <s v="Hey Daddy (Daddy's Home)"/>
        <s v="Hey Mama"/>
        <s v="Hey Mama (feat. Nicki Minaj, Bebe Rexha &amp; Afrojack)"/>
        <s v="Hey Porsche"/>
        <s v="Hey There Delilah"/>
        <s v="Hey Ya!"/>
        <s v="Hideaway"/>
        <s v="High (feat. Nicole Millar)"/>
        <s v="High By The Beach"/>
        <s v="High Hopes"/>
        <s v="Higher"/>
        <s v="Him &amp; I"/>
        <s v="Him &amp; I (with Halsey)"/>
        <s v="Hips Don't Lie (feat. Wyclef Jean)"/>
        <s v="Hit 'Em Up Style (Oops!)"/>
        <s v="Hold On"/>
        <s v="Hold On, We're Going Home"/>
        <s v="Hole In The Head"/>
        <s v="Holidae In"/>
        <s v="Holiday"/>
        <s v="Hollaback Girl"/>
        <s v="Holy Grail"/>
        <s v="Home (with Machine Gun Kelly, X Ambassadors &amp; Bebe Rexha)"/>
        <s v="Homecoming"/>
        <s v="Homemade Dynamite - REMIX"/>
        <s v="Honey Bee"/>
        <s v="Hot - Play &amp; Win Radio Version"/>
        <s v="Hot Boyz"/>
        <s v="Hot Girl Summer (feat. Nicki Minaj &amp; Ty Dolla $ign)"/>
        <s v="Hot In Herre"/>
        <s v="Hot N Cold"/>
        <s v="Hot N*gga"/>
        <s v="Hot Right Now (feat. RITA ORA) - Radio Edit"/>
        <s v="Hotel Room Service"/>
        <s v="Hotline Bling"/>
        <s v="Hotter Than Hell"/>
        <s v="How Come"/>
        <s v="How Deep Is Your Love"/>
        <s v="How Do You Sleep?"/>
        <s v="How Long"/>
        <s v="How Low"/>
        <s v="How to Be a Heartbreaker"/>
        <s v="How To Love"/>
        <s v="How to Save a Life"/>
        <s v="How We Do"/>
        <s v="How We Do (Party)"/>
        <s v="How You Gonna Act Like That"/>
        <s v="How You Remind Me"/>
        <s v="human"/>
        <s v="HUMBLE."/>
        <s v="Hung Up"/>
        <s v="Hurts So Good"/>
        <s v="Hymn for the Weekend"/>
        <s v="Hypnotized (feat. Akon)"/>
        <s v="I Believe in You"/>
        <s v="I Bet You Look Good On The Dancefloor"/>
        <s v="I Can"/>
        <s v="I Could Be The One (Avicii Vs. Nicky Romero) - Radio Edit"/>
        <s v="I Cry"/>
        <s v="I Don't Feel Like Dancin'"/>
        <s v="I Don't Fuck With You"/>
        <s v="I Don't Like It, I Love It (feat. Robin Thicke &amp; Verdine White)"/>
        <s v="I Don't Wanna Know (feat. Enya &amp; P. Diddy) - 2016 Remaster"/>
        <s v="I Donâ€™t Wanna Live Forever (Fifty Shades Darker) - From &quot;Fifty Shades Darker (Original Motion Picture Soundtrack)&quot;"/>
        <s v="I Feel It Coming"/>
        <s v="I Follow Rivers - The Magician Remix"/>
        <s v="I Got U"/>
        <s v="I Gotta Feeling"/>
        <s v="I Hate Everything About You"/>
        <s v="I Hate This Part"/>
        <s v="i hate u, i love u (feat. olivia o'brien)"/>
        <s v="I Just Wanna Love U (Give It 2 Me)"/>
        <s v="I Kissed A Girl"/>
        <s v="I Knew You Were Trouble."/>
        <s v="I Know What You Did Last Summer"/>
        <s v="I Know What You Want (feat. Flipmode Squad)"/>
        <s v="I Know You Want Me (Calle Ocho)"/>
        <s v="I Like It"/>
        <s v="I Like Me Better"/>
        <s v="I Like That"/>
        <s v="I Like The Way - Radio Edit"/>
        <s v="I Love College"/>
        <s v="I Love It"/>
        <s v="I Love It (feat. Charli XCX)"/>
        <s v="I Love You"/>
        <s v="I Luv Your Girl"/>
        <s v="I Need A Doctor"/>
        <s v="I Need A Dollar"/>
        <s v="I Need a Girl (Pt. 1) [feat. Usher &amp; Loon]"/>
        <s v="I Need a Girl (Pt. 2) [feat. Loon, Ginuwine &amp; Mario Winans]"/>
        <s v="I Need You"/>
        <s v="I Need Your Love (feat. Ellie Goulding)"/>
        <s v="I Predict A Riot"/>
        <s v="I See Fire - From &quot;The Hobbit - The Desolation Of Smaug&quot;"/>
        <s v="I Took A Pill In Ibiza - Seeb Remix"/>
        <s v="I Tried"/>
        <s v="I Turn to You"/>
        <s v="I Wanna Go"/>
        <s v="I Wanna Know"/>
        <s v="I Wanna Love You"/>
        <s v="I Want You To Know"/>
        <s v="I Will Never Let You Down"/>
        <s v="I Wish"/>
        <s v="I Wish I Was a Punk Rocker (with Flowers in My Hair)"/>
        <s v="I Won't Let You Go"/>
        <s v="I Would Like"/>
        <s v="I Write Sins Not Tragedies"/>
        <s v="I'm a Slave 4 U"/>
        <s v="I'm a Thug"/>
        <s v="I'm Gonna Be Alright (feat. Nas)"/>
        <s v="I'm In Control"/>
        <s v="I'm Like A Bird"/>
        <s v="I'm N Luv (Wit a Stripper) (feat. Mike Jones)"/>
        <s v="I'm Not a Girl, Not Yet a Woman"/>
        <s v="I'm Not Alone - Radio Edit"/>
        <s v="I'm On One"/>
        <s v="I'm Outta Love - Radio Edit"/>
        <s v="I'm Real (feat. Ja Rule) - Murder Remix"/>
        <s v="i'm so tired..."/>
        <s v="I'm Sprung"/>
        <s v="I'm Still in Love with You (feat. Sasha)"/>
        <s v="I'm Upset"/>
        <s v="I'm with You"/>
        <s v="Ice Box"/>
        <s v="IDGAF"/>
        <s v="If I Could Go! (feat. Lil' Mo &amp; Sacario)"/>
        <s v="If I Die Young"/>
        <s v="If I Were a Boy"/>
        <s v="If There's Any Justice"/>
        <s v="If Today Was Your Last Day"/>
        <s v="If Tomorrow Never Comes"/>
        <s v="If U Seek Amy"/>
        <s v="If We Ever Meet Again (Featuring Katy Perry)"/>
        <s v="If You Come Back"/>
        <s v="If You're Not The One"/>
        <s v="Imma Be"/>
        <s v="Impossible"/>
        <s v="In Da Club"/>
        <s v="In For The Kill"/>
        <s v="In Love With a Girl"/>
        <s v="In My Feelings"/>
        <s v="In My Head"/>
        <s v="In My Mind"/>
        <s v="In My Place"/>
        <s v="In The Dark"/>
        <s v="In the End"/>
        <s v="In The Morning"/>
        <s v="In the Name of Love"/>
        <s v="In The Night"/>
        <s v="In the Shadows"/>
        <s v="In Those Jeans"/>
        <s v="In Your Eyes"/>
        <s v="Incomplete"/>
        <s v="Independent Women, Pt. 1"/>
        <s v="Infinity 2008"/>
        <s v="International Love (feat. Chris Brown)"/>
        <s v="Into the Night (feat. Chad Kroeger)"/>
        <s v="Into You"/>
        <s v="Into You (feat. Tamia)"/>
        <s v="Intoxicated - New Radio Mix"/>
        <s v="Intro"/>
        <s v="Irreplaceable"/>
        <s v="Irresistible"/>
        <s v="Is It Any Wonder?"/>
        <s v="It Ain't Me (with Selena Gomez)"/>
        <s v="It Feels So Good"/>
        <s v="It Girl"/>
        <s v="It Wasn't Me"/>
        <s v="It Will Rain"/>
        <s v="It's A Vibe"/>
        <s v="It's Been Awhile"/>
        <s v="It's Goin' Down (feat. Nitti)"/>
        <s v="It's Gonna Be Me"/>
        <s v="It's Like That"/>
        <s v="It's My Life"/>
        <s v="It's Not My Time"/>
        <s v="It's Not Over"/>
        <s v="It's Over Now"/>
        <s v="It's Raining Men"/>
        <s v="It's the Way You Make Me Feel"/>
        <s v="Izzo (H.O.V.A.)"/>
        <s v="Jackie Chan"/>
        <s v="Jai Ho! (You Are My Destiny)"/>
        <s v="Jar of Hearts"/>
        <s v="Jealous - Remix"/>
        <s v="Jenny from the Block (feat. Jadakiss &amp; Styles P.) - Track Masters Remix"/>
        <s v="Jesus Walks"/>
        <s v="Jocelyn Flores"/>
        <s v="Jubel - Radio Edit"/>
        <s v="Juicy"/>
        <s v="Juju on That Beat (TZ Anthem)"/>
        <s v="Jumanji"/>
        <s v="Jump"/>
        <s v="Jumpin', Jumpin'"/>
        <s v="Jumpman"/>
        <s v="Just A Dream"/>
        <s v="Just A Kiss"/>
        <s v="Just A Lil Bit"/>
        <s v="Just A Little"/>
        <s v="Just Canâ€™t Get Enough"/>
        <s v="Just Dance"/>
        <s v="Just Fine"/>
        <s v="Just Hold On"/>
        <s v="Just Like Fire (From the Original Motion Picture &quot;Alice Through The Looking Glass&quot;)"/>
        <s v="Just Lose It"/>
        <s v="Just the Way You Are"/>
        <s v="Karma"/>
        <s v="Keisha &amp; Becky - Remix"/>
        <s v="Kickstarts"/>
        <s v="Kids"/>
        <s v="Kill Em With Kindness"/>
        <s v="Kill This Love"/>
        <s v="King"/>
        <s v="King's Dead (with Kendrick Lamar, Future &amp; James Blake)"/>
        <s v="Kiss Kiss"/>
        <s v="Kiss Kiss (feat. T-Pain)"/>
        <s v="Kiss Me Thru The Phone"/>
        <s v="Knock You Down"/>
        <s v="Kryptonite"/>
        <s v="L'Amour Toujours"/>
        <s v="La Camisa Negra"/>
        <s v="La La La"/>
        <s v="La Tortura (feat. Alejandro Sanz)"/>
        <s v="Ladbroke Grove"/>
        <s v="Lady - Hear Me Tonight"/>
        <s v="Lady Marmalade - From &quot;Moulin Rouge&quot; Soundtrack"/>
        <s v="Laffy Taffy"/>
        <s v="Last Friday Night (T.G.I.F.)"/>
        <s v="Last Night"/>
        <s v="Latch"/>
        <s v="Lean Back"/>
        <s v="Lean On (feat. MÃ˜ &amp; DJ Snake)"/>
        <s v="Lean Wit It, Rock Wit It"/>
        <s v="Leave (Get Out) - Radio Edit"/>
        <s v="Leave a Light On"/>
        <s v="Leave Me Alone"/>
        <s v="Leave Right Now"/>
        <s v="Left Outside Alone"/>
        <s v="Let Her Go"/>
        <s v="Let It All Go"/>
        <s v="Let It Go"/>
        <s v="Let It Rock"/>
        <s v="Let Me Blow Ya Mind"/>
        <s v="Let Me Down Slowly"/>
        <s v="Let Me Go"/>
        <s v="Let Me Hold You (feat. Omarion)"/>
        <s v="Let Me Love You"/>
        <s v="Let Me Love You (Until You Learn To Love Yourself)"/>
        <s v="Let Me Think About It"/>
        <s v="Let You Down"/>
        <s v="Let's Dance - Radio Edit"/>
        <s v="Let's Fall in Love for the Night"/>
        <s v="Let's Get It Started - Spike Mix"/>
        <s v="Let's Go (feat. Ne-Yo)"/>
        <s v="Levels - Radio Edit"/>
        <s v="Liar"/>
        <s v="Life is a Highway"/>
        <s v="Life Is A Rollercoaster"/>
        <s v="Lifestyles of the Rich &amp; Famous"/>
        <s v="Light It Up (feat. Nyla &amp; Fuse ODG) - Remix"/>
        <s v="Lighters"/>
        <s v="Lights - Single Version"/>
        <s v="Like a Boy"/>
        <s v="Like A G6"/>
        <s v="Like a Stone"/>
        <s v="Like Glue"/>
        <s v="Like I Can"/>
        <s v="Like I Love You"/>
        <s v="Like Toy Soldiers"/>
        <s v="Like You (feat. Ciara)"/>
        <s v="Lips Are Movin"/>
        <s v="Lips Of An Angel"/>
        <s v="Little Dark Age"/>
        <s v="Little Do You Know"/>
        <s v="Little L"/>
        <s v="Little Lion Man"/>
        <s v="Little Talks"/>
        <s v="Live Like We're Dying"/>
        <s v="Live While We're Young"/>
        <s v="Live Your Life"/>
        <s v="Livin' It Up"/>
        <s v="Loca People - Radio Edit"/>
        <s v="Location (feat. Burna Boy)"/>
        <s v="Locked Away (feat. Adam Levine)"/>
        <s v="Locked out of Heaven"/>
        <s v="Locked Up"/>
        <s v="Lola's Theme - Radio Edit"/>
        <s v="Lollipop"/>
        <s v="London Bridge"/>
        <s v="Lonely"/>
        <s v="Lonely No More"/>
        <s v="Lonely Together (feat. Rita Ora)"/>
        <s v="Look Alive (feat. Drake)"/>
        <s v="Look At Me Now (feat. Lil' Wayne &amp; Busta Rhymes)"/>
        <s v="Look Back at It"/>
        <s v="Look Right Through - MK Vocal Edit"/>
        <s v="Look What You Made Me Do"/>
        <s v="Lose Control (feat. Ciara &amp; Fat Man Scoop)"/>
        <s v="Lose My Breath"/>
        <s v="Lose Yourself - From &quot;8 Mile&quot; Soundtrack"/>
        <s v="Lose Yourself to Dance (feat. Pharrell Williams)"/>
        <s v="Lost"/>
        <s v="Lost in the Fire (feat. The Weeknd)"/>
        <s v="Lost Without You"/>
        <s v="Louder (feat. Sian Evans) - Radio Edit"/>
        <s v="Love"/>
        <s v="Love at First Sight"/>
        <s v="Love Don't Cost a Thing"/>
        <s v="Love Drunk"/>
        <s v="Love Generation - Radio Edit"/>
        <s v="Love in This Club (feat. Young Jeezy)"/>
        <s v="Love Lies (with Normani)"/>
        <s v="Love Lockdown"/>
        <s v="Love Machine"/>
        <s v="Love Me"/>
        <s v="Love Me Again"/>
        <s v="Love Me Harder"/>
        <s v="Love Me Like You Do - From &quot;Fifty Shades Of Grey&quot;"/>
        <s v="Love Runs Out"/>
        <s v="Love Sex Magic (feat. Justin Timberlake)"/>
        <s v="Love Story"/>
        <s v="Love The Way You Lie"/>
        <s v="Love Today"/>
        <s v="Love You Like A Love Song"/>
        <s v="Love Yourself"/>
        <s v="LOVE. FEAT. ZACARI."/>
        <s v="LoveGame"/>
        <s v="lovely (with Khalid)"/>
        <s v="Loverboy"/>
        <s v="Lovers And Friends"/>
        <s v="Lovers on the Sun (feat. Sam Martin)"/>
        <s v="LoveStoned / I Think She Knows (Interlude)"/>
        <s v="Lovin' Each Day"/>
        <s v="Low (feat. T-Pain)"/>
        <s v="Low Life (feat. The Weeknd)"/>
        <s v="Loyal (feat. Lil Wayne &amp; Tyga)"/>
        <s v="Lucid Dreams"/>
        <s v="Lucky"/>
        <s v="Lush Life"/>
        <s v="Lust for Life (with The Weeknd)"/>
        <s v="LUV"/>
        <s v="Luv U Better"/>
        <s v="m.A.A.d city"/>
        <s v="Mad"/>
        <s v="Mad Love"/>
        <s v="Mad World (Feat. Michael Andrews)"/>
        <s v="Magic (feat. Rivers Cuomo)"/>
        <s v="Magic Stick"/>
        <s v="Magnolia"/>
        <s v="Make It Rain"/>
        <s v="Make Luv"/>
        <s v="Make Me Better"/>
        <s v="Makes Me Wonder"/>
        <s v="Mama"/>
        <s v="Mama Do (Uh Oh, Uh Oh)"/>
        <s v="Man Down"/>
        <s v="Man Of The Year"/>
        <s v="Man's Not Hot"/>
        <s v="Mandy"/>
        <s v="Maneater"/>
        <s v="Maps"/>
        <s v="Maria Maria (feat. The Product G&amp;B)"/>
        <s v="Marry You"/>
        <s v="Mask Off"/>
        <s v="Me &amp; U"/>
        <s v="Me Against the Music (feat. Madonna) - LP Version / Video Mix"/>
        <s v="Me And My Broken Heart"/>
        <s v="Me Niego (feat. Ozuna &amp; Wisin)"/>
        <s v="Me, Myself &amp; I"/>
        <s v="Me, Myself and I"/>
        <s v="Meant to Live"/>
        <s v="Meet Me Halfway"/>
        <s v="Memories (feat. Kid Cudi)"/>
        <s v="Mercy"/>
        <s v="Mesmerize"/>
        <s v="Mi Gente"/>
        <s v="MIA (feat. Drake)"/>
        <s v="Miami 2 Ibiza - Swedish House Mafia vs. Tinie Tempah"/>
        <s v="Middle"/>
        <s v="MIDDLE CHILD"/>
        <s v="Middle Of The Night"/>
        <s v="Midnight City"/>
        <s v="Milkshake"/>
        <s v="Million Voices - Radio Edit"/>
        <s v="Millionaire"/>
        <s v="Mine"/>
        <s v="Mirrors"/>
        <s v="Misery"/>
        <s v="Misery Business"/>
        <s v="Miss Independent"/>
        <s v="Miss You - Main"/>
        <s v="Miss You (with Major Lazer &amp; Tory Lanez)"/>
        <s v="Missing You"/>
        <s v="Mo Bamba"/>
        <s v="Mockingbird"/>
        <s v="Money"/>
        <s v="Money In The Grave (Drake ft. Rick Ross)"/>
        <s v="Money Maker"/>
        <s v="Money On My Mind"/>
        <s v="Monster"/>
        <s v="Moonlight"/>
        <s v="More - RedOne Jimmy Joker Remix"/>
        <s v="More Than A Woman"/>
        <s v="More Than You Know"/>
        <s v="Most Girls"/>
        <s v="Motivation"/>
        <s v="MotorSport"/>
        <s v="Move Bitch"/>
        <s v="Move Ya Body"/>
        <s v="Move Your Body - Gabry Ponte Original Radio Edit"/>
        <s v="Move Your Feet"/>
        <s v="Moves Like Jagger - Studio Recording From &quot;The Voice&quot; Performance"/>
        <s v="Mr. Saxobeat"/>
        <s v="Ms. Jackson"/>
        <s v="Ms. New Booty"/>
        <s v="Mundian to Bach Ke"/>
        <s v="Murder On The Dancefloor"/>
        <s v="Music"/>
        <s v="Music (feat. Marvin Gaye)"/>
        <s v="My Band"/>
        <s v="My Boo"/>
        <s v="My Chick Bad"/>
        <s v="My First Kiss (feat. Ke$ha)"/>
        <s v="My Happy Ending"/>
        <s v="My House"/>
        <s v="My Humps"/>
        <s v="My Immortal"/>
        <s v="My Life"/>
        <s v="My Life Would Suck Without You"/>
        <s v="My Love"/>
        <s v="My Love (feat. Jess Glynne)"/>
        <s v="My Love (feat. T.I.)"/>
        <s v="My Love Is Like...Wo - Main Mix"/>
        <s v="My My My - Radio Edit"/>
        <s v="My Neck, My Back (Lick It)"/>
        <s v="My Place"/>
        <s v="My Prerogative"/>
        <s v="My Sacrifice"/>
        <s v="My Songs Know What You Did In The Dark (Light Em Up)"/>
        <s v="My Type"/>
        <s v="My Way"/>
        <s v="My Way (feat. Monty)"/>
        <s v="Na Na"/>
        <s v="Naive"/>
        <s v="Nasty Girl (feat. Diddy, Nelly, Jagged Edge &amp; Avery Storm) - 2005 Remaster"/>
        <s v="Natural"/>
        <s v="Naturally"/>
        <s v="Naughty Girl"/>
        <s v="Need U (100%) [feat. A*M*E] - Radio Edit"/>
        <s v="Need You Now"/>
        <s v="Needed Me"/>
        <s v="Nessaja"/>
        <s v="Never Be Like You"/>
        <s v="Never Be the Same"/>
        <s v="Never Be The Same Again"/>
        <s v="Never Forget You"/>
        <s v="Never Leave You (Uh Oooh, Uh Oooh)"/>
        <s v="Never Say Never"/>
        <s v="Nevermind"/>
        <s v="New Divide"/>
        <s v="New Flame (feat. Usher &amp; Rick Ross)"/>
        <s v="New Rules"/>
        <s v="Ni**as In Paris"/>
        <s v="Nice For What"/>
        <s v="Night Changes"/>
        <s v="Nights Like This (feat. Ty Dolla $ign)"/>
        <s v="Nine Million Bicycles"/>
        <s v="NO"/>
        <s v="No Brainer"/>
        <s v="No Hands (feat. Roscoe Dash &amp; Wale)"/>
        <s v="No Letting Go"/>
        <s v="No Lie"/>
        <s v="No Limit"/>
        <s v="No Money"/>
        <s v="No More"/>
        <s v="No More (Baby I'ma Do Right)"/>
        <s v="No More Drama"/>
        <s v="No One"/>
        <s v="No Promises"/>
        <s v="No Promises (feat. Demi Lovato)"/>
        <s v="no tears left to cry"/>
        <s v="No Tomorrow"/>
        <s v="No Type"/>
        <s v="Nobody To Love - Radio Edit"/>
        <s v="Nobody Wants to Be Lonely (with Christina Aguilera)"/>
        <s v="Nobody's Home"/>
        <s v="Nonstop"/>
        <s v="Not Afraid"/>
        <s v="Not Fair"/>
        <s v="Not In Love - Radio Mix"/>
        <s v="Not Nice"/>
        <s v="Nothin'"/>
        <s v="Nothin' on You (feat. Bruno Mars)"/>
        <s v="Nothing Breaks Like a Heart (feat. Miley Cyrus)"/>
        <s v="Now You're Gone - Video Edit"/>
        <s v="Nu Flow"/>
        <s v="NUMB"/>
        <s v="Numb / Encore"/>
        <s v="Number 1"/>
        <s v="Oblivion"/>
        <s v="Obsessed"/>
        <s v="Of The Night"/>
        <s v="Oh (feat. Ludacris)"/>
        <s v="Oh Boy"/>
        <s v="Old Town Road"/>
        <s v="Old Town Road - Remix"/>
        <s v="Omen"/>
        <s v="OMG (feat. will.i.am)"/>
        <s v="On A Roll"/>
        <s v="On Fire"/>
        <s v="On My Mind"/>
        <s v="On The Floor"/>
        <s v="On the Hotline - Amended Version"/>
        <s v="One"/>
        <s v="One (Your Name) - Radio Edit"/>
        <s v="One Call Away"/>
        <s v="One Dance"/>
        <s v="One Day / Reckoning Song (Wankelmut Remix) [Radio Edit]"/>
        <s v="One Kiss (with Dua Lipa)"/>
        <s v="One Last Breath - Radio Version"/>
        <s v="One Last Time"/>
        <s v="One Love"/>
        <s v="One Minute Man (feat. Ludacris)"/>
        <s v="One More Night"/>
        <s v="One More Time"/>
        <s v="One Step At a Time"/>
        <s v="One Thing Right"/>
        <s v="One Time"/>
        <s v="One Way or Another (Teenage Kicks)"/>
        <s v="One Wish"/>
        <s v="Only Girl (In The World)"/>
        <s v="Only Human"/>
        <s v="Only Love Can Hurt Like This"/>
        <s v="Only Time"/>
        <s v="Only U - No Intro"/>
        <s v="Oops (Oh My) [feat. Missy Elliott]"/>
        <s v="Oops!...I Did It Again"/>
        <s v="Ophelia"/>
        <s v="Options"/>
        <s v="Otherside"/>
        <s v="Otro Trago"/>
        <s v="oui"/>
        <s v="Out Of Reach"/>
        <s v="Outside (feat. Ellie Goulding)"/>
        <s v="Outta Control - Remix"/>
        <s v="Outta My System (feat. T-Pain &amp; JohntÃ¡ Austin)"/>
        <s v="Over"/>
        <s v="Over And Over"/>
        <s v="Overnight Celebrity"/>
        <s v="Overprotected - Radio Edit"/>
        <s v="P.I.M.P."/>
        <s v="Panda"/>
        <s v="Panini"/>
        <s v="Papaoutai"/>
        <s v="Paparazzi"/>
        <s v="Paper Planes"/>
        <s v="Papercuts (feat. Vera Blue)"/>
        <s v="Paradise"/>
        <s v="Paralyzer"/>
        <s v="Paris"/>
        <s v="Part Of Me"/>
        <s v="Party In The U.S.A."/>
        <s v="Party Like A Rock Star"/>
        <s v="Party Rock Anthem"/>
        <s v="Party Up"/>
        <s v="Pass Out"/>
        <s v="Pass The Courvoisier Part II (feat. P. Diddy &amp; Pharrell) - Remix"/>
        <s v="Passionfruit"/>
        <s v="Patience"/>
        <s v="Payphone"/>
        <s v="Peaches &amp; Cream"/>
        <s v="Perfect"/>
        <s v="Perfect Strangers"/>
        <s v="Photograph"/>
        <s v="Piece of Me"/>
        <s v="Piece Of Your Heart"/>
        <s v="Pieces Of Me"/>
        <s v="PILLOWTALK"/>
        <s v="Pink + White"/>
        <s v="Pjanoo - Radio Edit"/>
        <s v="Plain Jane"/>
        <s v="Play"/>
        <s v="Play Hard (feat. Ne-Yo &amp; Akon)"/>
        <s v="Please Don't Go"/>
        <s v="Please Me"/>
        <s v="Plug Walk"/>
        <s v="Pocketful of Sunshine"/>
        <s v="Point Of View - Radio Edit"/>
        <s v="Poker Face"/>
        <s v="Pompeii"/>
        <s v="Pon de Replay"/>
        <s v="Pop Out (feat. Lil Tjay)"/>
        <s v="Pop Style"/>
        <s v="Pop Ya Collar - Radio Edit"/>
        <s v="Pop, Lock &amp; Drop It - Video Edit"/>
        <s v="Post Malone (feat. RANI)"/>
        <s v="Post to Be (feat. Chris Brown &amp; Jhene Aiko)"/>
        <s v="Pound The Alarm"/>
        <s v="Power Trip (feat. Miguel)"/>
        <s v="Powerglide (feat. Juicy J) - From SR3MM"/>
        <s v="Pray For Me (with Kendrick Lamar)"/>
        <s v="Prayer in C - Robin Schulz Radio Edit"/>
        <s v="Pretty Girl - Cheat Codes X CADE Remix"/>
        <s v="Pretty Girl Rock"/>
        <s v="Pretty Green Eyes - Radio Edit"/>
        <s v="Price Tag"/>
        <s v="Primadonna"/>
        <s v="Princess of China"/>
        <s v="Problem"/>
        <s v="Promiscuous"/>
        <s v="Promise"/>
        <s v="Propane Nightmares"/>
        <s v="Proper Education - Radio Edit"/>
        <s v="Psycho (feat. Ty Dolla $ign)"/>
        <s v="Pullin' Me Back"/>
        <s v="Pump It"/>
        <s v="Pumped Up Kicks"/>
        <s v="Pure Shores"/>
        <s v="Pure Water (with Migos)"/>
        <s v="Purple Pills"/>
        <s v="Push The Button"/>
        <s v="Put On"/>
        <s v="Put That Woman First"/>
        <s v="Put Your Hands Up for Detroit - Radio Edit"/>
        <s v="R.I.P. (feat. Tinie Tempah)"/>
        <s v="Rack City"/>
        <s v="Radio"/>
        <s v="Radioactive"/>
        <s v="Rain On Me"/>
        <s v="Rainy Dayz"/>
        <s v="Raise Your Glass"/>
        <s v="Rake It Up (feat. Nicki Minaj)"/>
        <s v="Ransom"/>
        <s v="Rapture (feat.Nadia Ali)"/>
        <s v="Rather Be (feat. Jess Glynne)"/>
        <s v="Read All About It"/>
        <s v="Read All About It, Pt. III"/>
        <s v="Read Your Mind"/>
        <s v="Ready For Your Love"/>
        <s v="Ready or Not"/>
        <s v="Red Lights"/>
        <s v="ReggaetÃ³n Lento (Remix)"/>
        <s v="Rehab"/>
        <s v="Release Me"/>
        <s v="Reload - Radio Edit"/>
        <s v="Remember the Name (feat. Styles of Beyond)"/>
        <s v="Renegades"/>
        <s v="Replay"/>
        <s v="Reptilia"/>
        <s v="Ric Flair Drip (with Metro Boomin)"/>
        <s v="Rich Girl"/>
        <s v="Rich Love (with Seeb)"/>
        <s v="Ride"/>
        <s v="Ride It"/>
        <s v="Ride Wit Me"/>
        <s v="Ridin'"/>
        <s v="Ridin' Solo"/>
        <s v="Right Above It"/>
        <s v="Right Now (Na Na Na)"/>
        <s v="Right Round"/>
        <s v="Right Thurr"/>
        <s v="Riptide"/>
        <s v="Rise"/>
        <s v="Rise &amp; Fall (feat. Sting)"/>
        <s v="River (feat. Ed Sheeran)"/>
        <s v="Riverside"/>
        <s v="Roar"/>
        <s v="Robbery"/>
        <s v="Rock DJ"/>
        <s v="Rock The Boat"/>
        <s v="Rock This Party - Everybody Dance Now"/>
        <s v="Rock Wit U (Awww Baby)"/>
        <s v="Rock Your Body"/>
        <s v="Rockabye (feat. Sean Paul &amp; Anne-Marie)"/>
        <s v="Rocketeer"/>
        <s v="Rockin' That Shit"/>
        <s v="Rockstar"/>
        <s v="rockstar (feat. 21 Savage)"/>
        <s v="Rolex"/>
        <s v="Roll Up"/>
        <s v="Rollin' (Air Raid Vehicle)"/>
        <s v="Rolling in the Deep"/>
        <s v="Rollout (My Business)"/>
        <s v="Romeo"/>
        <s v="Roses"/>
        <s v="Round Round"/>
        <s v="Royals"/>
        <s v="Ruby"/>
        <s v="Rude"/>
        <s v="Rude Boy"/>
        <s v="Rule The World - Radio Edit"/>
        <s v="Rumour Has It"/>
        <s v="Run"/>
        <s v="Run It! (feat. Juelz Santana)"/>
        <s v="Run This Town"/>
        <s v="Runaway (U &amp; I)"/>
        <s v="Runaway Love"/>
        <s v="Russian Roulette"/>
        <s v="S&amp;M"/>
        <s v="SAD!"/>
        <s v="Safe And Sound"/>
        <s v="Sail"/>
        <s v="Salt Shaker"/>
        <s v="Same Old Love"/>
        <s v="Sandstorm"/>
        <s v="Satisfaction (Isak Original Extended) - Benny Benassi Presents The Biz"/>
        <s v="Save That Shit"/>
        <s v="Save The World"/>
        <s v="Savin' Me"/>
        <s v="Say Aah (feat. Fabolous)"/>
        <s v="Say It"/>
        <s v="Say It Right"/>
        <s v="Say My Name"/>
        <s v="Say Yes"/>
        <s v="Scandalous - U.S. Radio Edit"/>
        <s v="Scared to Be Lonely"/>
        <s v="Scars"/>
        <s v="Scars To Your Beautiful"/>
        <s v="Scream"/>
        <s v="Scream &amp; Shout"/>
        <s v="SeÃ±orita"/>
        <s v="Second Chance"/>
        <s v="Secreto"/>
        <s v="Secrets"/>
        <s v="See You Again"/>
        <s v="See You Again (feat. Charlie Puth)"/>
        <s v="Seek Bromance - Aviciiâ€™s Vocal Edit"/>
        <s v="Sensual Seduction"/>
        <s v="Separated"/>
        <s v="Set Fire to the Rain"/>
        <s v="Seven Nation Army"/>
        <s v="Sex"/>
        <s v="Sex on Fire"/>
        <s v="Sexbomb"/>
        <s v="Sexy And I Know It"/>
        <s v="Sexy Bitch (feat. Akon)"/>
        <s v="Sexy Can I feat. Yung Berg"/>
        <s v="Sexy Love"/>
        <s v="SexyBack (feat. Timbaland)"/>
        <s v="Shackles (Praise You)"/>
        <s v="Shake It"/>
        <s v="Shake It Off"/>
        <s v="Shake That"/>
        <s v="Shake Ya Ass"/>
        <s v="Shake Ya Tailfeather (feat. P. Diddy &amp; Murphy Lee) - 2016 Remaster"/>
        <s v="Shalala Lala"/>
        <s v="Shallow"/>
        <s v="Shape of My Heart"/>
        <s v="Shape of You"/>
        <s v="Shawty (feat. T Pain)"/>
        <s v="She Bangs - English Version"/>
        <s v="She Doesn't Mind"/>
        <s v="She Hates Me"/>
        <s v="She Looks So Perfect"/>
        <s v="She Said"/>
        <s v="She Wants To Move"/>
        <s v="She Wolf"/>
        <s v="She Wolf (Falling to Pieces) [feat. Sia]"/>
        <s v="Shine"/>
        <s v="Shiver"/>
        <s v="Shotta Flow (feat. Blueface) [Remix]"/>
        <s v="Shout Out to My Ex"/>
        <s v="Show Me (feat. Chris Brown)"/>
        <s v="Show Me the Meaning of Being Lonely"/>
        <s v="Shower"/>
        <s v="Shut Up"/>
        <s v="Shut Up And Drive"/>
        <s v="Shut Up and Let Me Go"/>
        <s v="Sick and Tired"/>
        <s v="Sick Boy"/>
        <s v="SICKO MODE"/>
        <s v="Side To Side"/>
        <s v="Signs"/>
        <s v="Silence"/>
        <s v="Silhouettes - Original Radio Edit"/>
        <s v="Sin Pijama"/>
        <s v="Since U Been Gone"/>
        <s v="Sing"/>
        <s v="Sing For The Moment"/>
        <s v="Single Ladies (Put a Ring on It)"/>
        <s v="Sit Still, Look Pretty"/>
        <s v="Sk8er Boi"/>
        <s v="Skin"/>
        <s v="Skyfall"/>
        <s v="Slippery (feat. Gucci Mane)"/>
        <s v="Slow Down - 12&quot; Version"/>
        <s v="Slow Jamz"/>
        <s v="Slow Motion"/>
        <s v="Smack That"/>
        <s v="Smile"/>
        <s v="Smooth Criminal"/>
        <s v="Snap Yo Fingers"/>
        <s v="Snow (Hey Oh)"/>
        <s v="So Am I"/>
        <s v="So Gone"/>
        <s v="So Sick"/>
        <s v="So What"/>
        <s v="Sober"/>
        <s v="Soldier (feat. T.I. &amp; Lil' Wayne)"/>
        <s v="Solo (feat. Demi Lovato)"/>
        <s v="Solo Dance"/>
        <s v="Soltera - Remix"/>
        <s v="Some Cut"/>
        <s v="Somebody"/>
        <s v="Somebody That I Used To Know"/>
        <s v="Someday"/>
        <s v="Someone Like You"/>
        <s v="Someone You Loved"/>
        <s v="Somethin' Stupid"/>
        <s v="Something"/>
        <s v="Something Just Like This"/>
        <s v="Something Kinda Ooooh"/>
        <s v="Sometimes You Can't Make It On Your Own"/>
        <s v="Sonnentanz - Sun Don't Shine"/>
        <s v="Sorry"/>
        <s v="Sorry Seems To Be The Hardest Word"/>
        <s v="SOS"/>
        <s v="SOS (feat. Aloe Blacc)"/>
        <s v="Soul Survivor"/>
        <s v="Sound Of The Underground"/>
        <s v="Southern Hospitality (Featuring Pharrell)"/>
        <s v="Southside"/>
        <s v="Spectrum (Say My Name) - Calvin Harris Remix"/>
        <s v="Speed of Sound"/>
        <s v="Spinning Around"/>
        <s v="Spirits"/>
        <s v="Splash Waterfalls"/>
        <s v="Spotlight"/>
        <s v="Stan"/>
        <s v="Stand Up"/>
        <s v="Starboy"/>
        <s v="Starlight - Radio Edit"/>
        <s v="Starry Eyed"/>
        <s v="Starships"/>
        <s v="Starstrukk"/>
        <s v="Started From the Bottom"/>
        <s v="Starz In Their Eyes"/>
        <s v="Stay"/>
        <s v="Stay The Night - Featuring Hayley Williams Of Paramore"/>
        <s v="Stay With Me"/>
        <s v="Steady, As She Goes"/>
        <s v="Steal My Girl"/>
        <s v="Stereo Hearts (feat. Adam Levine)"/>
        <s v="Stereo Love - Radio Edit"/>
        <s v="Stickwitu"/>
        <s v="Still Fly"/>
        <s v="Still into You"/>
        <s v="Stir Fry"/>
        <s v="Stitches"/>
        <s v="Stole"/>
        <s v="Stole the Show"/>
        <s v="Stolen Dance"/>
        <s v="Stop And Stare"/>
        <s v="Stop Me (feat. Daniel Merriweather)"/>
        <s v="Story of My Life"/>
        <s v="Stranger in My House"/>
        <s v="Stressed Out"/>
        <s v="Strike a Pose (feat. Aitch)"/>
        <s v="Strip That Down"/>
        <s v="Stronger"/>
        <s v="Stronger (What Doesn't Kill You)"/>
        <s v="Stupid Girls"/>
        <s v="Stutter (feat. Mystikal) - Double Take Remix"/>
        <s v="Style"/>
        <s v="SUBEME LA RADIO (feat. Descemer Bueno &amp; Zion &amp; Lennox)"/>
        <s v="Sucker"/>
        <s v="Sucker for Pain (with Wiz Khalifa, Imagine Dragons, Logic &amp; Ty Dolla $ign feat. X Ambassadors)"/>
        <s v="Suddenly I See"/>
        <s v="Suffocate - Superclean"/>
        <s v="Suga Suga"/>
        <s v="Sugar"/>
        <s v="Sugar (feat. Francesco Yates)"/>
        <s v="Suge"/>
        <s v="Suit &amp; Tie (feat. Jay-Z)"/>
        <s v="Summer"/>
        <s v="Summer Love"/>
        <s v="Summertime Sadness (Lana Del Rey Vs. Cedric Gervais) - Cedric Gervais Remix"/>
        <s v="Sunflower - Spider-Man: Into the Spider-Verse"/>
        <s v="Sunrise"/>
        <s v="Sunset Lover"/>
        <s v="Sunshine (feat. Anthony Hamilton)"/>
        <s v="Sunshine (feat. Lea)"/>
        <s v="Super Bass"/>
        <s v="Superheroes"/>
        <s v="Supermassive Black Hole"/>
        <s v="Superstar"/>
        <s v="Superstar (feat. Matthew Santos)"/>
        <s v="Sure Be Cool If You Did"/>
        <s v="Sure Thing"/>
        <s v="Survivor"/>
        <s v="Swalla (feat. Nicki Minaj &amp; Ty Dolla $ign)"/>
        <s v="Swang"/>
        <s v="Sweat - Remix"/>
        <s v="Sweater Weather"/>
        <s v="Sweet About Me"/>
        <s v="Sweet but Psycho"/>
        <s v="Sweet Dreams"/>
        <s v="Sweet Dreams My LA Ex - Radio Edit"/>
        <s v="Sweet Lovin' - Radio Edit"/>
        <s v="Sweet Nothing (feat. Florence Welch)"/>
        <s v="Sweetest Girl (Dollar Bill) (feat. Akon, Lil' Wayne &amp; Niia)"/>
        <s v="Swervin (feat. 6ix9ine)"/>
        <s v="Swimming Pools (Drank) - Extended Version"/>
        <s v="Switch"/>
        <s v="Symphony (feat. Zara Larsson)"/>
        <s v="T-Shirt"/>
        <s v="Tainted Love"/>
        <s v="Take A Bow"/>
        <s v="Take A Look Around"/>
        <s v="Take Care"/>
        <s v="Take It Off"/>
        <s v="Take Me Back to London (feat. Stormzy)"/>
        <s v="Take Me Out"/>
        <s v="Take Me To Church"/>
        <s v="Take Me To The Clouds Above - LMC Vs. U2 / Radio Edit"/>
        <s v="Take You There"/>
        <s v="Taki Taki (feat. Selena Gomez, Ozuna &amp; Cardi B)"/>
        <s v="Taki Taki (with Selena Gomez, Ozuna &amp; Cardi B)"/>
        <s v="Talk Dirty (feat. 2 Chainz)"/>
        <s v="Talking Body"/>
        <s v="Talking to the Moon"/>
        <s v="Taste (feat. Offset)"/>
        <s v="Tattoo"/>
        <s v="Te Amo"/>
        <s v="Te BotÃ© - Remix"/>
        <s v="Teach Me How to Dougie"/>
        <s v="Team"/>
        <s v="Tears (feat. Louisa Johnson)"/>
        <s v="Teenage Dirtbag"/>
        <s v="Teenage Dream"/>
        <s v="Teenagers"/>
        <s v="Telephone"/>
        <s v="Temperature"/>
        <s v="Thank God I Found You (feat. Joe &amp; 98Â°)"/>
        <s v="Thank You"/>
        <s v="That's My Goal"/>
        <s v="That's Not My Name"/>
        <s v="That's the Way It Is"/>
        <s v="The Adventures of Rain Dance Maggie"/>
        <s v="The Boy Does Nothing"/>
        <s v="The Closest Thing to Crazy"/>
        <s v="The Creeps - Fedde Le Grand Radio Mix"/>
        <s v="The Edge Of Glory"/>
        <s v="The Fear"/>
        <s v="The Flood"/>
        <s v="The Fox (What Does the Fox Say?)"/>
        <s v="The Girl Is Mine"/>
        <s v="The Git Up"/>
        <s v="The Great Escape"/>
        <s v="The Greatest (feat. Kendrick Lamar)"/>
        <s v="The Greatest Show"/>
        <s v="The Heart Wants What It Wants"/>
        <s v="The Hills"/>
        <s v="The Jump Off (feat. Mr. Cheeks) - Remix"/>
        <s v="The Ketchup Song (AserejÃ©) - Spanglish Version"/>
        <s v="The Kill"/>
        <s v="The Lazy Song"/>
        <s v="The Less I Know The Better"/>
        <s v="The Logical Song"/>
        <s v="The London (feat. J. Cole &amp; Travis Scott)"/>
        <s v="The Middle"/>
        <s v="The Monster"/>
        <s v="The Motto"/>
        <s v="The Next Episode"/>
        <s v="The Nights"/>
        <s v="The Ocean (feat. Shy Martin)"/>
        <s v="The One That Got Away"/>
        <s v="The Other Side"/>
        <s v="The Pretender"/>
        <s v="The Real Slim Shady"/>
        <s v="The Reason"/>
        <s v="The Riddle"/>
        <s v="The Rose"/>
        <s v="The Seed (2.0)"/>
        <s v="The Show Goes On"/>
        <s v="The Sweet Escape"/>
        <s v="The Tide Is High - Radio Mix"/>
        <s v="The Time (Dirty Bit)"/>
        <s v="The Time Is Now"/>
        <s v="The Way"/>
        <s v="The Way I Am"/>
        <s v="The Way I Are"/>
        <s v="The Way I Live - Main Explicit"/>
        <s v="The Way You Move (feat. Sleepy Brown)"/>
        <s v="The Whole World (feat. Killer Mike)"/>
        <s v="There You Go"/>
        <s v="There You'll Be"/>
        <s v="There's Nothing Holdin' Me Back"/>
        <s v="Thinking About You (feat. Ayah Marar)"/>
        <s v="Thinking out Loud"/>
        <s v="This Ain't a Love Song"/>
        <s v="This Ain't A Scene, It's An Arms Race"/>
        <s v="This Feeling"/>
        <s v="This Girl - Kungs Vs. Cookin' On 3 Burners"/>
        <s v="This Is How We Do"/>
        <s v="This Is Love"/>
        <s v="This Is What It Feels Like"/>
        <s v="This Is What You Came For (feat. Rihanna)"/>
        <s v="This Is Why I'm Hot"/>
        <s v="This Love"/>
        <s v="This One's for You (feat. Zara Larsson) (Official Song UEFA EURO 2016)"/>
        <s v="Thnks fr th Mmrs"/>
        <s v="Thong Song"/>
        <s v="Thotiana"/>
        <s v="Thrift Shop (feat. Wanz)"/>
        <s v="Through The Wire"/>
        <s v="Throw It In The Bag"/>
        <s v="Throw Some D's"/>
        <s v="Thunder"/>
        <s v="Thunder in My Heart Again (Radio Edit)"/>
        <s v="Tiimmy Turner"/>
        <s v="TiK ToK"/>
        <s v="Till the World Ends"/>
        <s v="Timber (feat. Ke$ha)"/>
        <s v="Time of Our Lives"/>
        <s v="Tip Toe (feat. French Montana)"/>
        <s v="Tipsy - Club Mix"/>
        <s v="Titanium (feat. Sia)"/>
        <s v="Tongue Tied"/>
        <s v="Tonight (I'm Fuckin' You)"/>
        <s v="Tonight Tonight"/>
        <s v="Too Close"/>
        <s v="Too Good"/>
        <s v="Too Good At Goodbyes"/>
        <s v="Too Little Too Late"/>
        <s v="Too Lost In You"/>
        <s v="Touch It"/>
        <s v="Touch Me (Radio Edit) [feat. Cassandra]"/>
        <s v="Touch My Body"/>
        <s v="Touch The Sky"/>
        <s v="Toxic"/>
        <s v="Trap Queen"/>
        <s v="Treasure"/>
        <s v="Treat You Better"/>
        <s v="Trick Me"/>
        <s v="Trip"/>
        <s v="Tripping"/>
        <s v="Troublemaker (feat. Flo Rida)"/>
        <s v="True"/>
        <s v="True Love (feat. Lily Allen)"/>
        <s v="Trumpets"/>
        <s v="Try"/>
        <s v="Try Again"/>
        <s v="Tuesday (feat. Danelle Sandoval)"/>
        <s v="Tunnel Vision"/>
        <s v="Turn Down for What"/>
        <s v="Turn Me On"/>
        <s v="Turn Me On (feat. Nicki Minaj)"/>
        <s v="Turn My Swag On"/>
        <s v="Turn Off The Light"/>
        <s v="Turn Up the Music"/>
        <s v="Turnin Me On - Original Dirty"/>
        <s v="U + Ur Hand"/>
        <s v="U and Dat (feat. T. Pain &amp; Kandi Girl)"/>
        <s v="U Don't Have to Call"/>
        <s v="U Know What's Up (feat. Lisa &quot;Left Eye&quot; Lopes)"/>
        <s v="U Make Me Wanna - Radio Edit"/>
        <s v="Ugly Heart"/>
        <s v="Uh Huh"/>
        <s v="Umbrella"/>
        <s v="Unchained Melody"/>
        <s v="Unconditionally"/>
        <s v="Under Control (feat. Hurts)"/>
        <s v="Underneath It All"/>
        <s v="Underneath Your Clothes"/>
        <s v="Unfaithful"/>
        <s v="Unforgettable"/>
        <s v="Until The End Of Time"/>
        <s v="Untouched"/>
        <s v="Unwell"/>
        <s v="Unwritten"/>
        <s v="Up (feat. Demi Lovato)"/>
        <s v="Uprising"/>
        <s v="Uptown Funk (feat. Bruno Mars)"/>
        <s v="Vaina Loca"/>
        <s v="Valerie (feat. Amy Winehouse) - Version Revisited"/>
        <s v="Vertigo"/>
        <s v="Violet Hill"/>
        <s v="Viva La Vida"/>
        <s v="Vossi Bop"/>
        <s v="Wait (The Whisper Song)"/>
        <s v="Wait a Minute!"/>
        <s v="Wait for You"/>
        <s v="Waiting All Night (feat. Ella Eyre)"/>
        <s v="Waiting For Love"/>
        <s v="Wake Me Up"/>
        <s v="Waking Up In Vegas"/>
        <s v="Walk It Out"/>
        <s v="Walk It Talk It"/>
        <s v="Walking On A Dream"/>
        <s v="Wanksta - From &quot;8 Mile&quot; Soundtrack"/>
        <s v="Wanna Get To Know You"/>
        <s v="Want U Back"/>
        <s v="Wasted"/>
        <s v="Wasting My Time"/>
        <s v="Watch Me (Whip / Nae Nae)"/>
        <s v="Waves - Robin Schulz Radio Edit"/>
        <s v="Wavin' Flag"/>
        <s v="Way down We Go"/>
        <s v="We Are Young (feat. Janelle MonÃ¡e)"/>
        <s v="We Be Burnin'"/>
        <s v="We Belong Together"/>
        <s v="We Can't Stop"/>
        <s v="We Come 1 - Radio Edit"/>
        <s v="We Don't Talk Anymore (feat. Selena Gomez)"/>
        <s v="we fell in love in october"/>
        <s v="We Fly High"/>
        <s v="We Found Love"/>
        <s v="We Made You"/>
        <s v="We No Speak Americano (JT Radio Edit)"/>
        <s v="We Own It (Fast &amp; Furious)"/>
        <s v="We R Who We R"/>
        <s v="We'll Be Coming Back (feat. Example)"/>
        <s v="Weak"/>
        <s v="Wearing My Rolex - Radio Edit"/>
        <s v="Welcome to the Black Parade"/>
        <s v="What About Us"/>
        <s v="What About Us?"/>
        <s v="What Do You Mean?"/>
        <s v="What Goes Around.../...Comes Around (Interlude)"/>
        <s v="What Hurts The Most"/>
        <s v="What I've Done"/>
        <s v="What Makes You Beautiful"/>
        <s v="What the Hell"/>
        <s v="What Took You So Long?"/>
        <s v="What You Got"/>
        <s v="What You Know"/>
        <s v="What You Waiting For?"/>
        <s v="What'chu Like (feat. Tyrese)"/>
        <s v="What's It Gonna Be (feat. Platnum)"/>
        <s v="What's Left Of Me"/>
        <s v="What's Luv? (feat. Ja-Rule &amp; Ashanti)"/>
        <s v="What's My Name?"/>
        <s v="Whataya Want from Me"/>
        <s v="Whatcha Say"/>
        <s v="Whatever It Takes"/>
        <s v="Whatever You Like"/>
        <s v="When I Grow Up"/>
        <s v="When I Was Your Man"/>
        <s v="When I'm Gone"/>
        <s v="When Love Takes Over (feat. Kelly Rowland)"/>
        <s v="When The Sun Goes Down"/>
        <s v="When We Collide"/>
        <s v="When We Stand Together"/>
        <s v="When You Look At Me - Radio Edit"/>
        <s v="When You're Gone"/>
        <s v="Whenever, Wherever"/>
        <s v="Where Are Ãœ Now (with Justin Bieber)"/>
        <s v="Where Have You Been"/>
        <s v="Where I Wanna Be"/>
        <s v="Where Is The Love?"/>
        <s v="Where the Party At (feat. Nelly)"/>
        <s v="Where Them Girls At (feat. Nicki Minaj &amp; Flo Rida)"/>
        <s v="Where'd You Go (feat. Holly Brook &amp; Jonah Matranga)"/>
        <s v="Wherever I Go"/>
        <s v="Wherever You Will Go"/>
        <s v="Whistle"/>
        <s v="White Flag"/>
        <s v="White Noise"/>
        <s v="Who Knew"/>
        <s v="Who Let The Dogs Out"/>
        <s v="Who Says"/>
        <s v="Who's That Chick? (feat. Rihanna)"/>
        <s v="Whole Again"/>
        <s v="Why'd You Only Call Me When You're High?"/>
        <s v="Wide Awake"/>
        <s v="Wifey"/>
        <s v="Wiggle (feat. Snoop Dogg)"/>
        <s v="Wild Ones (feat. Sia)"/>
        <s v="Wild Thoughts (feat. Rihanna &amp; Bryson Tiller)"/>
        <s v="Wildest Dreams"/>
        <s v="Wings"/>
        <s v="Wish You Well"/>
        <s v="Wish You Were Mine - Radio Edit"/>
        <s v="With Arms Wide Open"/>
        <s v="With Every Heartbeat"/>
        <s v="With You"/>
        <s v="Without Me"/>
        <s v="Without You (feat. Sandro Cavazza)"/>
        <s v="Without You (feat. Usher)"/>
        <s v="Wolves"/>
        <s v="Womanizer"/>
        <s v="Wonderful World"/>
        <s v="Work"/>
        <s v="Work B**ch"/>
        <s v="Work from Home (feat. Ty Dolla $ign)"/>
        <s v="Work Hard, Play Hard"/>
        <s v="Work It"/>
        <s v="Worth It (feat. Kid Ink)"/>
        <s v="Wow"/>
        <s v="Wow."/>
        <s v="Wrapped Up (feat. Travie McCoy)"/>
        <s v="Wrecking Ball"/>
        <s v="Writing's On The Wall - From &quot;Spectre&quot; Soundtrack"/>
        <s v="Written in the Stars (feat. Eric Turner)"/>
        <s v="X"/>
        <s v="X Gon' Give It To Ya"/>
        <s v="XO Tour Llif3"/>
        <s v="Yeah 3x"/>
        <s v="Yeah! (feat. Lil Jon &amp; Ludacris)"/>
        <s v="Years - ãƒ©ã‚¸ã‚ªãƒ»ã‚¨ãƒ‡ã‚£ãƒƒãƒˆ"/>
        <s v="Yes Indeed"/>
        <s v="Yo (Excuse Me Miss)"/>
        <s v="You"/>
        <s v="You Belong With Me"/>
        <s v="You Don't Know Me - Radio Edit"/>
        <s v="You Don't Know My Name"/>
        <s v="You Don't Own Me (feat. G-Eazy)"/>
        <s v="You Found Me"/>
        <s v="You Give Me Something"/>
        <s v="You Know I'm No Good"/>
        <s v="You Know You Like It"/>
        <s v="You Make Me Feel... (feat. Sabi)"/>
        <s v="You Raise Me Up"/>
        <s v="You Rock My World"/>
        <s v="You Sang To Me"/>
        <s v="You're All I Have"/>
        <s v="You're Beautiful"/>
        <s v="You're Gonna Go Far, Kid"/>
        <s v="Young Forever"/>
        <s v="Young, Wild &amp; Free (feat. Bruno Mars)"/>
        <s v="Youngblood"/>
        <s v="Your Body"/>
        <s v="Your Love Alone Is Not Enough (feat. Nina Persson)"/>
        <s v="Your Love Is My Drug"/>
        <s v="Youth of the Nation"/>
        <s v="ZEZE (feat. Travis Scott &amp; Offset)"/>
      </sharedItems>
    </cacheField>
    <cacheField name="duration_ms" numFmtId="0">
      <sharedItems containsSemiMixedTypes="0" containsString="0" containsNumber="1" containsInteger="1" minValue="113000" maxValue="484146" count="1793">
        <n v="113000"/>
        <n v="114893"/>
        <n v="119133"/>
        <n v="121886"/>
        <n v="124055"/>
        <n v="126446"/>
        <n v="127920"/>
        <n v="129264"/>
        <n v="131064"/>
        <n v="131213"/>
        <n v="131240"/>
        <n v="135090"/>
        <n v="136568"/>
        <n v="138842"/>
        <n v="142273"/>
        <n v="144244"/>
        <n v="148186"/>
        <n v="149546"/>
        <n v="150400"/>
        <n v="150533"/>
        <n v="151640"/>
        <n v="151973"/>
        <n v="152333"/>
        <n v="152913"/>
        <n v="154447"/>
        <n v="156600"/>
        <n v="156773"/>
        <n v="157066"/>
        <n v="157152"/>
        <n v="157202"/>
        <n v="157293"/>
        <n v="157432"/>
        <n v="157438"/>
        <n v="157492"/>
        <n v="157560"/>
        <n v="157605"/>
        <n v="157643"/>
        <n v="159693"/>
        <n v="160097"/>
        <n v="161123"/>
        <n v="161240"/>
        <n v="161506"/>
        <n v="161746"/>
        <n v="161920"/>
        <n v="162333"/>
        <n v="162582"/>
        <n v="162600"/>
        <n v="163216"/>
        <n v="163246"/>
        <n v="163320"/>
        <n v="164506"/>
        <n v="165120"/>
        <n v="165440"/>
        <n v="165853"/>
        <n v="165908"/>
        <n v="166138"/>
        <n v="166373"/>
        <n v="166560"/>
        <n v="166605"/>
        <n v="166866"/>
        <n v="166933"/>
        <n v="167065"/>
        <n v="167066"/>
        <n v="167493"/>
        <n v="168213"/>
        <n v="168879"/>
        <n v="169303"/>
        <n v="169353"/>
        <n v="169773"/>
        <n v="169813"/>
        <n v="169866"/>
        <n v="170480"/>
        <n v="170493"/>
        <n v="170625"/>
        <n v="170825"/>
        <n v="171029"/>
        <n v="171226"/>
        <n v="171333"/>
        <n v="171360"/>
        <n v="171546"/>
        <n v="172053"/>
        <n v="172240"/>
        <n v="172373"/>
        <n v="172723"/>
        <n v="172800"/>
        <n v="172854"/>
        <n v="172866"/>
        <n v="173040"/>
        <n v="173153"/>
        <n v="173600"/>
        <n v="173680"/>
        <n v="173720"/>
        <n v="173799"/>
        <n v="173986"/>
        <n v="174120"/>
        <n v="174444"/>
        <n v="174600"/>
        <n v="174853"/>
        <n v="174933"/>
        <n v="174960"/>
        <n v="175093"/>
        <n v="175229"/>
        <n v="175426"/>
        <n v="175893"/>
        <n v="176117"/>
        <n v="176133"/>
        <n v="176346"/>
        <n v="176453"/>
        <n v="176561"/>
        <n v="176613"/>
        <n v="176631"/>
        <n v="176658"/>
        <n v="176674"/>
        <n v="177000"/>
        <n v="177184"/>
        <n v="177185"/>
        <n v="177466"/>
        <n v="177506"/>
        <n v="177560"/>
        <n v="177573"/>
        <n v="177600"/>
        <n v="177666"/>
        <n v="177685"/>
        <n v="177826"/>
        <n v="178013"/>
        <n v="178426"/>
        <n v="178480"/>
        <n v="178560"/>
        <n v="178613"/>
        <n v="178626"/>
        <n v="179120"/>
        <n v="179160"/>
        <n v="179404"/>
        <n v="179449"/>
        <n v="179640"/>
        <n v="179946"/>
        <n v="180266"/>
        <n v="180480"/>
        <n v="180493"/>
        <n v="180522"/>
        <n v="180822"/>
        <n v="180933"/>
        <n v="181026"/>
        <n v="181263"/>
        <n v="181279"/>
        <n v="181573"/>
        <n v="181614"/>
        <n v="181672"/>
        <n v="181812"/>
        <n v="181823"/>
        <n v="181826"/>
        <n v="182160"/>
        <n v="182306"/>
        <n v="182333"/>
        <n v="182626"/>
        <n v="182666"/>
        <n v="182706"/>
        <n v="182826"/>
        <n v="183000"/>
        <n v="183026"/>
        <n v="183290"/>
        <n v="183414"/>
        <n v="183527"/>
        <n v="183750"/>
        <n v="183906"/>
        <n v="184153"/>
        <n v="184280"/>
        <n v="184400"/>
        <n v="184516"/>
        <n v="184560"/>
        <n v="184573"/>
        <n v="184720"/>
        <n v="184732"/>
        <n v="184906"/>
        <n v="185013"/>
        <n v="185131"/>
        <n v="185133"/>
        <n v="185200"/>
        <n v="185351"/>
        <n v="185586"/>
        <n v="185640"/>
        <n v="185863"/>
        <n v="185946"/>
        <n v="186026"/>
        <n v="186080"/>
        <n v="186106"/>
        <n v="186112"/>
        <n v="186146"/>
        <n v="186173"/>
        <n v="186231"/>
        <n v="186306"/>
        <n v="186813"/>
        <n v="186826"/>
        <n v="186851"/>
        <n v="186986"/>
        <n v="187133"/>
        <n v="187146"/>
        <n v="187280"/>
        <n v="187436"/>
        <n v="187521"/>
        <n v="187626"/>
        <n v="187733"/>
        <n v="187840"/>
        <n v="187920"/>
        <n v="187957"/>
        <n v="187973"/>
        <n v="188000"/>
        <n v="188013"/>
        <n v="188371"/>
        <n v="188453"/>
        <n v="188493"/>
        <n v="188560"/>
        <n v="188640"/>
        <n v="188693"/>
        <n v="188786"/>
        <n v="188866"/>
        <n v="188960"/>
        <n v="189029"/>
        <n v="189052"/>
        <n v="189109"/>
        <n v="189126"/>
        <n v="189333"/>
        <n v="189399"/>
        <n v="189466"/>
        <n v="189486"/>
        <n v="189506"/>
        <n v="189693"/>
        <n v="189720"/>
        <n v="189733"/>
        <n v="189800"/>
        <n v="189840"/>
        <n v="189906"/>
        <n v="190000"/>
        <n v="190013"/>
        <n v="190066"/>
        <n v="190173"/>
        <n v="190185"/>
        <n v="190288"/>
        <n v="190348"/>
        <n v="190440"/>
        <n v="190453"/>
        <n v="190493"/>
        <n v="190537"/>
        <n v="190677"/>
        <n v="190786"/>
        <n v="190799"/>
        <n v="190920"/>
        <n v="190946"/>
        <n v="190973"/>
        <n v="191000"/>
        <n v="191040"/>
        <n v="191600"/>
        <n v="191826"/>
        <n v="192000"/>
        <n v="192106"/>
        <n v="192120"/>
        <n v="192190"/>
        <n v="192200"/>
        <n v="192213"/>
        <n v="192360"/>
        <n v="192440"/>
        <n v="192446"/>
        <n v="192470"/>
        <n v="192533"/>
        <n v="192560"/>
        <n v="192573"/>
        <n v="192600"/>
        <n v="192670"/>
        <n v="192693"/>
        <n v="192846"/>
        <n v="192866"/>
        <n v="193058"/>
        <n v="193093"/>
        <n v="193143"/>
        <n v="193200"/>
        <n v="193213"/>
        <n v="193226"/>
        <n v="193253"/>
        <n v="193295"/>
        <n v="193333"/>
        <n v="193386"/>
        <n v="193400"/>
        <n v="193466"/>
        <n v="193520"/>
        <n v="193613"/>
        <n v="193653"/>
        <n v="193733"/>
        <n v="193837"/>
        <n v="193893"/>
        <n v="193920"/>
        <n v="194026"/>
        <n v="194087"/>
        <n v="194213"/>
        <n v="194407"/>
        <n v="194561"/>
        <n v="194613"/>
        <n v="194680"/>
        <n v="194840"/>
        <n v="194896"/>
        <n v="195105"/>
        <n v="195200"/>
        <n v="195240"/>
        <n v="195373"/>
        <n v="195466"/>
        <n v="195480"/>
        <n v="195506"/>
        <n v="195561"/>
        <n v="195586"/>
        <n v="195613"/>
        <n v="195637"/>
        <n v="195706"/>
        <n v="195853"/>
        <n v="195866"/>
        <n v="195920"/>
        <n v="195973"/>
        <n v="195986"/>
        <n v="196000"/>
        <n v="196053"/>
        <n v="196133"/>
        <n v="196160"/>
        <n v="196266"/>
        <n v="196373"/>
        <n v="196413"/>
        <n v="196489"/>
        <n v="196520"/>
        <n v="196533"/>
        <n v="196613"/>
        <n v="196640"/>
        <n v="196664"/>
        <n v="196693"/>
        <n v="196893"/>
        <n v="196906"/>
        <n v="196986"/>
        <n v="197131"/>
        <n v="197160"/>
        <n v="197173"/>
        <n v="197186"/>
        <n v="197266"/>
        <n v="197360"/>
        <n v="197436"/>
        <n v="197440"/>
        <n v="197546"/>
        <n v="197577"/>
        <n v="197640"/>
        <n v="197666"/>
        <n v="197760"/>
        <n v="197815"/>
        <n v="197826"/>
        <n v="197933"/>
        <n v="197935"/>
        <n v="197946"/>
        <n v="197993"/>
        <n v="198236"/>
        <n v="198293"/>
        <n v="198306"/>
        <n v="198346"/>
        <n v="198400"/>
        <n v="198440"/>
        <n v="198567"/>
        <n v="198600"/>
        <n v="198774"/>
        <n v="198800"/>
        <n v="198853"/>
        <n v="198880"/>
        <n v="198973"/>
        <n v="199026"/>
        <n v="199040"/>
        <n v="199120"/>
        <n v="199133"/>
        <n v="199186"/>
        <n v="199314"/>
        <n v="199320"/>
        <n v="199386"/>
        <n v="199427"/>
        <n v="199440"/>
        <n v="199453"/>
        <n v="199480"/>
        <n v="199680"/>
        <n v="199693"/>
        <n v="199853"/>
        <n v="199906"/>
        <n v="199938"/>
        <n v="199946"/>
        <n v="199986"/>
        <n v="200013"/>
        <n v="200053"/>
        <n v="200080"/>
        <n v="200104"/>
        <n v="200106"/>
        <n v="200185"/>
        <n v="200186"/>
        <n v="200426"/>
        <n v="200466"/>
        <n v="200480"/>
        <n v="200560"/>
        <n v="200593"/>
        <n v="200786"/>
        <n v="200853"/>
        <n v="200889"/>
        <n v="200946"/>
        <n v="200973"/>
        <n v="201000"/>
        <n v="201040"/>
        <n v="201053"/>
        <n v="201160"/>
        <n v="201213"/>
        <n v="201240"/>
        <n v="201256"/>
        <n v="201373"/>
        <n v="201400"/>
        <n v="201480"/>
        <n v="201493"/>
        <n v="201526"/>
        <n v="201533"/>
        <n v="201546"/>
        <n v="201586"/>
        <n v="201590"/>
        <n v="201626"/>
        <n v="201660"/>
        <n v="201706"/>
        <n v="201707"/>
        <n v="201787"/>
        <n v="201920"/>
        <n v="201946"/>
        <n v="202013"/>
        <n v="202066"/>
        <n v="202093"/>
        <n v="202133"/>
        <n v="202149"/>
        <n v="202192"/>
        <n v="202204"/>
        <n v="202213"/>
        <n v="202221"/>
        <n v="202266"/>
        <n v="202333"/>
        <n v="202496"/>
        <n v="202533"/>
        <n v="202586"/>
        <n v="202613"/>
        <n v="202620"/>
        <n v="202661"/>
        <n v="202720"/>
        <n v="202800"/>
        <n v="202804"/>
        <n v="202960"/>
        <n v="203000"/>
        <n v="203093"/>
        <n v="203200"/>
        <n v="203333"/>
        <n v="203346"/>
        <n v="203360"/>
        <n v="203417"/>
        <n v="203440"/>
        <n v="203466"/>
        <n v="203493"/>
        <n v="203506"/>
        <n v="203520"/>
        <n v="203600"/>
        <n v="203653"/>
        <n v="203686"/>
        <n v="203960"/>
        <n v="204000"/>
        <n v="204040"/>
        <n v="204093"/>
        <n v="204160"/>
        <n v="204173"/>
        <n v="204200"/>
        <n v="204280"/>
        <n v="204285"/>
        <n v="204346"/>
        <n v="204360"/>
        <n v="204400"/>
        <n v="204502"/>
        <n v="204600"/>
        <n v="204640"/>
        <n v="204706"/>
        <n v="204733"/>
        <n v="204746"/>
        <n v="204760"/>
        <n v="204956"/>
        <n v="205160"/>
        <n v="205200"/>
        <n v="205346"/>
        <n v="205360"/>
        <n v="205426"/>
        <n v="205560"/>
        <n v="205593"/>
        <n v="205613"/>
        <n v="205640"/>
        <n v="205653"/>
        <n v="205680"/>
        <n v="205733"/>
        <n v="205745"/>
        <n v="205803"/>
        <n v="205840"/>
        <n v="205879"/>
        <n v="205920"/>
        <n v="205933"/>
        <n v="205946"/>
        <n v="205973"/>
        <n v="206000"/>
        <n v="206066"/>
        <n v="206080"/>
        <n v="206093"/>
        <n v="206106"/>
        <n v="206120"/>
        <n v="206166"/>
        <n v="206186"/>
        <n v="206200"/>
        <n v="206226"/>
        <n v="206333"/>
        <n v="206373"/>
        <n v="206400"/>
        <n v="206413"/>
        <n v="206460"/>
        <n v="206466"/>
        <n v="206480"/>
        <n v="206493"/>
        <n v="206520"/>
        <n v="206666"/>
        <n v="206776"/>
        <n v="206880"/>
        <n v="207000"/>
        <n v="207038"/>
        <n v="207040"/>
        <n v="207066"/>
        <n v="207120"/>
        <n v="207186"/>
        <n v="207200"/>
        <n v="207272"/>
        <n v="207333"/>
        <n v="207400"/>
        <n v="207466"/>
        <n v="207476"/>
        <n v="207506"/>
        <n v="207546"/>
        <n v="207560"/>
        <n v="207586"/>
        <n v="207613"/>
        <n v="207626"/>
        <n v="207629"/>
        <n v="207653"/>
        <n v="207680"/>
        <n v="207746"/>
        <n v="207866"/>
        <n v="207906"/>
        <n v="207920"/>
        <n v="208066"/>
        <n v="208106"/>
        <n v="208120"/>
        <n v="208133"/>
        <n v="208186"/>
        <n v="208199"/>
        <n v="208306"/>
        <n v="208316"/>
        <n v="208330"/>
        <n v="208373"/>
        <n v="208386"/>
        <n v="208426"/>
        <n v="208449"/>
        <n v="208493"/>
        <n v="208600"/>
        <n v="208626"/>
        <n v="208728"/>
        <n v="208733"/>
        <n v="208853"/>
        <n v="208946"/>
        <n v="208960"/>
        <n v="209106"/>
        <n v="209120"/>
        <n v="209160"/>
        <n v="209266"/>
        <n v="209269"/>
        <n v="209423"/>
        <n v="209425"/>
        <n v="209438"/>
        <n v="209440"/>
        <n v="209466"/>
        <n v="209493"/>
        <n v="209533"/>
        <n v="209666"/>
        <n v="209800"/>
        <n v="209866"/>
        <n v="210066"/>
        <n v="210200"/>
        <n v="210226"/>
        <n v="210266"/>
        <n v="210306"/>
        <n v="210367"/>
        <n v="210506"/>
        <n v="210573"/>
        <n v="210580"/>
        <n v="210626"/>
        <n v="210680"/>
        <n v="210693"/>
        <n v="210720"/>
        <n v="210746"/>
        <n v="210786"/>
        <n v="210813"/>
        <n v="210840"/>
        <n v="210853"/>
        <n v="210960"/>
        <n v="210973"/>
        <n v="211000"/>
        <n v="211080"/>
        <n v="211120"/>
        <n v="211160"/>
        <n v="211186"/>
        <n v="211253"/>
        <n v="211320"/>
        <n v="211440"/>
        <n v="211475"/>
        <n v="211493"/>
        <n v="211506"/>
        <n v="211520"/>
        <n v="211666"/>
        <n v="211773"/>
        <n v="211853"/>
        <n v="211880"/>
        <n v="211893"/>
        <n v="211920"/>
        <n v="211933"/>
        <n v="211975"/>
        <n v="212000"/>
        <n v="212027"/>
        <n v="212040"/>
        <n v="212106"/>
        <n v="212120"/>
        <n v="212266"/>
        <n v="212280"/>
        <n v="212306"/>
        <n v="212360"/>
        <n v="212400"/>
        <n v="212413"/>
        <n v="212424"/>
        <n v="212439"/>
        <n v="212500"/>
        <n v="212506"/>
        <n v="212560"/>
        <n v="212640"/>
        <n v="212773"/>
        <n v="212862"/>
        <n v="212893"/>
        <n v="212946"/>
        <n v="212960"/>
        <n v="212973"/>
        <n v="213026"/>
        <n v="213053"/>
        <n v="213066"/>
        <n v="213133"/>
        <n v="213173"/>
        <n v="213213"/>
        <n v="213293"/>
        <n v="213337"/>
        <n v="213346"/>
        <n v="213400"/>
        <n v="213413"/>
        <n v="213427"/>
        <n v="213445"/>
        <n v="213506"/>
        <n v="213520"/>
        <n v="213593"/>
        <n v="213666"/>
        <n v="213708"/>
        <n v="213733"/>
        <n v="213760"/>
        <n v="213786"/>
        <n v="213826"/>
        <n v="213893"/>
        <n v="213946"/>
        <n v="213973"/>
        <n v="213986"/>
        <n v="213993"/>
        <n v="214013"/>
        <n v="214080"/>
        <n v="214106"/>
        <n v="214147"/>
        <n v="214203"/>
        <n v="214205"/>
        <n v="214226"/>
        <n v="214240"/>
        <n v="214253"/>
        <n v="214254"/>
        <n v="214265"/>
        <n v="214289"/>
        <n v="214306"/>
        <n v="214333"/>
        <n v="214386"/>
        <n v="214440"/>
        <n v="214466"/>
        <n v="214480"/>
        <n v="214506"/>
        <n v="214600"/>
        <n v="214706"/>
        <n v="214733"/>
        <n v="214746"/>
        <n v="214773"/>
        <n v="214819"/>
        <n v="214840"/>
        <n v="214846"/>
        <n v="214866"/>
        <n v="214883"/>
        <n v="214893"/>
        <n v="214912"/>
        <n v="214946"/>
        <n v="214960"/>
        <n v="215000"/>
        <n v="215064"/>
        <n v="215160"/>
        <n v="215173"/>
        <n v="215200"/>
        <n v="215226"/>
        <n v="215253"/>
        <n v="215266"/>
        <n v="215280"/>
        <n v="215306"/>
        <n v="215360"/>
        <n v="215413"/>
        <n v="215431"/>
        <n v="215466"/>
        <n v="215480"/>
        <n v="215506"/>
        <n v="215624"/>
        <n v="215672"/>
        <n v="215693"/>
        <n v="215720"/>
        <n v="215733"/>
        <n v="215746"/>
        <n v="215759"/>
        <n v="215866"/>
        <n v="216013"/>
        <n v="216026"/>
        <n v="216120"/>
        <n v="216146"/>
        <n v="216160"/>
        <n v="216200"/>
        <n v="216317"/>
        <n v="216320"/>
        <n v="216333"/>
        <n v="216360"/>
        <n v="216408"/>
        <n v="216480"/>
        <n v="216520"/>
        <n v="216600"/>
        <n v="216613"/>
        <n v="216631"/>
        <n v="216706"/>
        <n v="216733"/>
        <n v="216760"/>
        <n v="216880"/>
        <n v="216893"/>
        <n v="216896"/>
        <n v="216933"/>
        <n v="217036"/>
        <n v="217120"/>
        <n v="217288"/>
        <n v="217296"/>
        <n v="217306"/>
        <n v="217346"/>
        <n v="217440"/>
        <n v="217466"/>
        <n v="217493"/>
        <n v="217586"/>
        <n v="217603"/>
        <n v="217666"/>
        <n v="217680"/>
        <n v="217706"/>
        <n v="217733"/>
        <n v="217800"/>
        <n v="217826"/>
        <n v="217866"/>
        <n v="217906"/>
        <n v="217925"/>
        <n v="217946"/>
        <n v="218013"/>
        <n v="218093"/>
        <n v="218106"/>
        <n v="218146"/>
        <n v="218173"/>
        <n v="218190"/>
        <n v="218227"/>
        <n v="218360"/>
        <n v="218400"/>
        <n v="218546"/>
        <n v="218573"/>
        <n v="218626"/>
        <n v="218760"/>
        <n v="218840"/>
        <n v="219000"/>
        <n v="219026"/>
        <n v="219043"/>
        <n v="219093"/>
        <n v="219106"/>
        <n v="219146"/>
        <n v="219159"/>
        <n v="219200"/>
        <n v="219240"/>
        <n v="219305"/>
        <n v="219320"/>
        <n v="219333"/>
        <n v="219360"/>
        <n v="219400"/>
        <n v="219413"/>
        <n v="219426"/>
        <n v="219493"/>
        <n v="219533"/>
        <n v="219546"/>
        <n v="219560"/>
        <n v="219600"/>
        <n v="219720"/>
        <n v="219733"/>
        <n v="219826"/>
        <n v="219840"/>
        <n v="219920"/>
        <n v="219973"/>
        <n v="219986"/>
        <n v="220053"/>
        <n v="220106"/>
        <n v="220226"/>
        <n v="220293"/>
        <n v="220306"/>
        <n v="220360"/>
        <n v="220426"/>
        <n v="220440"/>
        <n v="220454"/>
        <n v="220520"/>
        <n v="220573"/>
        <n v="220626"/>
        <n v="220640"/>
        <n v="220682"/>
        <n v="220706"/>
        <n v="220734"/>
        <n v="220779"/>
        <n v="220780"/>
        <n v="220800"/>
        <n v="220853"/>
        <n v="220883"/>
        <n v="220946"/>
        <n v="220973"/>
        <n v="221013"/>
        <n v="221075"/>
        <n v="221133"/>
        <n v="221160"/>
        <n v="221176"/>
        <n v="221226"/>
        <n v="221240"/>
        <n v="221253"/>
        <n v="221272"/>
        <n v="221360"/>
        <n v="221426"/>
        <n v="221440"/>
        <n v="221493"/>
        <n v="221506"/>
        <n v="221560"/>
        <n v="221653"/>
        <n v="221840"/>
        <n v="221920"/>
        <n v="221933"/>
        <n v="221946"/>
        <n v="222040"/>
        <n v="222066"/>
        <n v="222091"/>
        <n v="222093"/>
        <n v="222120"/>
        <n v="222146"/>
        <n v="222160"/>
        <n v="222186"/>
        <n v="222213"/>
        <n v="222293"/>
        <n v="222306"/>
        <n v="222360"/>
        <n v="222400"/>
        <n v="222435"/>
        <n v="222440"/>
        <n v="222453"/>
        <n v="222500"/>
        <n v="222546"/>
        <n v="222560"/>
        <n v="222586"/>
        <n v="222640"/>
        <n v="222653"/>
        <n v="222773"/>
        <n v="222813"/>
        <n v="222826"/>
        <n v="222920"/>
        <n v="223000"/>
        <n v="223053"/>
        <n v="223066"/>
        <n v="223080"/>
        <n v="223111"/>
        <n v="223133"/>
        <n v="223186"/>
        <n v="223253"/>
        <n v="223266"/>
        <n v="223293"/>
        <n v="223386"/>
        <n v="223413"/>
        <n v="223440"/>
        <n v="223503"/>
        <n v="223506"/>
        <n v="223533"/>
        <n v="223546"/>
        <n v="223680"/>
        <n v="223712"/>
        <n v="223773"/>
        <n v="223800"/>
        <n v="223840"/>
        <n v="223853"/>
        <n v="223962"/>
        <n v="223973"/>
        <n v="224030"/>
        <n v="224066"/>
        <n v="224093"/>
        <n v="224146"/>
        <n v="224226"/>
        <n v="224253"/>
        <n v="224258"/>
        <n v="224293"/>
        <n v="224333"/>
        <n v="224400"/>
        <n v="224440"/>
        <n v="224493"/>
        <n v="224506"/>
        <n v="224573"/>
        <n v="224640"/>
        <n v="224653"/>
        <n v="224693"/>
        <n v="224813"/>
        <n v="224840"/>
        <n v="224933"/>
        <n v="225066"/>
        <n v="225106"/>
        <n v="225146"/>
        <n v="225173"/>
        <n v="225226"/>
        <n v="225373"/>
        <n v="225426"/>
        <n v="225493"/>
        <n v="225520"/>
        <n v="225533"/>
        <n v="225560"/>
        <n v="225881"/>
        <n v="225882"/>
        <n v="225914"/>
        <n v="225933"/>
        <n v="225973"/>
        <n v="225983"/>
        <n v="226000"/>
        <n v="226013"/>
        <n v="226053"/>
        <n v="226160"/>
        <n v="226226"/>
        <n v="226293"/>
        <n v="226440"/>
        <n v="226506"/>
        <n v="226533"/>
        <n v="226580"/>
        <n v="226600"/>
        <n v="226640"/>
        <n v="226680"/>
        <n v="226706"/>
        <n v="226720"/>
        <n v="226738"/>
        <n v="226760"/>
        <n v="226863"/>
        <n v="226973"/>
        <n v="226986"/>
        <n v="227000"/>
        <n v="227026"/>
        <n v="227073"/>
        <n v="227080"/>
        <n v="227266"/>
        <n v="227280"/>
        <n v="227320"/>
        <n v="227333"/>
        <n v="227360"/>
        <n v="227373"/>
        <n v="227386"/>
        <n v="227480"/>
        <n v="227533"/>
        <n v="227600"/>
        <n v="227741"/>
        <n v="227773"/>
        <n v="227786"/>
        <n v="227833"/>
        <n v="227840"/>
        <n v="227853"/>
        <n v="227866"/>
        <n v="227880"/>
        <n v="227893"/>
        <n v="227906"/>
        <n v="227960"/>
        <n v="227973"/>
        <n v="227986"/>
        <n v="228000"/>
        <n v="228026"/>
        <n v="228093"/>
        <n v="228133"/>
        <n v="228140"/>
        <n v="228200"/>
        <n v="228240"/>
        <n v="228346"/>
        <n v="228360"/>
        <n v="228361"/>
        <n v="228373"/>
        <n v="228453"/>
        <n v="228640"/>
        <n v="228706"/>
        <n v="228759"/>
        <n v="228800"/>
        <n v="228878"/>
        <n v="228906"/>
        <n v="229040"/>
        <n v="229080"/>
        <n v="229173"/>
        <n v="229184"/>
        <n v="229303"/>
        <n v="229360"/>
        <n v="229412"/>
        <n v="229413"/>
        <n v="229466"/>
        <n v="229506"/>
        <n v="229525"/>
        <n v="229573"/>
        <n v="229670"/>
        <n v="229773"/>
        <n v="229813"/>
        <n v="229826"/>
        <n v="229866"/>
        <n v="230013"/>
        <n v="230093"/>
        <n v="230133"/>
        <n v="230192"/>
        <n v="230200"/>
        <n v="230226"/>
        <n v="230253"/>
        <n v="230306"/>
        <n v="230333"/>
        <n v="230346"/>
        <n v="230453"/>
        <n v="230493"/>
        <n v="230560"/>
        <n v="230613"/>
        <n v="230640"/>
        <n v="230733"/>
        <n v="230746"/>
        <n v="231000"/>
        <n v="231013"/>
        <n v="231040"/>
        <n v="231066"/>
        <n v="231146"/>
        <n v="231166"/>
        <n v="231173"/>
        <n v="231211"/>
        <n v="231213"/>
        <n v="231240"/>
        <n v="231266"/>
        <n v="231373"/>
        <n v="231400"/>
        <n v="231480"/>
        <n v="231533"/>
        <n v="231546"/>
        <n v="231573"/>
        <n v="231666"/>
        <n v="231760"/>
        <n v="231826"/>
        <n v="231840"/>
        <n v="231866"/>
        <n v="231906"/>
        <n v="231920"/>
        <n v="231986"/>
        <n v="232000"/>
        <n v="232120"/>
        <n v="232146"/>
        <n v="232186"/>
        <n v="232213"/>
        <n v="232466"/>
        <n v="232506"/>
        <n v="232533"/>
        <n v="232549"/>
        <n v="232560"/>
        <n v="232573"/>
        <n v="232720"/>
        <n v="232800"/>
        <n v="232893"/>
        <n v="232946"/>
        <n v="232959"/>
        <n v="233186"/>
        <n v="233337"/>
        <n v="233360"/>
        <n v="233400"/>
        <n v="233466"/>
        <n v="233478"/>
        <n v="233560"/>
        <n v="233600"/>
        <n v="233626"/>
        <n v="233640"/>
        <n v="233666"/>
        <n v="233712"/>
        <n v="233720"/>
        <n v="233786"/>
        <n v="233866"/>
        <n v="233901"/>
        <n v="233933"/>
        <n v="233973"/>
        <n v="234000"/>
        <n v="234026"/>
        <n v="234040"/>
        <n v="234093"/>
        <n v="234116"/>
        <n v="234133"/>
        <n v="234173"/>
        <n v="234213"/>
        <n v="234308"/>
        <n v="234360"/>
        <n v="234400"/>
        <n v="234453"/>
        <n v="234506"/>
        <n v="234560"/>
        <n v="234653"/>
        <n v="234693"/>
        <n v="234800"/>
        <n v="234826"/>
        <n v="234893"/>
        <n v="234960"/>
        <n v="235066"/>
        <n v="235133"/>
        <n v="235173"/>
        <n v="235186"/>
        <n v="235213"/>
        <n v="235382"/>
        <n v="235493"/>
        <n v="235533"/>
        <n v="235545"/>
        <n v="235613"/>
        <n v="235653"/>
        <n v="235662"/>
        <n v="235693"/>
        <n v="235735"/>
        <n v="235800"/>
        <n v="235826"/>
        <n v="235893"/>
        <n v="235946"/>
        <n v="235986"/>
        <n v="236001"/>
        <n v="236080"/>
        <n v="236133"/>
        <n v="236213"/>
        <n v="236266"/>
        <n v="236426"/>
        <n v="236440"/>
        <n v="236506"/>
        <n v="236520"/>
        <n v="236600"/>
        <n v="236693"/>
        <n v="236813"/>
        <n v="236866"/>
        <n v="236906"/>
        <n v="237026"/>
        <n v="237053"/>
        <n v="237120"/>
        <n v="237173"/>
        <n v="237200"/>
        <n v="237240"/>
        <n v="237266"/>
        <n v="237293"/>
        <n v="237359"/>
        <n v="237480"/>
        <n v="237493"/>
        <n v="237506"/>
        <n v="237626"/>
        <n v="237693"/>
        <n v="237706"/>
        <n v="237733"/>
        <n v="237760"/>
        <n v="237786"/>
        <n v="237792"/>
        <n v="237800"/>
        <n v="237946"/>
        <n v="238000"/>
        <n v="238053"/>
        <n v="238120"/>
        <n v="238173"/>
        <n v="238200"/>
        <n v="238266"/>
        <n v="238320"/>
        <n v="238360"/>
        <n v="238426"/>
        <n v="238493"/>
        <n v="238506"/>
        <n v="238586"/>
        <n v="238600"/>
        <n v="238614"/>
        <n v="238626"/>
        <n v="238693"/>
        <n v="238733"/>
        <n v="238746"/>
        <n v="238759"/>
        <n v="238800"/>
        <n v="238826"/>
        <n v="238840"/>
        <n v="238920"/>
        <n v="239000"/>
        <n v="239026"/>
        <n v="239215"/>
        <n v="239266"/>
        <n v="239280"/>
        <n v="239573"/>
        <n v="239586"/>
        <n v="239600"/>
        <n v="239613"/>
        <n v="239626"/>
        <n v="239773"/>
        <n v="239835"/>
        <n v="239853"/>
        <n v="239894"/>
        <n v="239986"/>
        <n v="240000"/>
        <n v="240040"/>
        <n v="240050"/>
        <n v="240081"/>
        <n v="240133"/>
        <n v="240280"/>
        <n v="240306"/>
        <n v="240346"/>
        <n v="240400"/>
        <n v="240426"/>
        <n v="240493"/>
        <n v="240626"/>
        <n v="240706"/>
        <n v="240746"/>
        <n v="240760"/>
        <n v="240796"/>
        <n v="240866"/>
        <n v="241000"/>
        <n v="241066"/>
        <n v="241133"/>
        <n v="241160"/>
        <n v="241293"/>
        <n v="241306"/>
        <n v="241373"/>
        <n v="241666"/>
        <n v="241688"/>
        <n v="241840"/>
        <n v="241853"/>
        <n v="241874"/>
        <n v="241920"/>
        <n v="241933"/>
        <n v="241960"/>
        <n v="242000"/>
        <n v="242013"/>
        <n v="242133"/>
        <n v="242200"/>
        <n v="242253"/>
        <n v="242293"/>
        <n v="242373"/>
        <n v="242407"/>
        <n v="242413"/>
        <n v="242560"/>
        <n v="242586"/>
        <n v="242680"/>
        <n v="242733"/>
        <n v="242746"/>
        <n v="242773"/>
        <n v="242973"/>
        <n v="243013"/>
        <n v="243053"/>
        <n v="243160"/>
        <n v="243306"/>
        <n v="243386"/>
        <n v="243490"/>
        <n v="243533"/>
        <n v="243666"/>
        <n v="243733"/>
        <n v="243836"/>
        <n v="243880"/>
        <n v="243920"/>
        <n v="243960"/>
        <n v="243986"/>
        <n v="244053"/>
        <n v="244226"/>
        <n v="244266"/>
        <n v="244360"/>
        <n v="244453"/>
        <n v="244466"/>
        <n v="244506"/>
        <n v="244613"/>
        <n v="244626"/>
        <n v="244666"/>
        <n v="244826"/>
        <n v="244884"/>
        <n v="244960"/>
        <n v="244999"/>
        <n v="245040"/>
        <n v="245133"/>
        <n v="245173"/>
        <n v="245186"/>
        <n v="245200"/>
        <n v="245240"/>
        <n v="245293"/>
        <n v="245386"/>
        <n v="245400"/>
        <n v="245453"/>
        <n v="245466"/>
        <n v="245493"/>
        <n v="245520"/>
        <n v="245680"/>
        <n v="245773"/>
        <n v="245866"/>
        <n v="245960"/>
        <n v="246053"/>
        <n v="246160"/>
        <n v="246240"/>
        <n v="246333"/>
        <n v="246466"/>
        <n v="246587"/>
        <n v="246600"/>
        <n v="246720"/>
        <n v="246761"/>
        <n v="246960"/>
        <n v="247026"/>
        <n v="247066"/>
        <n v="247106"/>
        <n v="247160"/>
        <n v="247266"/>
        <n v="247413"/>
        <n v="247426"/>
        <n v="247506"/>
        <n v="247853"/>
        <n v="247906"/>
        <n v="247933"/>
        <n v="247946"/>
        <n v="248066"/>
        <n v="248133"/>
        <n v="248200"/>
        <n v="248413"/>
        <n v="248493"/>
        <n v="248546"/>
        <n v="248586"/>
        <n v="248626"/>
        <n v="248680"/>
        <n v="248933"/>
        <n v="249026"/>
        <n v="249066"/>
        <n v="249146"/>
        <n v="249293"/>
        <n v="249480"/>
        <n v="249533"/>
        <n v="249760"/>
        <n v="250080"/>
        <n v="250106"/>
        <n v="250188"/>
        <n v="250285"/>
        <n v="250373"/>
        <n v="250453"/>
        <n v="250533"/>
        <n v="250546"/>
        <n v="250600"/>
        <n v="250626"/>
        <n v="250666"/>
        <n v="250706"/>
        <n v="250746"/>
        <n v="250760"/>
        <n v="251033"/>
        <n v="251040"/>
        <n v="251088"/>
        <n v="251240"/>
        <n v="251266"/>
        <n v="251280"/>
        <n v="251440"/>
        <n v="251466"/>
        <n v="251573"/>
        <n v="251626"/>
        <n v="251986"/>
        <n v="252040"/>
        <n v="252106"/>
        <n v="252120"/>
        <n v="252226"/>
        <n v="252279"/>
        <n v="252306"/>
        <n v="252440"/>
        <n v="252466"/>
        <n v="252534"/>
        <n v="252653"/>
        <n v="252706"/>
        <n v="252866"/>
        <n v="252906"/>
        <n v="252973"/>
        <n v="252986"/>
        <n v="253200"/>
        <n v="253306"/>
        <n v="253390"/>
        <n v="253400"/>
        <n v="253573"/>
        <n v="253586"/>
        <n v="253600"/>
        <n v="253626"/>
        <n v="253706"/>
        <n v="253720"/>
        <n v="253733"/>
        <n v="253746"/>
        <n v="253813"/>
        <n v="253906"/>
        <n v="253933"/>
        <n v="254026"/>
        <n v="254266"/>
        <n v="254400"/>
        <n v="254466"/>
        <n v="254493"/>
        <n v="254533"/>
        <n v="254640"/>
        <n v="254920"/>
        <n v="255053"/>
        <n v="255093"/>
        <n v="255266"/>
        <n v="255333"/>
        <n v="255360"/>
        <n v="255373"/>
        <n v="255413"/>
        <n v="255506"/>
        <n v="255600"/>
        <n v="255626"/>
        <n v="255631"/>
        <n v="255706"/>
        <n v="255889"/>
        <n v="256000"/>
        <n v="256133"/>
        <n v="256213"/>
        <n v="256240"/>
        <n v="256346"/>
        <n v="256426"/>
        <n v="256613"/>
        <n v="256733"/>
        <n v="256946"/>
        <n v="256971"/>
        <n v="256973"/>
        <n v="257026"/>
        <n v="257066"/>
        <n v="257200"/>
        <n v="257293"/>
        <n v="257333"/>
        <n v="257360"/>
        <n v="257386"/>
        <n v="257426"/>
        <n v="257560"/>
        <n v="257573"/>
        <n v="257720"/>
        <n v="257920"/>
        <n v="258266"/>
        <n v="258342"/>
        <n v="258560"/>
        <n v="258653"/>
        <n v="258666"/>
        <n v="258760"/>
        <n v="258800"/>
        <n v="258893"/>
        <n v="258920"/>
        <n v="259102"/>
        <n v="259333"/>
        <n v="259720"/>
        <n v="259773"/>
        <n v="259933"/>
        <n v="259934"/>
        <n v="260000"/>
        <n v="260173"/>
        <n v="260240"/>
        <n v="260253"/>
        <n v="260333"/>
        <n v="260466"/>
        <n v="260600"/>
        <n v="261026"/>
        <n v="261053"/>
        <n v="261266"/>
        <n v="261320"/>
        <n v="261640"/>
        <n v="261880"/>
        <n v="261933"/>
        <n v="261973"/>
        <n v="262133"/>
        <n v="262146"/>
        <n v="262226"/>
        <n v="262240"/>
        <n v="262466"/>
        <n v="262521"/>
        <n v="262533"/>
        <n v="262693"/>
        <n v="262773"/>
        <n v="263053"/>
        <n v="263173"/>
        <n v="263226"/>
        <n v="263373"/>
        <n v="263400"/>
        <n v="263440"/>
        <n v="263506"/>
        <n v="263773"/>
        <n v="263786"/>
        <n v="263890"/>
        <n v="263920"/>
        <n v="264011"/>
        <n v="264653"/>
        <n v="264706"/>
        <n v="264893"/>
        <n v="264933"/>
        <n v="264946"/>
        <n v="265026"/>
        <n v="265333"/>
        <n v="265480"/>
        <n v="265533"/>
        <n v="265706"/>
        <n v="265826"/>
        <n v="265866"/>
        <n v="266040"/>
        <n v="266066"/>
        <n v="266086"/>
        <n v="266506"/>
        <n v="266600"/>
        <n v="266840"/>
        <n v="267000"/>
        <n v="267066"/>
        <n v="267080"/>
        <n v="267093"/>
        <n v="267160"/>
        <n v="267266"/>
        <n v="267320"/>
        <n v="267413"/>
        <n v="267520"/>
        <n v="267866"/>
        <n v="267933"/>
        <n v="268053"/>
        <n v="268120"/>
        <n v="268186"/>
        <n v="268320"/>
        <n v="268373"/>
        <n v="268613"/>
        <n v="268693"/>
        <n v="268746"/>
        <n v="268800"/>
        <n v="268863"/>
        <n v="268866"/>
        <n v="269000"/>
        <n v="269186"/>
        <n v="269373"/>
        <n v="269400"/>
        <n v="269493"/>
        <n v="269560"/>
        <n v="269613"/>
        <n v="269666"/>
        <n v="269946"/>
        <n v="269973"/>
        <n v="270306"/>
        <n v="270506"/>
        <n v="270589"/>
        <n v="270746"/>
        <n v="271160"/>
        <n v="271333"/>
        <n v="271426"/>
        <n v="271600"/>
        <n v="271626"/>
        <n v="271640"/>
        <n v="271946"/>
        <n v="272080"/>
        <n v="272293"/>
        <n v="272394"/>
        <n v="272533"/>
        <n v="273133"/>
        <n v="273333"/>
        <n v="273360"/>
        <n v="273533"/>
        <n v="273706"/>
        <n v="273802"/>
        <n v="273826"/>
        <n v="273973"/>
        <n v="274213"/>
        <n v="274226"/>
        <n v="274333"/>
        <n v="274386"/>
        <n v="274440"/>
        <n v="274600"/>
        <n v="274800"/>
        <n v="275026"/>
        <n v="275106"/>
        <n v="275986"/>
        <n v="276106"/>
        <n v="276147"/>
        <n v="276160"/>
        <n v="276266"/>
        <n v="276333"/>
        <n v="276360"/>
        <n v="276373"/>
        <n v="276560"/>
        <n v="276603"/>
        <n v="276773"/>
        <n v="276786"/>
        <n v="276800"/>
        <n v="276920"/>
        <n v="277386"/>
        <n v="277687"/>
        <n v="277840"/>
        <n v="278573"/>
        <n v="278666"/>
        <n v="278693"/>
        <n v="278719"/>
        <n v="278987"/>
        <n v="279026"/>
        <n v="279506"/>
        <n v="280013"/>
        <n v="280026"/>
        <n v="280626"/>
        <n v="280680"/>
        <n v="280757"/>
        <n v="280973"/>
        <n v="281106"/>
        <n v="281240"/>
        <n v="281320"/>
        <n v="281466"/>
        <n v="281560"/>
        <n v="281880"/>
        <n v="282160"/>
        <n v="282306"/>
        <n v="282400"/>
        <n v="282773"/>
        <n v="283066"/>
        <n v="283400"/>
        <n v="283454"/>
        <n v="283626"/>
        <n v="283706"/>
        <n v="283733"/>
        <n v="284000"/>
        <n v="284160"/>
        <n v="284186"/>
        <n v="284200"/>
        <n v="284373"/>
        <n v="284386"/>
        <n v="284666"/>
        <n v="284733"/>
        <n v="284866"/>
        <n v="285120"/>
        <n v="285240"/>
        <n v="285386"/>
        <n v="285426"/>
        <n v="285569"/>
        <n v="285570"/>
        <n v="285586"/>
        <n v="285596"/>
        <n v="285960"/>
        <n v="286186"/>
        <n v="286253"/>
        <n v="286480"/>
        <n v="287000"/>
        <n v="287226"/>
        <n v="287480"/>
        <n v="287906"/>
        <n v="288133"/>
        <n v="288333"/>
        <n v="288360"/>
        <n v="288624"/>
        <n v="288670"/>
        <n v="289000"/>
        <n v="289080"/>
        <n v="289133"/>
        <n v="289160"/>
        <n v="289359"/>
        <n v="289373"/>
        <n v="289746"/>
        <n v="290320"/>
        <n v="290760"/>
        <n v="291781"/>
        <n v="291893"/>
        <n v="292000"/>
        <n v="292373"/>
        <n v="292586"/>
        <n v="292706"/>
        <n v="293026"/>
        <n v="293066"/>
        <n v="293666"/>
        <n v="293960"/>
        <n v="294200"/>
        <n v="294573"/>
        <n v="294600"/>
        <n v="294693"/>
        <n v="295346"/>
        <n v="295400"/>
        <n v="295502"/>
        <n v="295773"/>
        <n v="295826"/>
        <n v="295933"/>
        <n v="296146"/>
        <n v="296186"/>
        <n v="296586"/>
        <n v="296693"/>
        <n v="296880"/>
        <n v="297426"/>
        <n v="297520"/>
        <n v="297786"/>
        <n v="297840"/>
        <n v="297960"/>
        <n v="298600"/>
        <n v="298773"/>
        <n v="298853"/>
        <n v="298940"/>
        <n v="298960"/>
        <n v="299146"/>
        <n v="299333"/>
        <n v="299613"/>
        <n v="299746"/>
        <n v="299960"/>
        <n v="300840"/>
        <n v="300933"/>
        <n v="301133"/>
        <n v="301714"/>
        <n v="302146"/>
        <n v="302720"/>
        <n v="302760"/>
        <n v="302826"/>
        <n v="302840"/>
        <n v="303053"/>
        <n v="303076"/>
        <n v="303333"/>
        <n v="303813"/>
        <n v="303920"/>
        <n v="304000"/>
        <n v="304041"/>
        <n v="304506"/>
        <n v="304666"/>
        <n v="304840"/>
        <n v="305080"/>
        <n v="306333"/>
        <n v="307153"/>
        <n v="307640"/>
        <n v="307879"/>
        <n v="310573"/>
        <n v="311106"/>
        <n v="311866"/>
        <n v="312820"/>
        <n v="312986"/>
        <n v="313346"/>
        <n v="313546"/>
        <n v="313684"/>
        <n v="313786"/>
        <n v="314400"/>
        <n v="314720"/>
        <n v="316053"/>
        <n v="316733"/>
        <n v="318213"/>
        <n v="318280"/>
        <n v="320348"/>
        <n v="320357"/>
        <n v="320546"/>
        <n v="320893"/>
        <n v="321040"/>
        <n v="321093"/>
        <n v="321293"/>
        <n v="322226"/>
        <n v="323480"/>
        <n v="324306"/>
        <n v="324600"/>
        <n v="324906"/>
        <n v="325573"/>
        <n v="326186"/>
        <n v="326240"/>
        <n v="326280"/>
        <n v="326960"/>
        <n v="327880"/>
        <n v="329320"/>
        <n v="329933"/>
        <n v="332300"/>
        <n v="333680"/>
        <n v="334666"/>
        <n v="335613"/>
        <n v="336506"/>
        <n v="337640"/>
        <n v="337733"/>
        <n v="338413"/>
        <n v="338853"/>
        <n v="339546"/>
        <n v="340920"/>
        <n v="343150"/>
        <n v="347106"/>
        <n v="348893"/>
        <n v="350120"/>
        <n v="352173"/>
        <n v="353893"/>
        <n v="357706"/>
        <n v="359973"/>
        <n v="366733"/>
        <n v="393813"/>
        <n v="404106"/>
        <n v="417920"/>
        <n v="432146"/>
        <n v="444333"/>
        <n v="448573"/>
        <n v="452906"/>
        <n v="484146"/>
      </sharedItems>
    </cacheField>
    <cacheField name="duration_seconds" numFmtId="0">
      <sharedItems containsSemiMixedTypes="0" containsString="0" containsNumber="1" minValue="113" maxValue="484.146" count="1793">
        <n v="113"/>
        <n v="114.893"/>
        <n v="119.133"/>
        <n v="121.886"/>
        <n v="124.055"/>
        <n v="126.446"/>
        <n v="127.92"/>
        <n v="129.264"/>
        <n v="131.064"/>
        <n v="131.213"/>
        <n v="131.24"/>
        <n v="135.09"/>
        <n v="136.568"/>
        <n v="138.842"/>
        <n v="142.273"/>
        <n v="144.244"/>
        <n v="148.186"/>
        <n v="149.546"/>
        <n v="150.4"/>
        <n v="150.533"/>
        <n v="151.64"/>
        <n v="151.973"/>
        <n v="152.333"/>
        <n v="152.913"/>
        <n v="154.447"/>
        <n v="156.6"/>
        <n v="156.773"/>
        <n v="157.066"/>
        <n v="157.152"/>
        <n v="157.202"/>
        <n v="157.293"/>
        <n v="157.432"/>
        <n v="157.438"/>
        <n v="157.492"/>
        <n v="157.56"/>
        <n v="157.605"/>
        <n v="157.643"/>
        <n v="159.693"/>
        <n v="160.097"/>
        <n v="161.123"/>
        <n v="161.24"/>
        <n v="161.506"/>
        <n v="161.746"/>
        <n v="161.92"/>
        <n v="162.333"/>
        <n v="162.582"/>
        <n v="162.6"/>
        <n v="163.216"/>
        <n v="163.246"/>
        <n v="163.32"/>
        <n v="164.506"/>
        <n v="165.12"/>
        <n v="165.44"/>
        <n v="165.853"/>
        <n v="165.908"/>
        <n v="166.138"/>
        <n v="166.373"/>
        <n v="166.56"/>
        <n v="166.605"/>
        <n v="166.866"/>
        <n v="166.933"/>
        <n v="167.065"/>
        <n v="167.066"/>
        <n v="167.493"/>
        <n v="168.213"/>
        <n v="168.879"/>
        <n v="169.303"/>
        <n v="169.353"/>
        <n v="169.773"/>
        <n v="169.813"/>
        <n v="169.866"/>
        <n v="170.48"/>
        <n v="170.493"/>
        <n v="170.625"/>
        <n v="170.825"/>
        <n v="171.029"/>
        <n v="171.226"/>
        <n v="171.333"/>
        <n v="171.36"/>
        <n v="171.546"/>
        <n v="172.053"/>
        <n v="172.24"/>
        <n v="172.373"/>
        <n v="172.723"/>
        <n v="172.8"/>
        <n v="172.854"/>
        <n v="172.866"/>
        <n v="173.04"/>
        <n v="173.153"/>
        <n v="173.6"/>
        <n v="173.68"/>
        <n v="173.72"/>
        <n v="173.799"/>
        <n v="173.986"/>
        <n v="174.12"/>
        <n v="174.444"/>
        <n v="174.6"/>
        <n v="174.853"/>
        <n v="174.933"/>
        <n v="174.96"/>
        <n v="175.093"/>
        <n v="175.229"/>
        <n v="175.426"/>
        <n v="175.893"/>
        <n v="176.117"/>
        <n v="176.133"/>
        <n v="176.346"/>
        <n v="176.453"/>
        <n v="176.561"/>
        <n v="176.613"/>
        <n v="176.631"/>
        <n v="176.658"/>
        <n v="176.674"/>
        <n v="177"/>
        <n v="177.184"/>
        <n v="177.185"/>
        <n v="177.466"/>
        <n v="177.506"/>
        <n v="177.56"/>
        <n v="177.573"/>
        <n v="177.6"/>
        <n v="177.666"/>
        <n v="177.685"/>
        <n v="177.826"/>
        <n v="178.013"/>
        <n v="178.426"/>
        <n v="178.48"/>
        <n v="178.56"/>
        <n v="178.613"/>
        <n v="178.626"/>
        <n v="179.12"/>
        <n v="179.16"/>
        <n v="179.404"/>
        <n v="179.449"/>
        <n v="179.64"/>
        <n v="179.946"/>
        <n v="180.266"/>
        <n v="180.48"/>
        <n v="180.493"/>
        <n v="180.522"/>
        <n v="180.822"/>
        <n v="180.933"/>
        <n v="181.026"/>
        <n v="181.263"/>
        <n v="181.279"/>
        <n v="181.573"/>
        <n v="181.614"/>
        <n v="181.672"/>
        <n v="181.812"/>
        <n v="181.823"/>
        <n v="181.826"/>
        <n v="182.16"/>
        <n v="182.306"/>
        <n v="182.333"/>
        <n v="182.626"/>
        <n v="182.666"/>
        <n v="182.706"/>
        <n v="182.826"/>
        <n v="183"/>
        <n v="183.026"/>
        <n v="183.29"/>
        <n v="183.414"/>
        <n v="183.527"/>
        <n v="183.75"/>
        <n v="183.906"/>
        <n v="184.153"/>
        <n v="184.28"/>
        <n v="184.4"/>
        <n v="184.516"/>
        <n v="184.56"/>
        <n v="184.573"/>
        <n v="184.72"/>
        <n v="184.732"/>
        <n v="184.906"/>
        <n v="185.013"/>
        <n v="185.131"/>
        <n v="185.133"/>
        <n v="185.2"/>
        <n v="185.351"/>
        <n v="185.586"/>
        <n v="185.64"/>
        <n v="185.863"/>
        <n v="185.946"/>
        <n v="186.026"/>
        <n v="186.08"/>
        <n v="186.106"/>
        <n v="186.112"/>
        <n v="186.146"/>
        <n v="186.173"/>
        <n v="186.231"/>
        <n v="186.306"/>
        <n v="186.813"/>
        <n v="186.826"/>
        <n v="186.851"/>
        <n v="186.986"/>
        <n v="187.133"/>
        <n v="187.146"/>
        <n v="187.28"/>
        <n v="187.436"/>
        <n v="187.521"/>
        <n v="187.626"/>
        <n v="187.733"/>
        <n v="187.84"/>
        <n v="187.92"/>
        <n v="187.957"/>
        <n v="187.973"/>
        <n v="188"/>
        <n v="188.013"/>
        <n v="188.371"/>
        <n v="188.453"/>
        <n v="188.493"/>
        <n v="188.56"/>
        <n v="188.64"/>
        <n v="188.693"/>
        <n v="188.786"/>
        <n v="188.866"/>
        <n v="188.96"/>
        <n v="189.029"/>
        <n v="189.052"/>
        <n v="189.109"/>
        <n v="189.126"/>
        <n v="189.333"/>
        <n v="189.399"/>
        <n v="189.466"/>
        <n v="189.486"/>
        <n v="189.506"/>
        <n v="189.693"/>
        <n v="189.72"/>
        <n v="189.733"/>
        <n v="189.8"/>
        <n v="189.84"/>
        <n v="189.906"/>
        <n v="190"/>
        <n v="190.013"/>
        <n v="190.066"/>
        <n v="190.173"/>
        <n v="190.185"/>
        <n v="190.288"/>
        <n v="190.348"/>
        <n v="190.44"/>
        <n v="190.453"/>
        <n v="190.493"/>
        <n v="190.537"/>
        <n v="190.677"/>
        <n v="190.786"/>
        <n v="190.799"/>
        <n v="190.92"/>
        <n v="190.946"/>
        <n v="190.973"/>
        <n v="191"/>
        <n v="191.04"/>
        <n v="191.6"/>
        <n v="191.826"/>
        <n v="192"/>
        <n v="192.106"/>
        <n v="192.12"/>
        <n v="192.19"/>
        <n v="192.2"/>
        <n v="192.213"/>
        <n v="192.36"/>
        <n v="192.44"/>
        <n v="192.446"/>
        <n v="192.47"/>
        <n v="192.533"/>
        <n v="192.56"/>
        <n v="192.573"/>
        <n v="192.6"/>
        <n v="192.67"/>
        <n v="192.693"/>
        <n v="192.846"/>
        <n v="192.866"/>
        <n v="193.058"/>
        <n v="193.093"/>
        <n v="193.143"/>
        <n v="193.2"/>
        <n v="193.213"/>
        <n v="193.226"/>
        <n v="193.253"/>
        <n v="193.295"/>
        <n v="193.333"/>
        <n v="193.386"/>
        <n v="193.4"/>
        <n v="193.466"/>
        <n v="193.52"/>
        <n v="193.613"/>
        <n v="193.653"/>
        <n v="193.733"/>
        <n v="193.837"/>
        <n v="193.893"/>
        <n v="193.92"/>
        <n v="194.026"/>
        <n v="194.087"/>
        <n v="194.213"/>
        <n v="194.407"/>
        <n v="194.561"/>
        <n v="194.613"/>
        <n v="194.68"/>
        <n v="194.84"/>
        <n v="194.896"/>
        <n v="195.105"/>
        <n v="195.2"/>
        <n v="195.24"/>
        <n v="195.373"/>
        <n v="195.466"/>
        <n v="195.48"/>
        <n v="195.506"/>
        <n v="195.561"/>
        <n v="195.586"/>
        <n v="195.613"/>
        <n v="195.637"/>
        <n v="195.706"/>
        <n v="195.853"/>
        <n v="195.866"/>
        <n v="195.92"/>
        <n v="195.973"/>
        <n v="195.986"/>
        <n v="196"/>
        <n v="196.053"/>
        <n v="196.133"/>
        <n v="196.16"/>
        <n v="196.266"/>
        <n v="196.373"/>
        <n v="196.413"/>
        <n v="196.489"/>
        <n v="196.52"/>
        <n v="196.533"/>
        <n v="196.613"/>
        <n v="196.64"/>
        <n v="196.664"/>
        <n v="196.693"/>
        <n v="196.893"/>
        <n v="196.906"/>
        <n v="196.986"/>
        <n v="197.131"/>
        <n v="197.16"/>
        <n v="197.173"/>
        <n v="197.186"/>
        <n v="197.266"/>
        <n v="197.36"/>
        <n v="197.436"/>
        <n v="197.44"/>
        <n v="197.546"/>
        <n v="197.577"/>
        <n v="197.64"/>
        <n v="197.666"/>
        <n v="197.76"/>
        <n v="197.815"/>
        <n v="197.826"/>
        <n v="197.933"/>
        <n v="197.935"/>
        <n v="197.946"/>
        <n v="197.993"/>
        <n v="198.236"/>
        <n v="198.293"/>
        <n v="198.306"/>
        <n v="198.346"/>
        <n v="198.4"/>
        <n v="198.44"/>
        <n v="198.567"/>
        <n v="198.6"/>
        <n v="198.774"/>
        <n v="198.8"/>
        <n v="198.853"/>
        <n v="198.88"/>
        <n v="198.973"/>
        <n v="199.026"/>
        <n v="199.04"/>
        <n v="199.12"/>
        <n v="199.133"/>
        <n v="199.186"/>
        <n v="199.314"/>
        <n v="199.32"/>
        <n v="199.386"/>
        <n v="199.427"/>
        <n v="199.44"/>
        <n v="199.453"/>
        <n v="199.48"/>
        <n v="199.68"/>
        <n v="199.693"/>
        <n v="199.853"/>
        <n v="199.906"/>
        <n v="199.938"/>
        <n v="199.946"/>
        <n v="199.986"/>
        <n v="200.013"/>
        <n v="200.053"/>
        <n v="200.08"/>
        <n v="200.104"/>
        <n v="200.106"/>
        <n v="200.185"/>
        <n v="200.186"/>
        <n v="200.426"/>
        <n v="200.466"/>
        <n v="200.48"/>
        <n v="200.56"/>
        <n v="200.593"/>
        <n v="200.786"/>
        <n v="200.853"/>
        <n v="200.889"/>
        <n v="200.946"/>
        <n v="200.973"/>
        <n v="201"/>
        <n v="201.04"/>
        <n v="201.053"/>
        <n v="201.16"/>
        <n v="201.213"/>
        <n v="201.24"/>
        <n v="201.256"/>
        <n v="201.373"/>
        <n v="201.4"/>
        <n v="201.48"/>
        <n v="201.493"/>
        <n v="201.526"/>
        <n v="201.533"/>
        <n v="201.546"/>
        <n v="201.586"/>
        <n v="201.59"/>
        <n v="201.626"/>
        <n v="201.66"/>
        <n v="201.706"/>
        <n v="201.707"/>
        <n v="201.787"/>
        <n v="201.92"/>
        <n v="201.946"/>
        <n v="202.013"/>
        <n v="202.066"/>
        <n v="202.093"/>
        <n v="202.133"/>
        <n v="202.149"/>
        <n v="202.192"/>
        <n v="202.204"/>
        <n v="202.213"/>
        <n v="202.221"/>
        <n v="202.266"/>
        <n v="202.333"/>
        <n v="202.496"/>
        <n v="202.533"/>
        <n v="202.586"/>
        <n v="202.613"/>
        <n v="202.62"/>
        <n v="202.661"/>
        <n v="202.72"/>
        <n v="202.8"/>
        <n v="202.804"/>
        <n v="202.96"/>
        <n v="203"/>
        <n v="203.093"/>
        <n v="203.2"/>
        <n v="203.333"/>
        <n v="203.346"/>
        <n v="203.36"/>
        <n v="203.417"/>
        <n v="203.44"/>
        <n v="203.466"/>
        <n v="203.493"/>
        <n v="203.506"/>
        <n v="203.52"/>
        <n v="203.6"/>
        <n v="203.653"/>
        <n v="203.686"/>
        <n v="203.96"/>
        <n v="204"/>
        <n v="204.04"/>
        <n v="204.093"/>
        <n v="204.16"/>
        <n v="204.173"/>
        <n v="204.2"/>
        <n v="204.28"/>
        <n v="204.285"/>
        <n v="204.346"/>
        <n v="204.36"/>
        <n v="204.4"/>
        <n v="204.502"/>
        <n v="204.6"/>
        <n v="204.64"/>
        <n v="204.706"/>
        <n v="204.733"/>
        <n v="204.746"/>
        <n v="204.76"/>
        <n v="204.956"/>
        <n v="205.16"/>
        <n v="205.2"/>
        <n v="205.346"/>
        <n v="205.36"/>
        <n v="205.426"/>
        <n v="205.56"/>
        <n v="205.593"/>
        <n v="205.613"/>
        <n v="205.64"/>
        <n v="205.653"/>
        <n v="205.68"/>
        <n v="205.733"/>
        <n v="205.745"/>
        <n v="205.803"/>
        <n v="205.84"/>
        <n v="205.879"/>
        <n v="205.92"/>
        <n v="205.933"/>
        <n v="205.946"/>
        <n v="205.973"/>
        <n v="206"/>
        <n v="206.066"/>
        <n v="206.08"/>
        <n v="206.093"/>
        <n v="206.106"/>
        <n v="206.12"/>
        <n v="206.166"/>
        <n v="206.186"/>
        <n v="206.2"/>
        <n v="206.226"/>
        <n v="206.333"/>
        <n v="206.373"/>
        <n v="206.4"/>
        <n v="206.413"/>
        <n v="206.46"/>
        <n v="206.466"/>
        <n v="206.48"/>
        <n v="206.493"/>
        <n v="206.52"/>
        <n v="206.666"/>
        <n v="206.776"/>
        <n v="206.88"/>
        <n v="207"/>
        <n v="207.038"/>
        <n v="207.04"/>
        <n v="207.066"/>
        <n v="207.12"/>
        <n v="207.186"/>
        <n v="207.2"/>
        <n v="207.272"/>
        <n v="207.333"/>
        <n v="207.4"/>
        <n v="207.466"/>
        <n v="207.476"/>
        <n v="207.506"/>
        <n v="207.546"/>
        <n v="207.56"/>
        <n v="207.586"/>
        <n v="207.613"/>
        <n v="207.626"/>
        <n v="207.629"/>
        <n v="207.653"/>
        <n v="207.68"/>
        <n v="207.746"/>
        <n v="207.866"/>
        <n v="207.906"/>
        <n v="207.92"/>
        <n v="208.066"/>
        <n v="208.106"/>
        <n v="208.12"/>
        <n v="208.133"/>
        <n v="208.186"/>
        <n v="208.199"/>
        <n v="208.306"/>
        <n v="208.316"/>
        <n v="208.33"/>
        <n v="208.373"/>
        <n v="208.386"/>
        <n v="208.426"/>
        <n v="208.449"/>
        <n v="208.493"/>
        <n v="208.6"/>
        <n v="208.626"/>
        <n v="208.728"/>
        <n v="208.733"/>
        <n v="208.853"/>
        <n v="208.946"/>
        <n v="208.96"/>
        <n v="209.106"/>
        <n v="209.12"/>
        <n v="209.16"/>
        <n v="209.266"/>
        <n v="209.269"/>
        <n v="209.423"/>
        <n v="209.425"/>
        <n v="209.438"/>
        <n v="209.44"/>
        <n v="209.466"/>
        <n v="209.493"/>
        <n v="209.533"/>
        <n v="209.666"/>
        <n v="209.8"/>
        <n v="209.866"/>
        <n v="210.066"/>
        <n v="210.2"/>
        <n v="210.226"/>
        <n v="210.266"/>
        <n v="210.306"/>
        <n v="210.367"/>
        <n v="210.506"/>
        <n v="210.573"/>
        <n v="210.58"/>
        <n v="210.626"/>
        <n v="210.68"/>
        <n v="210.693"/>
        <n v="210.72"/>
        <n v="210.746"/>
        <n v="210.786"/>
        <n v="210.813"/>
        <n v="210.84"/>
        <n v="210.853"/>
        <n v="210.96"/>
        <n v="210.973"/>
        <n v="211"/>
        <n v="211.08"/>
        <n v="211.12"/>
        <n v="211.16"/>
        <n v="211.186"/>
        <n v="211.253"/>
        <n v="211.32"/>
        <n v="211.44"/>
        <n v="211.475"/>
        <n v="211.493"/>
        <n v="211.506"/>
        <n v="211.52"/>
        <n v="211.666"/>
        <n v="211.773"/>
        <n v="211.853"/>
        <n v="211.88"/>
        <n v="211.893"/>
        <n v="211.92"/>
        <n v="211.933"/>
        <n v="211.975"/>
        <n v="212"/>
        <n v="212.027"/>
        <n v="212.04"/>
        <n v="212.106"/>
        <n v="212.12"/>
        <n v="212.266"/>
        <n v="212.28"/>
        <n v="212.306"/>
        <n v="212.36"/>
        <n v="212.4"/>
        <n v="212.413"/>
        <n v="212.424"/>
        <n v="212.439"/>
        <n v="212.5"/>
        <n v="212.506"/>
        <n v="212.56"/>
        <n v="212.64"/>
        <n v="212.773"/>
        <n v="212.862"/>
        <n v="212.893"/>
        <n v="212.946"/>
        <n v="212.96"/>
        <n v="212.973"/>
        <n v="213.026"/>
        <n v="213.053"/>
        <n v="213.066"/>
        <n v="213.133"/>
        <n v="213.173"/>
        <n v="213.213"/>
        <n v="213.293"/>
        <n v="213.337"/>
        <n v="213.346"/>
        <n v="213.4"/>
        <n v="213.413"/>
        <n v="213.427"/>
        <n v="213.445"/>
        <n v="213.506"/>
        <n v="213.52"/>
        <n v="213.593"/>
        <n v="213.666"/>
        <n v="213.708"/>
        <n v="213.733"/>
        <n v="213.76"/>
        <n v="213.786"/>
        <n v="213.826"/>
        <n v="213.893"/>
        <n v="213.946"/>
        <n v="213.973"/>
        <n v="213.986"/>
        <n v="213.993"/>
        <n v="214.013"/>
        <n v="214.08"/>
        <n v="214.106"/>
        <n v="214.147"/>
        <n v="214.203"/>
        <n v="214.205"/>
        <n v="214.226"/>
        <n v="214.24"/>
        <n v="214.253"/>
        <n v="214.254"/>
        <n v="214.265"/>
        <n v="214.289"/>
        <n v="214.306"/>
        <n v="214.333"/>
        <n v="214.386"/>
        <n v="214.44"/>
        <n v="214.466"/>
        <n v="214.48"/>
        <n v="214.506"/>
        <n v="214.6"/>
        <n v="214.706"/>
        <n v="214.733"/>
        <n v="214.746"/>
        <n v="214.773"/>
        <n v="214.819"/>
        <n v="214.84"/>
        <n v="214.846"/>
        <n v="214.866"/>
        <n v="214.883"/>
        <n v="214.893"/>
        <n v="214.912"/>
        <n v="214.946"/>
        <n v="214.96"/>
        <n v="215"/>
        <n v="215.064"/>
        <n v="215.16"/>
        <n v="215.173"/>
        <n v="215.2"/>
        <n v="215.226"/>
        <n v="215.253"/>
        <n v="215.266"/>
        <n v="215.28"/>
        <n v="215.306"/>
        <n v="215.36"/>
        <n v="215.413"/>
        <n v="215.431"/>
        <n v="215.466"/>
        <n v="215.48"/>
        <n v="215.506"/>
        <n v="215.624"/>
        <n v="215.672"/>
        <n v="215.693"/>
        <n v="215.72"/>
        <n v="215.733"/>
        <n v="215.746"/>
        <n v="215.759"/>
        <n v="215.866"/>
        <n v="216.013"/>
        <n v="216.026"/>
        <n v="216.12"/>
        <n v="216.146"/>
        <n v="216.16"/>
        <n v="216.2"/>
        <n v="216.317"/>
        <n v="216.32"/>
        <n v="216.333"/>
        <n v="216.36"/>
        <n v="216.408"/>
        <n v="216.48"/>
        <n v="216.52"/>
        <n v="216.6"/>
        <n v="216.613"/>
        <n v="216.631"/>
        <n v="216.706"/>
        <n v="216.733"/>
        <n v="216.76"/>
        <n v="216.88"/>
        <n v="216.893"/>
        <n v="216.896"/>
        <n v="216.933"/>
        <n v="217.036"/>
        <n v="217.12"/>
        <n v="217.288"/>
        <n v="217.296"/>
        <n v="217.306"/>
        <n v="217.346"/>
        <n v="217.44"/>
        <n v="217.466"/>
        <n v="217.493"/>
        <n v="217.586"/>
        <n v="217.603"/>
        <n v="217.666"/>
        <n v="217.68"/>
        <n v="217.706"/>
        <n v="217.733"/>
        <n v="217.8"/>
        <n v="217.826"/>
        <n v="217.866"/>
        <n v="217.906"/>
        <n v="217.925"/>
        <n v="217.946"/>
        <n v="218.013"/>
        <n v="218.093"/>
        <n v="218.106"/>
        <n v="218.146"/>
        <n v="218.173"/>
        <n v="218.19"/>
        <n v="218.227"/>
        <n v="218.36"/>
        <n v="218.4"/>
        <n v="218.546"/>
        <n v="218.573"/>
        <n v="218.626"/>
        <n v="218.76"/>
        <n v="218.84"/>
        <n v="219"/>
        <n v="219.026"/>
        <n v="219.043"/>
        <n v="219.093"/>
        <n v="219.106"/>
        <n v="219.146"/>
        <n v="219.159"/>
        <n v="219.2"/>
        <n v="219.24"/>
        <n v="219.305"/>
        <n v="219.32"/>
        <n v="219.333"/>
        <n v="219.36"/>
        <n v="219.4"/>
        <n v="219.413"/>
        <n v="219.426"/>
        <n v="219.493"/>
        <n v="219.533"/>
        <n v="219.546"/>
        <n v="219.56"/>
        <n v="219.6"/>
        <n v="219.72"/>
        <n v="219.733"/>
        <n v="219.826"/>
        <n v="219.84"/>
        <n v="219.92"/>
        <n v="219.973"/>
        <n v="219.986"/>
        <n v="220.053"/>
        <n v="220.106"/>
        <n v="220.226"/>
        <n v="220.293"/>
        <n v="220.306"/>
        <n v="220.36"/>
        <n v="220.426"/>
        <n v="220.44"/>
        <n v="220.454"/>
        <n v="220.52"/>
        <n v="220.573"/>
        <n v="220.626"/>
        <n v="220.64"/>
        <n v="220.682"/>
        <n v="220.706"/>
        <n v="220.734"/>
        <n v="220.779"/>
        <n v="220.78"/>
        <n v="220.8"/>
        <n v="220.853"/>
        <n v="220.883"/>
        <n v="220.946"/>
        <n v="220.973"/>
        <n v="221.013"/>
        <n v="221.075"/>
        <n v="221.133"/>
        <n v="221.16"/>
        <n v="221.176"/>
        <n v="221.226"/>
        <n v="221.24"/>
        <n v="221.253"/>
        <n v="221.272"/>
        <n v="221.36"/>
        <n v="221.426"/>
        <n v="221.44"/>
        <n v="221.493"/>
        <n v="221.506"/>
        <n v="221.56"/>
        <n v="221.653"/>
        <n v="221.84"/>
        <n v="221.92"/>
        <n v="221.933"/>
        <n v="221.946"/>
        <n v="222.04"/>
        <n v="222.066"/>
        <n v="222.091"/>
        <n v="222.093"/>
        <n v="222.12"/>
        <n v="222.146"/>
        <n v="222.16"/>
        <n v="222.186"/>
        <n v="222.213"/>
        <n v="222.293"/>
        <n v="222.306"/>
        <n v="222.36"/>
        <n v="222.4"/>
        <n v="222.435"/>
        <n v="222.44"/>
        <n v="222.453"/>
        <n v="222.5"/>
        <n v="222.546"/>
        <n v="222.56"/>
        <n v="222.586"/>
        <n v="222.64"/>
        <n v="222.653"/>
        <n v="222.773"/>
        <n v="222.813"/>
        <n v="222.826"/>
        <n v="222.92"/>
        <n v="223"/>
        <n v="223.053"/>
        <n v="223.066"/>
        <n v="223.08"/>
        <n v="223.111"/>
        <n v="223.133"/>
        <n v="223.186"/>
        <n v="223.253"/>
        <n v="223.266"/>
        <n v="223.293"/>
        <n v="223.386"/>
        <n v="223.413"/>
        <n v="223.44"/>
        <n v="223.503"/>
        <n v="223.506"/>
        <n v="223.533"/>
        <n v="223.546"/>
        <n v="223.68"/>
        <n v="223.712"/>
        <n v="223.773"/>
        <n v="223.8"/>
        <n v="223.84"/>
        <n v="223.853"/>
        <n v="223.962"/>
        <n v="223.973"/>
        <n v="224.03"/>
        <n v="224.066"/>
        <n v="224.093"/>
        <n v="224.146"/>
        <n v="224.226"/>
        <n v="224.253"/>
        <n v="224.258"/>
        <n v="224.293"/>
        <n v="224.333"/>
        <n v="224.4"/>
        <n v="224.44"/>
        <n v="224.493"/>
        <n v="224.506"/>
        <n v="224.573"/>
        <n v="224.64"/>
        <n v="224.653"/>
        <n v="224.693"/>
        <n v="224.813"/>
        <n v="224.84"/>
        <n v="224.933"/>
        <n v="225.066"/>
        <n v="225.106"/>
        <n v="225.146"/>
        <n v="225.173"/>
        <n v="225.226"/>
        <n v="225.373"/>
        <n v="225.426"/>
        <n v="225.493"/>
        <n v="225.52"/>
        <n v="225.533"/>
        <n v="225.56"/>
        <n v="225.881"/>
        <n v="225.882"/>
        <n v="225.914"/>
        <n v="225.933"/>
        <n v="225.973"/>
        <n v="225.983"/>
        <n v="226"/>
        <n v="226.013"/>
        <n v="226.053"/>
        <n v="226.16"/>
        <n v="226.226"/>
        <n v="226.293"/>
        <n v="226.44"/>
        <n v="226.506"/>
        <n v="226.533"/>
        <n v="226.58"/>
        <n v="226.6"/>
        <n v="226.64"/>
        <n v="226.68"/>
        <n v="226.706"/>
        <n v="226.72"/>
        <n v="226.738"/>
        <n v="226.76"/>
        <n v="226.863"/>
        <n v="226.973"/>
        <n v="226.986"/>
        <n v="227"/>
        <n v="227.026"/>
        <n v="227.073"/>
        <n v="227.08"/>
        <n v="227.266"/>
        <n v="227.28"/>
        <n v="227.32"/>
        <n v="227.333"/>
        <n v="227.36"/>
        <n v="227.373"/>
        <n v="227.386"/>
        <n v="227.48"/>
        <n v="227.533"/>
        <n v="227.6"/>
        <n v="227.741"/>
        <n v="227.773"/>
        <n v="227.786"/>
        <n v="227.833"/>
        <n v="227.84"/>
        <n v="227.853"/>
        <n v="227.866"/>
        <n v="227.88"/>
        <n v="227.893"/>
        <n v="227.906"/>
        <n v="227.96"/>
        <n v="227.973"/>
        <n v="227.986"/>
        <n v="228"/>
        <n v="228.026"/>
        <n v="228.093"/>
        <n v="228.133"/>
        <n v="228.14"/>
        <n v="228.2"/>
        <n v="228.24"/>
        <n v="228.346"/>
        <n v="228.36"/>
        <n v="228.361"/>
        <n v="228.373"/>
        <n v="228.453"/>
        <n v="228.64"/>
        <n v="228.706"/>
        <n v="228.759"/>
        <n v="228.8"/>
        <n v="228.878"/>
        <n v="228.906"/>
        <n v="229.04"/>
        <n v="229.08"/>
        <n v="229.173"/>
        <n v="229.184"/>
        <n v="229.303"/>
        <n v="229.36"/>
        <n v="229.412"/>
        <n v="229.413"/>
        <n v="229.466"/>
        <n v="229.506"/>
        <n v="229.525"/>
        <n v="229.573"/>
        <n v="229.67"/>
        <n v="229.773"/>
        <n v="229.813"/>
        <n v="229.826"/>
        <n v="229.866"/>
        <n v="230.013"/>
        <n v="230.093"/>
        <n v="230.133"/>
        <n v="230.192"/>
        <n v="230.2"/>
        <n v="230.226"/>
        <n v="230.253"/>
        <n v="230.306"/>
        <n v="230.333"/>
        <n v="230.346"/>
        <n v="230.453"/>
        <n v="230.493"/>
        <n v="230.56"/>
        <n v="230.613"/>
        <n v="230.64"/>
        <n v="230.733"/>
        <n v="230.746"/>
        <n v="231"/>
        <n v="231.013"/>
        <n v="231.04"/>
        <n v="231.066"/>
        <n v="231.146"/>
        <n v="231.166"/>
        <n v="231.173"/>
        <n v="231.211"/>
        <n v="231.213"/>
        <n v="231.24"/>
        <n v="231.266"/>
        <n v="231.373"/>
        <n v="231.4"/>
        <n v="231.48"/>
        <n v="231.533"/>
        <n v="231.546"/>
        <n v="231.573"/>
        <n v="231.666"/>
        <n v="231.76"/>
        <n v="231.826"/>
        <n v="231.84"/>
        <n v="231.866"/>
        <n v="231.906"/>
        <n v="231.92"/>
        <n v="231.986"/>
        <n v="232"/>
        <n v="232.12"/>
        <n v="232.146"/>
        <n v="232.186"/>
        <n v="232.213"/>
        <n v="232.466"/>
        <n v="232.506"/>
        <n v="232.533"/>
        <n v="232.549"/>
        <n v="232.56"/>
        <n v="232.573"/>
        <n v="232.72"/>
        <n v="232.8"/>
        <n v="232.893"/>
        <n v="232.946"/>
        <n v="232.959"/>
        <n v="233.186"/>
        <n v="233.337"/>
        <n v="233.36"/>
        <n v="233.4"/>
        <n v="233.466"/>
        <n v="233.478"/>
        <n v="233.56"/>
        <n v="233.6"/>
        <n v="233.626"/>
        <n v="233.64"/>
        <n v="233.666"/>
        <n v="233.712"/>
        <n v="233.72"/>
        <n v="233.786"/>
        <n v="233.866"/>
        <n v="233.901"/>
        <n v="233.933"/>
        <n v="233.973"/>
        <n v="234"/>
        <n v="234.026"/>
        <n v="234.04"/>
        <n v="234.093"/>
        <n v="234.116"/>
        <n v="234.133"/>
        <n v="234.173"/>
        <n v="234.213"/>
        <n v="234.308"/>
        <n v="234.36"/>
        <n v="234.4"/>
        <n v="234.453"/>
        <n v="234.506"/>
        <n v="234.56"/>
        <n v="234.653"/>
        <n v="234.693"/>
        <n v="234.8"/>
        <n v="234.826"/>
        <n v="234.893"/>
        <n v="234.96"/>
        <n v="235.066"/>
        <n v="235.133"/>
        <n v="235.173"/>
        <n v="235.186"/>
        <n v="235.213"/>
        <n v="235.382"/>
        <n v="235.493"/>
        <n v="235.533"/>
        <n v="235.545"/>
        <n v="235.613"/>
        <n v="235.653"/>
        <n v="235.662"/>
        <n v="235.693"/>
        <n v="235.735"/>
        <n v="235.8"/>
        <n v="235.826"/>
        <n v="235.893"/>
        <n v="235.946"/>
        <n v="235.986"/>
        <n v="236.001"/>
        <n v="236.08"/>
        <n v="236.133"/>
        <n v="236.213"/>
        <n v="236.266"/>
        <n v="236.426"/>
        <n v="236.44"/>
        <n v="236.506"/>
        <n v="236.52"/>
        <n v="236.6"/>
        <n v="236.693"/>
        <n v="236.813"/>
        <n v="236.866"/>
        <n v="236.906"/>
        <n v="237.026"/>
        <n v="237.053"/>
        <n v="237.12"/>
        <n v="237.173"/>
        <n v="237.2"/>
        <n v="237.24"/>
        <n v="237.266"/>
        <n v="237.293"/>
        <n v="237.359"/>
        <n v="237.48"/>
        <n v="237.493"/>
        <n v="237.506"/>
        <n v="237.626"/>
        <n v="237.693"/>
        <n v="237.706"/>
        <n v="237.733"/>
        <n v="237.76"/>
        <n v="237.786"/>
        <n v="237.792"/>
        <n v="237.8"/>
        <n v="237.946"/>
        <n v="238"/>
        <n v="238.053"/>
        <n v="238.12"/>
        <n v="238.173"/>
        <n v="238.2"/>
        <n v="238.266"/>
        <n v="238.32"/>
        <n v="238.36"/>
        <n v="238.426"/>
        <n v="238.493"/>
        <n v="238.506"/>
        <n v="238.586"/>
        <n v="238.6"/>
        <n v="238.614"/>
        <n v="238.626"/>
        <n v="238.693"/>
        <n v="238.733"/>
        <n v="238.746"/>
        <n v="238.759"/>
        <n v="238.8"/>
        <n v="238.826"/>
        <n v="238.84"/>
        <n v="238.92"/>
        <n v="239"/>
        <n v="239.026"/>
        <n v="239.215"/>
        <n v="239.266"/>
        <n v="239.28"/>
        <n v="239.573"/>
        <n v="239.586"/>
        <n v="239.6"/>
        <n v="239.613"/>
        <n v="239.626"/>
        <n v="239.773"/>
        <n v="239.835"/>
        <n v="239.853"/>
        <n v="239.894"/>
        <n v="239.986"/>
        <n v="240"/>
        <n v="240.04"/>
        <n v="240.05"/>
        <n v="240.081"/>
        <n v="240.133"/>
        <n v="240.28"/>
        <n v="240.306"/>
        <n v="240.346"/>
        <n v="240.4"/>
        <n v="240.426"/>
        <n v="240.493"/>
        <n v="240.626"/>
        <n v="240.706"/>
        <n v="240.746"/>
        <n v="240.76"/>
        <n v="240.796"/>
        <n v="240.866"/>
        <n v="241"/>
        <n v="241.066"/>
        <n v="241.133"/>
        <n v="241.16"/>
        <n v="241.293"/>
        <n v="241.306"/>
        <n v="241.373"/>
        <n v="241.666"/>
        <n v="241.688"/>
        <n v="241.84"/>
        <n v="241.853"/>
        <n v="241.874"/>
        <n v="241.92"/>
        <n v="241.933"/>
        <n v="241.96"/>
        <n v="242"/>
        <n v="242.013"/>
        <n v="242.133"/>
        <n v="242.2"/>
        <n v="242.253"/>
        <n v="242.293"/>
        <n v="242.373"/>
        <n v="242.407"/>
        <n v="242.413"/>
        <n v="242.56"/>
        <n v="242.586"/>
        <n v="242.68"/>
        <n v="242.733"/>
        <n v="242.746"/>
        <n v="242.773"/>
        <n v="242.973"/>
        <n v="243.013"/>
        <n v="243.053"/>
        <n v="243.16"/>
        <n v="243.306"/>
        <n v="243.386"/>
        <n v="243.49"/>
        <n v="243.533"/>
        <n v="243.666"/>
        <n v="243.733"/>
        <n v="243.836"/>
        <n v="243.88"/>
        <n v="243.92"/>
        <n v="243.96"/>
        <n v="243.986"/>
        <n v="244.053"/>
        <n v="244.226"/>
        <n v="244.266"/>
        <n v="244.36"/>
        <n v="244.453"/>
        <n v="244.466"/>
        <n v="244.506"/>
        <n v="244.613"/>
        <n v="244.626"/>
        <n v="244.666"/>
        <n v="244.826"/>
        <n v="244.884"/>
        <n v="244.96"/>
        <n v="244.999"/>
        <n v="245.04"/>
        <n v="245.133"/>
        <n v="245.173"/>
        <n v="245.186"/>
        <n v="245.2"/>
        <n v="245.24"/>
        <n v="245.293"/>
        <n v="245.386"/>
        <n v="245.4"/>
        <n v="245.453"/>
        <n v="245.466"/>
        <n v="245.493"/>
        <n v="245.52"/>
        <n v="245.68"/>
        <n v="245.773"/>
        <n v="245.866"/>
        <n v="245.96"/>
        <n v="246.053"/>
        <n v="246.16"/>
        <n v="246.24"/>
        <n v="246.333"/>
        <n v="246.466"/>
        <n v="246.587"/>
        <n v="246.6"/>
        <n v="246.72"/>
        <n v="246.761"/>
        <n v="246.96"/>
        <n v="247.026"/>
        <n v="247.066"/>
        <n v="247.106"/>
        <n v="247.16"/>
        <n v="247.266"/>
        <n v="247.413"/>
        <n v="247.426"/>
        <n v="247.506"/>
        <n v="247.853"/>
        <n v="247.906"/>
        <n v="247.933"/>
        <n v="247.946"/>
        <n v="248.066"/>
        <n v="248.133"/>
        <n v="248.2"/>
        <n v="248.413"/>
        <n v="248.493"/>
        <n v="248.546"/>
        <n v="248.586"/>
        <n v="248.626"/>
        <n v="248.68"/>
        <n v="248.933"/>
        <n v="249.026"/>
        <n v="249.066"/>
        <n v="249.146"/>
        <n v="249.293"/>
        <n v="249.48"/>
        <n v="249.533"/>
        <n v="249.76"/>
        <n v="250.08"/>
        <n v="250.106"/>
        <n v="250.188"/>
        <n v="250.285"/>
        <n v="250.373"/>
        <n v="250.453"/>
        <n v="250.533"/>
        <n v="250.546"/>
        <n v="250.6"/>
        <n v="250.626"/>
        <n v="250.666"/>
        <n v="250.706"/>
        <n v="250.746"/>
        <n v="250.76"/>
        <n v="251.033"/>
        <n v="251.04"/>
        <n v="251.088"/>
        <n v="251.24"/>
        <n v="251.266"/>
        <n v="251.28"/>
        <n v="251.44"/>
        <n v="251.466"/>
        <n v="251.573"/>
        <n v="251.626"/>
        <n v="251.986"/>
        <n v="252.04"/>
        <n v="252.106"/>
        <n v="252.12"/>
        <n v="252.226"/>
        <n v="252.279"/>
        <n v="252.306"/>
        <n v="252.44"/>
        <n v="252.466"/>
        <n v="252.534"/>
        <n v="252.653"/>
        <n v="252.706"/>
        <n v="252.866"/>
        <n v="252.906"/>
        <n v="252.973"/>
        <n v="252.986"/>
        <n v="253.2"/>
        <n v="253.306"/>
        <n v="253.39"/>
        <n v="253.4"/>
        <n v="253.573"/>
        <n v="253.586"/>
        <n v="253.6"/>
        <n v="253.626"/>
        <n v="253.706"/>
        <n v="253.72"/>
        <n v="253.733"/>
        <n v="253.746"/>
        <n v="253.813"/>
        <n v="253.906"/>
        <n v="253.933"/>
        <n v="254.026"/>
        <n v="254.266"/>
        <n v="254.4"/>
        <n v="254.466"/>
        <n v="254.493"/>
        <n v="254.533"/>
        <n v="254.64"/>
        <n v="254.92"/>
        <n v="255.053"/>
        <n v="255.093"/>
        <n v="255.266"/>
        <n v="255.333"/>
        <n v="255.36"/>
        <n v="255.373"/>
        <n v="255.413"/>
        <n v="255.506"/>
        <n v="255.6"/>
        <n v="255.626"/>
        <n v="255.631"/>
        <n v="255.706"/>
        <n v="255.889"/>
        <n v="256"/>
        <n v="256.133"/>
        <n v="256.213"/>
        <n v="256.24"/>
        <n v="256.346"/>
        <n v="256.426"/>
        <n v="256.613"/>
        <n v="256.733"/>
        <n v="256.946"/>
        <n v="256.971"/>
        <n v="256.973"/>
        <n v="257.026"/>
        <n v="257.066"/>
        <n v="257.2"/>
        <n v="257.293"/>
        <n v="257.333"/>
        <n v="257.36"/>
        <n v="257.386"/>
        <n v="257.426"/>
        <n v="257.56"/>
        <n v="257.573"/>
        <n v="257.72"/>
        <n v="257.92"/>
        <n v="258.266"/>
        <n v="258.342"/>
        <n v="258.56"/>
        <n v="258.653"/>
        <n v="258.666"/>
        <n v="258.76"/>
        <n v="258.8"/>
        <n v="258.893"/>
        <n v="258.92"/>
        <n v="259.102"/>
        <n v="259.333"/>
        <n v="259.72"/>
        <n v="259.773"/>
        <n v="259.933"/>
        <n v="259.934"/>
        <n v="260"/>
        <n v="260.173"/>
        <n v="260.24"/>
        <n v="260.253"/>
        <n v="260.333"/>
        <n v="260.466"/>
        <n v="260.6"/>
        <n v="261.026"/>
        <n v="261.053"/>
        <n v="261.266"/>
        <n v="261.32"/>
        <n v="261.64"/>
        <n v="261.88"/>
        <n v="261.933"/>
        <n v="261.973"/>
        <n v="262.133"/>
        <n v="262.146"/>
        <n v="262.226"/>
        <n v="262.24"/>
        <n v="262.466"/>
        <n v="262.521"/>
        <n v="262.533"/>
        <n v="262.693"/>
        <n v="262.773"/>
        <n v="263.053"/>
        <n v="263.173"/>
        <n v="263.226"/>
        <n v="263.373"/>
        <n v="263.4"/>
        <n v="263.44"/>
        <n v="263.506"/>
        <n v="263.773"/>
        <n v="263.786"/>
        <n v="263.89"/>
        <n v="263.92"/>
        <n v="264.011"/>
        <n v="264.653"/>
        <n v="264.706"/>
        <n v="264.893"/>
        <n v="264.933"/>
        <n v="264.946"/>
        <n v="265.026"/>
        <n v="265.333"/>
        <n v="265.48"/>
        <n v="265.533"/>
        <n v="265.706"/>
        <n v="265.826"/>
        <n v="265.866"/>
        <n v="266.04"/>
        <n v="266.066"/>
        <n v="266.086"/>
        <n v="266.506"/>
        <n v="266.6"/>
        <n v="266.84"/>
        <n v="267"/>
        <n v="267.066"/>
        <n v="267.08"/>
        <n v="267.093"/>
        <n v="267.16"/>
        <n v="267.266"/>
        <n v="267.32"/>
        <n v="267.413"/>
        <n v="267.52"/>
        <n v="267.866"/>
        <n v="267.933"/>
        <n v="268.053"/>
        <n v="268.12"/>
        <n v="268.186"/>
        <n v="268.32"/>
        <n v="268.373"/>
        <n v="268.613"/>
        <n v="268.693"/>
        <n v="268.746"/>
        <n v="268.8"/>
        <n v="268.863"/>
        <n v="268.866"/>
        <n v="269"/>
        <n v="269.186"/>
        <n v="269.373"/>
        <n v="269.4"/>
        <n v="269.493"/>
        <n v="269.56"/>
        <n v="269.613"/>
        <n v="269.666"/>
        <n v="269.946"/>
        <n v="269.973"/>
        <n v="270.306"/>
        <n v="270.506"/>
        <n v="270.589"/>
        <n v="270.746"/>
        <n v="271.16"/>
        <n v="271.333"/>
        <n v="271.426"/>
        <n v="271.6"/>
        <n v="271.626"/>
        <n v="271.64"/>
        <n v="271.946"/>
        <n v="272.08"/>
        <n v="272.293"/>
        <n v="272.394"/>
        <n v="272.533"/>
        <n v="273.133"/>
        <n v="273.333"/>
        <n v="273.36"/>
        <n v="273.533"/>
        <n v="273.706"/>
        <n v="273.802"/>
        <n v="273.826"/>
        <n v="273.973"/>
        <n v="274.213"/>
        <n v="274.226"/>
        <n v="274.333"/>
        <n v="274.386"/>
        <n v="274.44"/>
        <n v="274.6"/>
        <n v="274.8"/>
        <n v="275.026"/>
        <n v="275.106"/>
        <n v="275.986"/>
        <n v="276.106"/>
        <n v="276.147"/>
        <n v="276.16"/>
        <n v="276.266"/>
        <n v="276.333"/>
        <n v="276.36"/>
        <n v="276.373"/>
        <n v="276.56"/>
        <n v="276.603"/>
        <n v="276.773"/>
        <n v="276.786"/>
        <n v="276.8"/>
        <n v="276.92"/>
        <n v="277.386"/>
        <n v="277.687"/>
        <n v="277.84"/>
        <n v="278.573"/>
        <n v="278.666"/>
        <n v="278.693"/>
        <n v="278.719"/>
        <n v="278.987"/>
        <n v="279.026"/>
        <n v="279.506"/>
        <n v="280.013"/>
        <n v="280.026"/>
        <n v="280.626"/>
        <n v="280.68"/>
        <n v="280.757"/>
        <n v="280.973"/>
        <n v="281.106"/>
        <n v="281.24"/>
        <n v="281.32"/>
        <n v="281.466"/>
        <n v="281.56"/>
        <n v="281.88"/>
        <n v="282.16"/>
        <n v="282.306"/>
        <n v="282.4"/>
        <n v="282.773"/>
        <n v="283.066"/>
        <n v="283.4"/>
        <n v="283.454"/>
        <n v="283.626"/>
        <n v="283.706"/>
        <n v="283.733"/>
        <n v="284"/>
        <n v="284.16"/>
        <n v="284.186"/>
        <n v="284.2"/>
        <n v="284.373"/>
        <n v="284.386"/>
        <n v="284.666"/>
        <n v="284.733"/>
        <n v="284.866"/>
        <n v="285.12"/>
        <n v="285.24"/>
        <n v="285.386"/>
        <n v="285.426"/>
        <n v="285.569"/>
        <n v="285.57"/>
        <n v="285.586"/>
        <n v="285.596"/>
        <n v="285.96"/>
        <n v="286.186"/>
        <n v="286.253"/>
        <n v="286.48"/>
        <n v="287"/>
        <n v="287.226"/>
        <n v="287.48"/>
        <n v="287.906"/>
        <n v="288.133"/>
        <n v="288.333"/>
        <n v="288.36"/>
        <n v="288.624"/>
        <n v="288.67"/>
        <n v="289"/>
        <n v="289.08"/>
        <n v="289.133"/>
        <n v="289.16"/>
        <n v="289.359"/>
        <n v="289.373"/>
        <n v="289.746"/>
        <n v="290.32"/>
        <n v="290.76"/>
        <n v="291.781"/>
        <n v="291.893"/>
        <n v="292"/>
        <n v="292.373"/>
        <n v="292.586"/>
        <n v="292.706"/>
        <n v="293.026"/>
        <n v="293.066"/>
        <n v="293.666"/>
        <n v="293.96"/>
        <n v="294.2"/>
        <n v="294.573"/>
        <n v="294.6"/>
        <n v="294.693"/>
        <n v="295.346"/>
        <n v="295.4"/>
        <n v="295.502"/>
        <n v="295.773"/>
        <n v="295.826"/>
        <n v="295.933"/>
        <n v="296.146"/>
        <n v="296.186"/>
        <n v="296.586"/>
        <n v="296.693"/>
        <n v="296.88"/>
        <n v="297.426"/>
        <n v="297.52"/>
        <n v="297.786"/>
        <n v="297.84"/>
        <n v="297.96"/>
        <n v="298.6"/>
        <n v="298.773"/>
        <n v="298.853"/>
        <n v="298.94"/>
        <n v="298.96"/>
        <n v="299.146"/>
        <n v="299.333"/>
        <n v="299.613"/>
        <n v="299.746"/>
        <n v="299.96"/>
        <n v="300.84"/>
        <n v="300.933"/>
        <n v="301.133"/>
        <n v="301.714"/>
        <n v="302.146"/>
        <n v="302.72"/>
        <n v="302.76"/>
        <n v="302.826"/>
        <n v="302.84"/>
        <n v="303.053"/>
        <n v="303.076"/>
        <n v="303.333"/>
        <n v="303.813"/>
        <n v="303.92"/>
        <n v="304"/>
        <n v="304.041"/>
        <n v="304.506"/>
        <n v="304.666"/>
        <n v="304.84"/>
        <n v="305.08"/>
        <n v="306.333"/>
        <n v="307.153"/>
        <n v="307.64"/>
        <n v="307.879"/>
        <n v="310.573"/>
        <n v="311.106"/>
        <n v="311.866"/>
        <n v="312.82"/>
        <n v="312.986"/>
        <n v="313.346"/>
        <n v="313.546"/>
        <n v="313.684"/>
        <n v="313.786"/>
        <n v="314.4"/>
        <n v="314.72"/>
        <n v="316.053"/>
        <n v="316.733"/>
        <n v="318.213"/>
        <n v="318.28"/>
        <n v="320.348"/>
        <n v="320.357"/>
        <n v="320.546"/>
        <n v="320.893"/>
        <n v="321.04"/>
        <n v="321.093"/>
        <n v="321.293"/>
        <n v="322.226"/>
        <n v="323.48"/>
        <n v="324.306"/>
        <n v="324.6"/>
        <n v="324.906"/>
        <n v="325.573"/>
        <n v="326.186"/>
        <n v="326.24"/>
        <n v="326.28"/>
        <n v="326.96"/>
        <n v="327.88"/>
        <n v="329.32"/>
        <n v="329.933"/>
        <n v="332.3"/>
        <n v="333.68"/>
        <n v="334.666"/>
        <n v="335.613"/>
        <n v="336.506"/>
        <n v="337.64"/>
        <n v="337.733"/>
        <n v="338.413"/>
        <n v="338.853"/>
        <n v="339.546"/>
        <n v="340.92"/>
        <n v="343.15"/>
        <n v="347.106"/>
        <n v="348.893"/>
        <n v="350.12"/>
        <n v="352.173"/>
        <n v="353.893"/>
        <n v="357.706"/>
        <n v="359.973"/>
        <n v="366.733"/>
        <n v="393.813"/>
        <n v="404.106"/>
        <n v="417.92"/>
        <n v="432.146"/>
        <n v="444.333"/>
        <n v="448.573"/>
        <n v="452.906"/>
        <n v="484.146"/>
      </sharedItems>
    </cacheField>
    <cacheField name="explicit" numFmtId="0">
      <sharedItems containsSemiMixedTypes="0" containsString="0" containsNumber="1" containsInteger="1" minValue="0" maxValue="1" count="2">
        <n v="0"/>
        <n v="1"/>
      </sharedItems>
    </cacheField>
    <cacheField name="year_id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year" numFmtId="0">
      <sharedItems containsSemiMixedTypes="0" containsString="0" containsNumber="1" containsInteger="1" minValue="1998" maxValue="2020" count="23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popularity" numFmtId="0">
      <sharedItems containsSemiMixedTypes="0" containsString="0" containsNumber="1" containsInteger="1" minValue="0" maxValue="89" count="76">
        <n v="0"/>
        <n v="1"/>
        <n v="2"/>
        <n v="3"/>
        <n v="4"/>
        <n v="6"/>
        <n v="7"/>
        <n v="8"/>
        <n v="11"/>
        <n v="16"/>
        <n v="17"/>
        <n v="18"/>
        <n v="21"/>
        <n v="24"/>
        <n v="26"/>
        <n v="27"/>
        <n v="28"/>
        <n v="30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</sharedItems>
    </cacheField>
    <cacheField name="danceability" numFmtId="0">
      <sharedItems containsSemiMixedTypes="0" containsString="0" containsNumber="1" minValue="0.129" maxValue="0.975" count="565">
        <n v="0.129"/>
        <n v="0.177"/>
        <n v="0.179"/>
        <n v="0.18"/>
        <n v="0.19"/>
        <n v="0.209"/>
        <n v="0.217"/>
        <n v="0.23"/>
        <n v="0.256"/>
        <n v="0.259"/>
        <n v="0.261"/>
        <n v="0.262"/>
        <n v="0.264"/>
        <n v="0.268"/>
        <n v="0.272"/>
        <n v="0.277"/>
        <n v="0.279"/>
        <n v="0.285"/>
        <n v="0.286"/>
        <n v="0.309"/>
        <n v="0.31"/>
        <n v="0.313"/>
        <n v="0.319"/>
        <n v="0.32"/>
        <n v="0.321"/>
        <n v="0.325"/>
        <n v="0.33"/>
        <n v="0.331"/>
        <n v="0.332"/>
        <n v="0.336"/>
        <n v="0.338"/>
        <n v="0.344"/>
        <n v="0.345"/>
        <n v="0.346"/>
        <n v="0.348"/>
        <n v="0.349"/>
        <n v="0.351"/>
        <n v="0.356"/>
        <n v="0.357"/>
        <n v="0.364"/>
        <n v="0.366"/>
        <n v="0.367"/>
        <n v="0.368"/>
        <n v="0.369"/>
        <n v="0.37"/>
        <n v="0.373"/>
        <n v="0.375"/>
        <n v="0.376"/>
        <n v="0.378"/>
        <n v="0.379"/>
        <n v="0.38"/>
        <n v="0.383"/>
        <n v="0.389"/>
        <n v="0.391"/>
        <n v="0.392"/>
        <n v="0.393"/>
        <n v="0.395"/>
        <n v="0.397"/>
        <n v="0.398"/>
        <n v="0.399"/>
        <n v="0.4"/>
        <n v="0.401"/>
        <n v="0.403"/>
        <n v="0.405"/>
        <n v="0.407"/>
        <n v="0.408"/>
        <n v="0.41"/>
        <n v="0.412"/>
        <n v="0.413"/>
        <n v="0.414"/>
        <n v="0.415"/>
        <n v="0.416"/>
        <n v="0.417"/>
        <n v="0.418"/>
        <n v="0.42"/>
        <n v="0.421"/>
        <n v="0.422"/>
        <n v="0.423"/>
        <n v="0.424"/>
        <n v="0.425"/>
        <n v="0.426"/>
        <n v="0.427"/>
        <n v="0.431"/>
        <n v="0.432"/>
        <n v="0.433"/>
        <n v="0.434"/>
        <n v="0.435"/>
        <n v="0.437"/>
        <n v="0.438"/>
        <n v="0.439"/>
        <n v="0.44"/>
        <n v="0.441"/>
        <n v="0.442"/>
        <n v="0.443"/>
        <n v="0.444"/>
        <n v="0.445"/>
        <n v="0.446"/>
        <n v="0.447"/>
        <n v="0.448"/>
        <n v="0.449"/>
        <n v="0.45"/>
        <n v="0.451"/>
        <n v="0.452"/>
        <n v="0.455"/>
        <n v="0.457"/>
        <n v="0.458"/>
        <n v="0.459"/>
        <n v="0.46"/>
        <n v="0.461"/>
        <n v="0.463"/>
        <n v="0.464"/>
        <n v="0.467"/>
        <n v="0.468"/>
        <n v="0.469"/>
        <n v="0.47"/>
        <n v="0.471"/>
        <n v="0.472"/>
        <n v="0.474"/>
        <n v="0.477"/>
        <n v="0.478"/>
        <n v="0.48"/>
        <n v="0.481"/>
        <n v="0.482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3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8"/>
        <n v="0.529"/>
        <n v="0.53"/>
        <n v="0.531"/>
        <n v="0.532"/>
        <n v="0.534"/>
        <n v="0.535"/>
        <n v="0.536"/>
        <n v="0.537"/>
        <n v="0.538"/>
        <n v="0.54"/>
        <n v="0.541"/>
        <n v="0.542"/>
        <n v="0.544"/>
        <n v="0.545"/>
        <n v="0.546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3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1"/>
        <n v="0.772"/>
        <n v="0.773"/>
        <n v="0.774"/>
        <n v="0.775"/>
        <n v="0.776"/>
        <n v="0.777"/>
        <n v="0.778"/>
        <n v="0.779"/>
        <n v="0.78"/>
        <n v="0.781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5"/>
        <n v="0.846"/>
        <n v="0.847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5"/>
        <n v="0.866"/>
        <n v="0.867"/>
        <n v="0.869"/>
        <n v="0.87"/>
        <n v="0.871"/>
        <n v="0.872"/>
        <n v="0.873"/>
        <n v="0.874"/>
        <n v="0.875"/>
        <n v="0.876"/>
        <n v="0.878"/>
        <n v="0.879"/>
        <n v="0.88"/>
        <n v="0.881"/>
        <n v="0.883"/>
        <n v="0.884"/>
        <n v="0.885"/>
        <n v="0.886"/>
        <n v="0.887"/>
        <n v="0.888"/>
        <n v="0.889"/>
        <n v="0.891"/>
        <n v="0.892"/>
        <n v="0.893"/>
        <n v="0.894"/>
        <n v="0.895"/>
        <n v="0.897"/>
        <n v="0.899"/>
        <n v="0.9"/>
        <n v="0.901"/>
        <n v="0.903"/>
        <n v="0.904"/>
        <n v="0.905"/>
        <n v="0.906"/>
        <n v="0.907"/>
        <n v="0.908"/>
        <n v="0.91"/>
        <n v="0.911"/>
        <n v="0.912"/>
        <n v="0.913"/>
        <n v="0.914"/>
        <n v="0.916"/>
        <n v="0.918"/>
        <n v="0.919"/>
        <n v="0.92"/>
        <n v="0.921"/>
        <n v="0.922"/>
        <n v="0.923"/>
        <n v="0.924"/>
        <n v="0.925"/>
        <n v="0.926"/>
        <n v="0.929"/>
        <n v="0.931"/>
        <n v="0.933"/>
        <n v="0.936"/>
        <n v="0.938"/>
        <n v="0.939"/>
        <n v="0.94"/>
        <n v="0.949"/>
        <n v="0.95"/>
        <n v="0.951"/>
        <n v="0.955"/>
        <n v="0.956"/>
        <n v="0.962"/>
        <n v="0.963"/>
        <n v="0.964"/>
        <n v="0.967"/>
        <n v="0.969"/>
        <n v="0.97"/>
        <n v="0.975"/>
      </sharedItems>
    </cacheField>
    <cacheField name="energy" numFmtId="0">
      <sharedItems containsSemiMixedTypes="0" containsString="0" containsNumber="1" minValue="0.0549" maxValue="0.999" count="580">
        <n v="0.0549"/>
        <n v="0.0581"/>
        <n v="0.115"/>
        <n v="0.203"/>
        <n v="0.219"/>
        <n v="0.247"/>
        <n v="0.249"/>
        <n v="0.261"/>
        <n v="0.264"/>
        <n v="0.265"/>
        <n v="0.275"/>
        <n v="0.28"/>
        <n v="0.284"/>
        <n v="0.291"/>
        <n v="0.292"/>
        <n v="0.296"/>
        <n v="0.302"/>
        <n v="0.308"/>
        <n v="0.31"/>
        <n v="0.314"/>
        <n v="0.316"/>
        <n v="0.317"/>
        <n v="0.318"/>
        <n v="0.321"/>
        <n v="0.322"/>
        <n v="0.329"/>
        <n v="0.331"/>
        <n v="0.339"/>
        <n v="0.34"/>
        <n v="0.341"/>
        <n v="0.346"/>
        <n v="0.347"/>
        <n v="0.348"/>
        <n v="0.356"/>
        <n v="0.358"/>
        <n v="0.364"/>
        <n v="0.365"/>
        <n v="0.366"/>
        <n v="0.368"/>
        <n v="0.372"/>
        <n v="0.378"/>
        <n v="0.381"/>
        <n v="0.382"/>
        <n v="0.385"/>
        <n v="0.387"/>
        <n v="0.389"/>
        <n v="0.391"/>
        <n v="0.394"/>
        <n v="0.396"/>
        <n v="0.398"/>
        <n v="0.4"/>
        <n v="0.403"/>
        <n v="0.404"/>
        <n v="0.405"/>
        <n v="0.406"/>
        <n v="0.407"/>
        <n v="0.408"/>
        <n v="0.41"/>
        <n v="0.412"/>
        <n v="0.414"/>
        <n v="0.416"/>
        <n v="0.417"/>
        <n v="0.42"/>
        <n v="0.422"/>
        <n v="0.425"/>
        <n v="0.426"/>
        <n v="0.427"/>
        <n v="0.428"/>
        <n v="0.43"/>
        <n v="0.431"/>
        <n v="0.433"/>
        <n v="0.434"/>
        <n v="0.435"/>
        <n v="0.437"/>
        <n v="0.438"/>
        <n v="0.439"/>
        <n v="0.44"/>
        <n v="0.442"/>
        <n v="0.443"/>
        <n v="0.444"/>
        <n v="0.445"/>
        <n v="0.448"/>
        <n v="0.449"/>
        <n v="0.45"/>
        <n v="0.451"/>
        <n v="0.452"/>
        <n v="0.454"/>
        <n v="0.458"/>
        <n v="0.459"/>
        <n v="0.462"/>
        <n v="0.463"/>
        <n v="0.465"/>
        <n v="0.466"/>
        <n v="0.467"/>
        <n v="0.468"/>
        <n v="0.469"/>
        <n v="0.47"/>
        <n v="0.471"/>
        <n v="0.473"/>
        <n v="0.475"/>
        <n v="0.476"/>
        <n v="0.479"/>
        <n v="0.48"/>
        <n v="0.481"/>
        <n v="0.482"/>
        <n v="0.484"/>
        <n v="0.485"/>
        <n v="0.486"/>
        <n v="0.487"/>
        <n v="0.488"/>
        <n v="0.489"/>
        <n v="0.491"/>
        <n v="0.492"/>
        <n v="0.493"/>
        <n v="0.496"/>
        <n v="0.497"/>
        <n v="0.498"/>
        <n v="0.5"/>
        <n v="0.501"/>
        <n v="0.502"/>
        <n v="0.504"/>
        <n v="0.505"/>
        <n v="0.507"/>
        <n v="0.508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9"/>
        <n v="0.53"/>
        <n v="0.531"/>
        <n v="0.532"/>
        <n v="0.533"/>
        <n v="0.534"/>
        <n v="0.536"/>
        <n v="0.537"/>
        <n v="0.538"/>
        <n v="0.539"/>
        <n v="0.54"/>
        <n v="0.541"/>
        <n v="0.543"/>
        <n v="0.544"/>
        <n v="0.546"/>
        <n v="0.548"/>
        <n v="0.549"/>
        <n v="0.55"/>
        <n v="0.551"/>
        <n v="0.552"/>
        <n v="0.553"/>
        <n v="0.554"/>
        <n v="0.557"/>
        <n v="0.558"/>
        <n v="0.559"/>
        <n v="0.56"/>
        <n v="0.561"/>
        <n v="0.562"/>
        <n v="0.563"/>
        <n v="0.564"/>
        <n v="0.566"/>
        <n v="0.567"/>
        <n v="0.568"/>
        <n v="0.57"/>
        <n v="0.571"/>
        <n v="0.572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1"/>
        <n v="0.772"/>
        <n v="0.773"/>
        <n v="0.774"/>
        <n v="0.775"/>
        <n v="0.776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4"/>
        <n v="0.845"/>
        <n v="0.846"/>
        <n v="0.847"/>
        <n v="0.848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4"/>
        <n v="0.865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899"/>
        <n v="0.9"/>
        <n v="0.901"/>
        <n v="0.902"/>
        <n v="0.903"/>
        <n v="0.904"/>
        <n v="0.905"/>
        <n v="0.906"/>
        <n v="0.907"/>
        <n v="0.908"/>
        <n v="0.909"/>
        <n v="0.91"/>
        <n v="0.911"/>
        <n v="0.912"/>
        <n v="0.913"/>
        <n v="0.914"/>
        <n v="0.915"/>
        <n v="0.916"/>
        <n v="0.917"/>
        <n v="0.918"/>
        <n v="0.919"/>
        <n v="0.92"/>
        <n v="0.921"/>
        <n v="0.922"/>
        <n v="0.923"/>
        <n v="0.924"/>
        <n v="0.925"/>
        <n v="0.926"/>
        <n v="0.927"/>
        <n v="0.928"/>
        <n v="0.929"/>
        <n v="0.93"/>
        <n v="0.931"/>
        <n v="0.932"/>
        <n v="0.933"/>
        <n v="0.934"/>
        <n v="0.935"/>
        <n v="0.936"/>
        <n v="0.937"/>
        <n v="0.938"/>
        <n v="0.939"/>
        <n v="0.94"/>
        <n v="0.941"/>
        <n v="0.942"/>
        <n v="0.943"/>
        <n v="0.944"/>
        <n v="0.945"/>
        <n v="0.946"/>
        <n v="0.947"/>
        <n v="0.948"/>
        <n v="0.95"/>
        <n v="0.951"/>
        <n v="0.952"/>
        <n v="0.953"/>
        <n v="0.954"/>
        <n v="0.955"/>
        <n v="0.956"/>
        <n v="0.957"/>
        <n v="0.958"/>
        <n v="0.959"/>
        <n v="0.961"/>
        <n v="0.963"/>
        <n v="0.964"/>
        <n v="0.965"/>
        <n v="0.966"/>
        <n v="0.967"/>
        <n v="0.968"/>
        <n v="0.969"/>
        <n v="0.97"/>
        <n v="0.972"/>
        <n v="0.974"/>
        <n v="0.976"/>
        <n v="0.977"/>
        <n v="0.978"/>
        <n v="0.979"/>
        <n v="0.981"/>
        <n v="0.982"/>
        <n v="0.984"/>
        <n v="0.985"/>
        <n v="0.988"/>
        <n v="0.999"/>
      </sharedItems>
    </cacheField>
    <cacheField name="energy_category" numFmtId="0">
      <sharedItems count="2">
        <s v="High"/>
        <s v="Low"/>
      </sharedItems>
    </cacheField>
    <cacheField name="loudness" numFmtId="0">
      <sharedItems containsSemiMixedTypes="0" containsString="0" containsNumber="1" minValue="-20.514" maxValue="-0.276" count="1671">
        <n v="-20.514"/>
        <n v="-17.217"/>
        <n v="-15.636"/>
        <n v="-14.505"/>
        <n v="-13.964"/>
        <n v="-13.744"/>
        <n v="-13.609"/>
        <n v="-13.4"/>
        <n v="-13.203"/>
        <n v="-13.2"/>
        <n v="-12.932"/>
        <n v="-12.89"/>
        <n v="-12.852"/>
        <n v="-12.808"/>
        <n v="-12.695"/>
        <n v="-12.591"/>
        <n v="-12.21"/>
        <n v="-12.185"/>
        <n v="-11.713"/>
        <n v="-11.617"/>
        <n v="-11.377"/>
        <n v="-11.241"/>
        <n v="-11.132"/>
        <n v="-11.072"/>
        <n v="-11.067"/>
        <n v="-10.965"/>
        <n v="-10.94"/>
        <n v="-10.881"/>
        <n v="-10.732"/>
        <n v="-10.644"/>
        <n v="-10.598"/>
        <n v="-10.587"/>
        <n v="-10.572"/>
        <n v="-10.511"/>
        <n v="-10.38"/>
        <n v="-10.358"/>
        <n v="-10.332"/>
        <n v="-10.284"/>
        <n v="-10.164"/>
        <n v="-10.109"/>
        <n v="-10.068"/>
        <n v="-10.054"/>
        <n v="-10.029"/>
        <n v="-10.028"/>
        <n v="-10.027"/>
        <n v="-10.02"/>
        <n v="-9.942"/>
        <n v="-9.923"/>
        <n v="-9.919"/>
        <n v="-9.882"/>
        <n v="-9.87"/>
        <n v="-9.867"/>
        <n v="-9.86"/>
        <n v="-9.828"/>
        <n v="-9.74"/>
        <n v="-9.711"/>
        <n v="-9.706"/>
        <n v="-9.702"/>
        <n v="-9.681"/>
        <n v="-9.664"/>
        <n v="-9.635"/>
        <n v="-9.582"/>
        <n v="-9.545"/>
        <n v="-9.504"/>
        <n v="-9.487"/>
        <n v="-9.481"/>
        <n v="-9.474"/>
        <n v="-9.469"/>
        <n v="-9.461"/>
        <n v="-9.447"/>
        <n v="-9.387"/>
        <n v="-9.381"/>
        <n v="-9.369"/>
        <n v="-9.348"/>
        <n v="-9.343"/>
        <n v="-9.334"/>
        <n v="-9.319"/>
        <n v="-9.309"/>
        <n v="-9.217"/>
        <n v="-9.211"/>
        <n v="-9.206"/>
        <n v="-9.197"/>
        <n v="-9.17"/>
        <n v="-9.144"/>
        <n v="-9.131"/>
        <n v="-9.127"/>
        <n v="-9.101"/>
        <n v="-9.092"/>
        <n v="-9.053"/>
        <n v="-9.007"/>
        <n v="-8.97"/>
        <n v="-8.966"/>
        <n v="-8.964"/>
        <n v="-8.951"/>
        <n v="-8.923"/>
        <n v="-8.871"/>
        <n v="-8.869"/>
        <n v="-8.866"/>
        <n v="-8.838"/>
        <n v="-8.831"/>
        <n v="-8.821"/>
        <n v="-8.813"/>
        <n v="-8.804"/>
        <n v="-8.795"/>
        <n v="-8.793"/>
        <n v="-8.786"/>
        <n v="-8.75"/>
        <n v="-8.73"/>
        <n v="-8.718"/>
        <n v="-8.714"/>
        <n v="-8.693"/>
        <n v="-8.691"/>
        <n v="-8.685"/>
        <n v="-8.674"/>
        <n v="-8.672"/>
        <n v="-8.65"/>
        <n v="-8.648"/>
        <n v="-8.644"/>
        <n v="-8.636"/>
        <n v="-8.635"/>
        <n v="-8.627"/>
        <n v="-8.618"/>
        <n v="-8.607"/>
        <n v="-8.564"/>
        <n v="-8.56"/>
        <n v="-8.558"/>
        <n v="-8.554"/>
        <n v="-8.539"/>
        <n v="-8.532"/>
        <n v="-8.529"/>
        <n v="-8.527"/>
        <n v="-8.522"/>
        <n v="-8.502"/>
        <n v="-8.458"/>
        <n v="-8.438"/>
        <n v="-8.419"/>
        <n v="-8.415"/>
        <n v="-8.412"/>
        <n v="-8.403"/>
        <n v="-8.399"/>
        <n v="-8.391"/>
        <n v="-8.379"/>
        <n v="-8.374"/>
        <n v="-8.365"/>
        <n v="-8.356"/>
        <n v="-8.339"/>
        <n v="-8.336"/>
        <n v="-8.327"/>
        <n v="-8.323"/>
        <n v="-8.28"/>
        <n v="-8.274"/>
        <n v="-8.264"/>
        <n v="-8.262"/>
        <n v="-8.251"/>
        <n v="-8.244"/>
        <n v="-8.238"/>
        <n v="-8.237"/>
        <n v="-8.227"/>
        <n v="-8.196"/>
        <n v="-8.19"/>
        <n v="-8.164"/>
        <n v="-8.137"/>
        <n v="-8.128"/>
        <n v="-8.127"/>
        <n v="-8.126"/>
        <n v="-8.118"/>
        <n v="-8.106"/>
        <n v="-8.094"/>
        <n v="-8.091"/>
        <n v="-8.074"/>
        <n v="-8.053"/>
        <n v="-8.05"/>
        <n v="-8.049"/>
        <n v="-8.035"/>
        <n v="-8.019"/>
        <n v="-8.013"/>
        <n v="-7.994"/>
        <n v="-7.984"/>
        <n v="-7.981"/>
        <n v="-7.961"/>
        <n v="-7.941"/>
        <n v="-7.932"/>
        <n v="-7.93"/>
        <n v="-7.928"/>
        <n v="-7.92"/>
        <n v="-7.918"/>
        <n v="-7.906"/>
        <n v="-7.886"/>
        <n v="-7.88"/>
        <n v="-7.875"/>
        <n v="-7.872"/>
        <n v="-7.866"/>
        <n v="-7.863"/>
        <n v="-7.858"/>
        <n v="-7.853"/>
        <n v="-7.839"/>
        <n v="-7.829"/>
        <n v="-7.828"/>
        <n v="-7.804"/>
        <n v="-7.803"/>
        <n v="-7.798"/>
        <n v="-7.789"/>
        <n v="-7.788"/>
        <n v="-7.786"/>
        <n v="-7.784"/>
        <n v="-7.783"/>
        <n v="-7.779"/>
        <n v="-7.77"/>
        <n v="-7.757"/>
        <n v="-7.754"/>
        <n v="-7.752"/>
        <n v="-7.747"/>
        <n v="-7.745"/>
        <n v="-7.737"/>
        <n v="-7.736"/>
        <n v="-7.733"/>
        <n v="-7.728"/>
        <n v="-7.724"/>
        <n v="-7.72"/>
        <n v="-7.709"/>
        <n v="-7.707"/>
        <n v="-7.702"/>
        <n v="-7.695"/>
        <n v="-7.693"/>
        <n v="-7.67"/>
        <n v="-7.648"/>
        <n v="-7.645"/>
        <n v="-7.643"/>
        <n v="-7.627"/>
        <n v="-7.621"/>
        <n v="-7.608"/>
        <n v="-7.598"/>
        <n v="-7.596"/>
        <n v="-7.578"/>
        <n v="-7.577"/>
        <n v="-7.573"/>
        <n v="-7.565"/>
        <n v="-7.562"/>
        <n v="-7.558"/>
        <n v="-7.548"/>
        <n v="-7.536"/>
        <n v="-7.534"/>
        <n v="-7.533"/>
        <n v="-7.518"/>
        <n v="-7.516"/>
        <n v="-7.513"/>
        <n v="-7.51"/>
        <n v="-7.503"/>
        <n v="-7.499"/>
        <n v="-7.495"/>
        <n v="-7.486"/>
        <n v="-7.48"/>
        <n v="-7.471"/>
        <n v="-7.462"/>
        <n v="-7.45"/>
        <n v="-7.448"/>
        <n v="-7.445"/>
        <n v="-7.444"/>
        <n v="-7.442"/>
        <n v="-7.436"/>
        <n v="-7.423"/>
        <n v="-7.421"/>
        <n v="-7.417"/>
        <n v="-7.401"/>
        <n v="-7.392"/>
        <n v="-7.388"/>
        <n v="-7.384"/>
        <n v="-7.38"/>
        <n v="-7.374"/>
        <n v="-7.371"/>
        <n v="-7.36"/>
        <n v="-7.359"/>
        <n v="-7.355"/>
        <n v="-7.343"/>
        <n v="-7.338"/>
        <n v="-7.335"/>
        <n v="-7.324"/>
        <n v="-7.323"/>
        <n v="-7.321"/>
        <n v="-7.314"/>
        <n v="-7.299"/>
        <n v="-7.298"/>
        <n v="-7.296"/>
        <n v="-7.286"/>
        <n v="-7.278"/>
        <n v="-7.274"/>
        <n v="-7.273"/>
        <n v="-7.268"/>
        <n v="-7.251"/>
        <n v="-7.24"/>
        <n v="-7.23"/>
        <n v="-7.228"/>
        <n v="-7.223"/>
        <n v="-7.222"/>
        <n v="-7.215"/>
        <n v="-7.202"/>
        <n v="-7.2"/>
        <n v="-7.195"/>
        <n v="-7.186"/>
        <n v="-7.16"/>
        <n v="-7.147"/>
        <n v="-7.135"/>
        <n v="-7.124"/>
        <n v="-7.119"/>
        <n v="-7.116"/>
        <n v="-7.115"/>
        <n v="-7.105"/>
        <n v="-7.094"/>
        <n v="-7.08"/>
        <n v="-7.079"/>
        <n v="-7.077"/>
        <n v="-7.076"/>
        <n v="-7.064"/>
        <n v="-7.063"/>
        <n v="-7.059"/>
        <n v="-7.058"/>
        <n v="-7.055"/>
        <n v="-7.054"/>
        <n v="-7.051"/>
        <n v="-7.05"/>
        <n v="-7.046"/>
        <n v="-7.043"/>
        <n v="-7.042"/>
        <n v="-7.041"/>
        <n v="-7.038"/>
        <n v="-7.033"/>
        <n v="-7.028"/>
        <n v="-7.008"/>
        <n v="-6.997"/>
        <n v="-6.994"/>
        <n v="-6.99"/>
        <n v="-6.985"/>
        <n v="-6.983"/>
        <n v="-6.982"/>
        <n v="-6.981"/>
        <n v="-6.977"/>
        <n v="-6.97"/>
        <n v="-6.963"/>
        <n v="-6.959"/>
        <n v="-6.957"/>
        <n v="-6.948"/>
        <n v="-6.946"/>
        <n v="-6.93"/>
        <n v="-6.902"/>
        <n v="-6.901"/>
        <n v="-6.896"/>
        <n v="-6.887"/>
        <n v="-6.886"/>
        <n v="-6.884"/>
        <n v="-6.883"/>
        <n v="-6.881"/>
        <n v="-6.879"/>
        <n v="-6.87"/>
        <n v="-6.869"/>
        <n v="-6.867"/>
        <n v="-6.865"/>
        <n v="-6.864"/>
        <n v="-6.863"/>
        <n v="-6.857"/>
        <n v="-6.854"/>
        <n v="-6.852"/>
        <n v="-6.849"/>
        <n v="-6.829"/>
        <n v="-6.826"/>
        <n v="-6.825"/>
        <n v="-6.823"/>
        <n v="-6.822"/>
        <n v="-6.818"/>
        <n v="-6.817"/>
        <n v="-6.816"/>
        <n v="-6.815"/>
        <n v="-6.814"/>
        <n v="-6.813"/>
        <n v="-6.806"/>
        <n v="-6.799"/>
        <n v="-6.798"/>
        <n v="-6.797"/>
        <n v="-6.79"/>
        <n v="-6.782"/>
        <n v="-6.779"/>
        <n v="-6.777"/>
        <n v="-6.769"/>
        <n v="-6.765"/>
        <n v="-6.761"/>
        <n v="-6.759"/>
        <n v="-6.735"/>
        <n v="-6.734"/>
        <n v="-6.731"/>
        <n v="-6.729"/>
        <n v="-6.722"/>
        <n v="-6.721"/>
        <n v="-6.718"/>
        <n v="-6.711"/>
        <n v="-6.71"/>
        <n v="-6.696"/>
        <n v="-6.694"/>
        <n v="-6.693"/>
        <n v="-6.684"/>
        <n v="-6.682"/>
        <n v="-6.679"/>
        <n v="-6.672"/>
        <n v="-6.665"/>
        <n v="-6.664"/>
        <n v="-6.66"/>
        <n v="-6.653"/>
        <n v="-6.646"/>
        <n v="-6.645"/>
        <n v="-6.644"/>
        <n v="-6.642"/>
        <n v="-6.636"/>
        <n v="-6.635"/>
        <n v="-6.632"/>
        <n v="-6.63"/>
        <n v="-6.628"/>
        <n v="-6.627"/>
        <n v="-6.626"/>
        <n v="-6.62"/>
        <n v="-6.614"/>
        <n v="-6.611"/>
        <n v="-6.607"/>
        <n v="-6.596"/>
        <n v="-6.594"/>
        <n v="-6.591"/>
        <n v="-6.589"/>
        <n v="-6.588"/>
        <n v="-6.582"/>
        <n v="-6.572"/>
        <n v="-6.569"/>
        <n v="-6.567"/>
        <n v="-6.564"/>
        <n v="-6.561"/>
        <n v="-6.556"/>
        <n v="-6.554"/>
        <n v="-6.553"/>
        <n v="-6.55"/>
        <n v="-6.548"/>
        <n v="-6.542"/>
        <n v="-6.536"/>
        <n v="-6.535"/>
        <n v="-6.534"/>
        <n v="-6.531"/>
        <n v="-6.527"/>
        <n v="-6.518"/>
        <n v="-6.516"/>
        <n v="-6.509"/>
        <n v="-6.508"/>
        <n v="-6.499"/>
        <n v="-6.496"/>
        <n v="-6.492"/>
        <n v="-6.491"/>
        <n v="-6.49"/>
        <n v="-6.488"/>
        <n v="-6.487"/>
        <n v="-6.482"/>
        <n v="-6.478"/>
        <n v="-6.477"/>
        <n v="-6.476"/>
        <n v="-6.474"/>
        <n v="-6.471"/>
        <n v="-6.466"/>
        <n v="-6.46"/>
        <n v="-6.45"/>
        <n v="-6.447"/>
        <n v="-6.446"/>
        <n v="-6.444"/>
        <n v="-6.443"/>
        <n v="-6.437"/>
        <n v="-6.429"/>
        <n v="-6.428"/>
        <n v="-6.427"/>
        <n v="-6.425"/>
        <n v="-6.417"/>
        <n v="-6.416"/>
        <n v="-6.408"/>
        <n v="-6.403"/>
        <n v="-6.4"/>
        <n v="-6.383"/>
        <n v="-6.382"/>
        <n v="-6.375"/>
        <n v="-6.373"/>
        <n v="-6.366"/>
        <n v="-6.365"/>
        <n v="-6.362"/>
        <n v="-6.359"/>
        <n v="-6.354"/>
        <n v="-6.351"/>
        <n v="-6.35"/>
        <n v="-6.349"/>
        <n v="-6.345"/>
        <n v="-6.343"/>
        <n v="-6.342"/>
        <n v="-6.341"/>
        <n v="-6.34"/>
        <n v="-6.337"/>
        <n v="-6.333"/>
        <n v="-6.328"/>
        <n v="-6.323"/>
        <n v="-6.319"/>
        <n v="-6.313"/>
        <n v="-6.312"/>
        <n v="-6.307"/>
        <n v="-6.306"/>
        <n v="-6.304"/>
        <n v="-6.299"/>
        <n v="-6.298"/>
        <n v="-6.294"/>
        <n v="-6.288"/>
        <n v="-6.286"/>
        <n v="-6.279"/>
        <n v="-6.277"/>
        <n v="-6.275"/>
        <n v="-6.262"/>
        <n v="-6.261"/>
        <n v="-6.26"/>
        <n v="-6.257"/>
        <n v="-6.255"/>
        <n v="-6.254"/>
        <n v="-6.253"/>
        <n v="-6.251"/>
        <n v="-6.247"/>
        <n v="-6.245"/>
        <n v="-6.239"/>
        <n v="-6.238"/>
        <n v="-6.235"/>
        <n v="-6.229"/>
        <n v="-6.228"/>
        <n v="-6.223"/>
        <n v="-6.221"/>
        <n v="-6.211"/>
        <n v="-6.209"/>
        <n v="-6.203"/>
        <n v="-6.197"/>
        <n v="-6.183"/>
        <n v="-6.181"/>
        <n v="-6.176"/>
        <n v="-6.175"/>
        <n v="-6.17"/>
        <n v="-6.166"/>
        <n v="-6.164"/>
        <n v="-6.163"/>
        <n v="-6.162"/>
        <n v="-6.161"/>
        <n v="-6.156"/>
        <n v="-6.152"/>
        <n v="-6.149"/>
        <n v="-6.146"/>
        <n v="-6.142"/>
        <n v="-6.139"/>
        <n v="-6.136"/>
        <n v="-6.133"/>
        <n v="-6.129"/>
        <n v="-6.128"/>
        <n v="-6.127"/>
        <n v="-6.126"/>
        <n v="-6.124"/>
        <n v="-6.123"/>
        <n v="-6.118"/>
        <n v="-6.115"/>
        <n v="-6.112"/>
        <n v="-6.11"/>
        <n v="-6.109"/>
        <n v="-6.107"/>
        <n v="-6.104"/>
        <n v="-6.102"/>
        <n v="-6.098"/>
        <n v="-6.096"/>
        <n v="-6.094"/>
        <n v="-6.093"/>
        <n v="-6.091"/>
        <n v="-6.09"/>
        <n v="-6.087"/>
        <n v="-6.086"/>
        <n v="-6.079"/>
        <n v="-6.077"/>
        <n v="-6.075"/>
        <n v="-6.073"/>
        <n v="-6.068"/>
        <n v="-6.066"/>
        <n v="-6.065"/>
        <n v="-6.062"/>
        <n v="-6.061"/>
        <n v="-6.057"/>
        <n v="-6.055"/>
        <n v="-6.054"/>
        <n v="-6.052"/>
        <n v="-6.049"/>
        <n v="-6.046"/>
        <n v="-6.035"/>
        <n v="-6.031"/>
        <n v="-6.03"/>
        <n v="-6.028"/>
        <n v="-6.022"/>
        <n v="-6.02"/>
        <n v="-6.019"/>
        <n v="-6.017"/>
        <n v="-6.015"/>
        <n v="-6.008"/>
        <n v="-6.007"/>
        <n v="-6.005"/>
        <n v="-6.003"/>
        <n v="-5.996"/>
        <n v="-5.995"/>
        <n v="-5.986"/>
        <n v="-5.983"/>
        <n v="-5.976"/>
        <n v="-5.975"/>
        <n v="-5.972"/>
        <n v="-5.971"/>
        <n v="-5.969"/>
        <n v="-5.966"/>
        <n v="-5.963"/>
        <n v="-5.961"/>
        <n v="-5.959"/>
        <n v="-5.958"/>
        <n v="-5.957"/>
        <n v="-5.952"/>
        <n v="-5.949"/>
        <n v="-5.948"/>
        <n v="-5.946"/>
        <n v="-5.941"/>
        <n v="-5.938"/>
        <n v="-5.934"/>
        <n v="-5.931"/>
        <n v="-5.926"/>
        <n v="-5.924"/>
        <n v="-5.922"/>
        <n v="-5.92"/>
        <n v="-5.916"/>
        <n v="-5.913"/>
        <n v="-5.909"/>
        <n v="-5.908"/>
        <n v="-5.903"/>
        <n v="-5.898"/>
        <n v="-5.897"/>
        <n v="-5.894"/>
        <n v="-5.892"/>
        <n v="-5.89"/>
        <n v="-5.886"/>
        <n v="-5.883"/>
        <n v="-5.882"/>
        <n v="-5.881"/>
        <n v="-5.88"/>
        <n v="-5.873"/>
        <n v="-5.87"/>
        <n v="-5.862"/>
        <n v="-5.861"/>
        <n v="-5.854"/>
        <n v="-5.852"/>
        <n v="-5.85"/>
        <n v="-5.849"/>
        <n v="-5.847"/>
        <n v="-5.844"/>
        <n v="-5.835"/>
        <n v="-5.833"/>
        <n v="-5.827"/>
        <n v="-5.826"/>
        <n v="-5.825"/>
        <n v="-5.819"/>
        <n v="-5.814"/>
        <n v="-5.81"/>
        <n v="-5.804"/>
        <n v="-5.803"/>
        <n v="-5.802"/>
        <n v="-5.801"/>
        <n v="-5.8"/>
        <n v="-5.799"/>
        <n v="-5.798"/>
        <n v="-5.797"/>
        <n v="-5.794"/>
        <n v="-5.792"/>
        <n v="-5.791"/>
        <n v="-5.788"/>
        <n v="-5.785"/>
        <n v="-5.784"/>
        <n v="-5.779"/>
        <n v="-5.767"/>
        <n v="-5.763"/>
        <n v="-5.762"/>
        <n v="-5.761"/>
        <n v="-5.76"/>
        <n v="-5.758"/>
        <n v="-5.757"/>
        <n v="-5.754"/>
        <n v="-5.751"/>
        <n v="-5.749"/>
        <n v="-5.747"/>
        <n v="-5.746"/>
        <n v="-5.74"/>
        <n v="-5.738"/>
        <n v="-5.737"/>
        <n v="-5.734"/>
        <n v="-5.728"/>
        <n v="-5.723"/>
        <n v="-5.715"/>
        <n v="-5.714"/>
        <n v="-5.713"/>
        <n v="-5.709"/>
        <n v="-5.708"/>
        <n v="-5.707"/>
        <n v="-5.705"/>
        <n v="-5.7"/>
        <n v="-5.697"/>
        <n v="-5.695"/>
        <n v="-5.692"/>
        <n v="-5.68"/>
        <n v="-5.679"/>
        <n v="-5.677"/>
        <n v="-5.672"/>
        <n v="-5.669"/>
        <n v="-5.665"/>
        <n v="-5.661"/>
        <n v="-5.659"/>
        <n v="-5.658"/>
        <n v="-5.656"/>
        <n v="-5.655"/>
        <n v="-5.653"/>
        <n v="-5.652"/>
        <n v="-5.65"/>
        <n v="-5.643"/>
        <n v="-5.642"/>
        <n v="-5.64"/>
        <n v="-5.637"/>
        <n v="-5.636"/>
        <n v="-5.631"/>
        <n v="-5.628"/>
        <n v="-5.627"/>
        <n v="-5.626"/>
        <n v="-5.611"/>
        <n v="-5.609"/>
        <n v="-5.607"/>
        <n v="-5.604"/>
        <n v="-5.603"/>
        <n v="-5.601"/>
        <n v="-5.599"/>
        <n v="-5.595"/>
        <n v="-5.594"/>
        <n v="-5.593"/>
        <n v="-5.59"/>
        <n v="-5.589"/>
        <n v="-5.586"/>
        <n v="-5.582"/>
        <n v="-5.576"/>
        <n v="-5.572"/>
        <n v="-5.564"/>
        <n v="-5.562"/>
        <n v="-5.56"/>
        <n v="-5.559"/>
        <n v="-5.557"/>
        <n v="-5.556"/>
        <n v="-5.545"/>
        <n v="-5.542"/>
        <n v="-5.531"/>
        <n v="-5.529"/>
        <n v="-5.526"/>
        <n v="-5.522"/>
        <n v="-5.521"/>
        <n v="-5.52"/>
        <n v="-5.513"/>
        <n v="-5.51"/>
        <n v="-5.507"/>
        <n v="-5.503"/>
        <n v="-5.488"/>
        <n v="-5.482"/>
        <n v="-5.477"/>
        <n v="-5.476"/>
        <n v="-5.474"/>
        <n v="-5.473"/>
        <n v="-5.469"/>
        <n v="-5.466"/>
        <n v="-5.461"/>
        <n v="-5.459"/>
        <n v="-5.456"/>
        <n v="-5.455"/>
        <n v="-5.454"/>
        <n v="-5.449"/>
        <n v="-5.448"/>
        <n v="-5.446"/>
        <n v="-5.445"/>
        <n v="-5.444"/>
        <n v="-5.441"/>
        <n v="-5.44"/>
        <n v="-5.438"/>
        <n v="-5.436"/>
        <n v="-5.435"/>
        <n v="-5.433"/>
        <n v="-5.431"/>
        <n v="-5.429"/>
        <n v="-5.428"/>
        <n v="-5.426"/>
        <n v="-5.425"/>
        <n v="-5.424"/>
        <n v="-5.42"/>
        <n v="-5.415"/>
        <n v="-5.412"/>
        <n v="-5.409"/>
        <n v="-5.406"/>
        <n v="-5.404"/>
        <n v="-5.402"/>
        <n v="-5.4"/>
        <n v="-5.399"/>
        <n v="-5.395"/>
        <n v="-5.386"/>
        <n v="-5.384"/>
        <n v="-5.379"/>
        <n v="-5.373"/>
        <n v="-5.371"/>
        <n v="-5.369"/>
        <n v="-5.367"/>
        <n v="-5.358"/>
        <n v="-5.356"/>
        <n v="-5.355"/>
        <n v="-5.354"/>
        <n v="-5.352"/>
        <n v="-5.351"/>
        <n v="-5.35"/>
        <n v="-5.348"/>
        <n v="-5.346"/>
        <n v="-5.338"/>
        <n v="-5.337"/>
        <n v="-5.335"/>
        <n v="-5.331"/>
        <n v="-5.328"/>
        <n v="-5.324"/>
        <n v="-5.32"/>
        <n v="-5.316"/>
        <n v="-5.314"/>
        <n v="-5.313"/>
        <n v="-5.309"/>
        <n v="-5.308"/>
        <n v="-5.307"/>
        <n v="-5.305"/>
        <n v="-5.303"/>
        <n v="-5.299"/>
        <n v="-5.298"/>
        <n v="-5.295"/>
        <n v="-5.293"/>
        <n v="-5.292"/>
        <n v="-5.29"/>
        <n v="-5.288"/>
        <n v="-5.285"/>
        <n v="-5.284"/>
        <n v="-5.283"/>
        <n v="-5.28"/>
        <n v="-5.279"/>
        <n v="-5.274"/>
        <n v="-5.273"/>
        <n v="-5.267"/>
        <n v="-5.266"/>
        <n v="-5.265"/>
        <n v="-5.264"/>
        <n v="-5.263"/>
        <n v="-5.253"/>
        <n v="-5.252"/>
        <n v="-5.242"/>
        <n v="-5.239"/>
        <n v="-5.237"/>
        <n v="-5.234"/>
        <n v="-5.232"/>
        <n v="-5.231"/>
        <n v="-5.226"/>
        <n v="-5.225"/>
        <n v="-5.222"/>
        <n v="-5.218"/>
        <n v="-5.217"/>
        <n v="-5.215"/>
        <n v="-5.21"/>
        <n v="-5.209"/>
        <n v="-5.208"/>
        <n v="-5.207"/>
        <n v="-5.197"/>
        <n v="-5.194"/>
        <n v="-5.191"/>
        <n v="-5.181"/>
        <n v="-5.18"/>
        <n v="-5.178"/>
        <n v="-5.177"/>
        <n v="-5.176"/>
        <n v="-5.172"/>
        <n v="-5.166"/>
        <n v="-5.165"/>
        <n v="-5.16"/>
        <n v="-5.158"/>
        <n v="-5.157"/>
        <n v="-5.153"/>
        <n v="-5.151"/>
        <n v="-5.148"/>
        <n v="-5.145"/>
        <n v="-5.144"/>
        <n v="-5.137"/>
        <n v="-5.134"/>
        <n v="-5.131"/>
        <n v="-5.126"/>
        <n v="-5.125"/>
        <n v="-5.124"/>
        <n v="-5.123"/>
        <n v="-5.122"/>
        <n v="-5.119"/>
        <n v="-5.115"/>
        <n v="-5.114"/>
        <n v="-5.113"/>
        <n v="-5.11"/>
        <n v="-5.109"/>
        <n v="-5.108"/>
        <n v="-5.103"/>
        <n v="-5.099"/>
        <n v="-5.098"/>
        <n v="-5.096"/>
        <n v="-5.095"/>
        <n v="-5.094"/>
        <n v="-5.093"/>
        <n v="-5.092"/>
        <n v="-5.09"/>
        <n v="-5.089"/>
        <n v="-5.088"/>
        <n v="-5.087"/>
        <n v="-5.085"/>
        <n v="-5.084"/>
        <n v="-5.081"/>
        <n v="-5.08"/>
        <n v="-5.079"/>
        <n v="-5.077"/>
        <n v="-5.076"/>
        <n v="-5.075"/>
        <n v="-5.074"/>
        <n v="-5.069"/>
        <n v="-5.068"/>
        <n v="-5.066"/>
        <n v="-5.065"/>
        <n v="-5.063"/>
        <n v="-5.057"/>
        <n v="-5.054"/>
        <n v="-5.047"/>
        <n v="-5.046"/>
        <n v="-5.045"/>
        <n v="-5.044"/>
        <n v="-5.043"/>
        <n v="-5.042"/>
        <n v="-5.039"/>
        <n v="-5.038"/>
        <n v="-5.036"/>
        <n v="-5.035"/>
        <n v="-5.034"/>
        <n v="-5.032"/>
        <n v="-5.031"/>
        <n v="-5.029"/>
        <n v="-5.022"/>
        <n v="-5.021"/>
        <n v="-5.02"/>
        <n v="-5.018"/>
        <n v="-5.014"/>
        <n v="-5.008"/>
        <n v="-5.006"/>
        <n v="-5.005"/>
        <n v="-5.004"/>
        <n v="-5"/>
        <n v="-4.998"/>
        <n v="-4.997"/>
        <n v="-4.993"/>
        <n v="-4.99"/>
        <n v="-4.989"/>
        <n v="-4.984"/>
        <n v="-4.983"/>
        <n v="-4.981"/>
        <n v="-4.979"/>
        <n v="-4.977"/>
        <n v="-4.975"/>
        <n v="-4.972"/>
        <n v="-4.971"/>
        <n v="-4.958"/>
        <n v="-4.955"/>
        <n v="-4.954"/>
        <n v="-4.951"/>
        <n v="-4.949"/>
        <n v="-4.946"/>
        <n v="-4.944"/>
        <n v="-4.943"/>
        <n v="-4.941"/>
        <n v="-4.94"/>
        <n v="-4.939"/>
        <n v="-4.938"/>
        <n v="-4.936"/>
        <n v="-4.932"/>
        <n v="-4.931"/>
        <n v="-4.929"/>
        <n v="-4.927"/>
        <n v="-4.926"/>
        <n v="-4.922"/>
        <n v="-4.92"/>
        <n v="-4.918"/>
        <n v="-4.914"/>
        <n v="-4.912"/>
        <n v="-4.907"/>
        <n v="-4.905"/>
        <n v="-4.904"/>
        <n v="-4.903"/>
        <n v="-4.902"/>
        <n v="-4.9"/>
        <n v="-4.896"/>
        <n v="-4.894"/>
        <n v="-4.893"/>
        <n v="-4.892"/>
        <n v="-4.888"/>
        <n v="-4.884"/>
        <n v="-4.882"/>
        <n v="-4.88"/>
        <n v="-4.877"/>
        <n v="-4.875"/>
        <n v="-4.874"/>
        <n v="-4.871"/>
        <n v="-4.868"/>
        <n v="-4.867"/>
        <n v="-4.865"/>
        <n v="-4.862"/>
        <n v="-4.861"/>
        <n v="-4.855"/>
        <n v="-4.847"/>
        <n v="-4.844"/>
        <n v="-4.842"/>
        <n v="-4.834"/>
        <n v="-4.832"/>
        <n v="-4.831"/>
        <n v="-4.829"/>
        <n v="-4.825"/>
        <n v="-4.823"/>
        <n v="-4.822"/>
        <n v="-4.821"/>
        <n v="-4.814"/>
        <n v="-4.813"/>
        <n v="-4.81"/>
        <n v="-4.808"/>
        <n v="-4.806"/>
        <n v="-4.805"/>
        <n v="-4.804"/>
        <n v="-4.802"/>
        <n v="-4.8"/>
        <n v="-4.792"/>
        <n v="-4.789"/>
        <n v="-4.788"/>
        <n v="-4.783"/>
        <n v="-4.782"/>
        <n v="-4.781"/>
        <n v="-4.78"/>
        <n v="-4.773"/>
        <n v="-4.768"/>
        <n v="-4.763"/>
        <n v="-4.76"/>
        <n v="-4.758"/>
        <n v="-4.757"/>
        <n v="-4.754"/>
        <n v="-4.753"/>
        <n v="-4.751"/>
        <n v="-4.75"/>
        <n v="-4.749"/>
        <n v="-4.736"/>
        <n v="-4.733"/>
        <n v="-4.724"/>
        <n v="-4.722"/>
        <n v="-4.721"/>
        <n v="-4.719"/>
        <n v="-4.718"/>
        <n v="-4.715"/>
        <n v="-4.713"/>
        <n v="-4.712"/>
        <n v="-4.711"/>
        <n v="-4.706"/>
        <n v="-4.699"/>
        <n v="-4.697"/>
        <n v="-4.696"/>
        <n v="-4.689"/>
        <n v="-4.686"/>
        <n v="-4.684"/>
        <n v="-4.683"/>
        <n v="-4.682"/>
        <n v="-4.68"/>
        <n v="-4.678"/>
        <n v="-4.676"/>
        <n v="-4.675"/>
        <n v="-4.672"/>
        <n v="-4.67"/>
        <n v="-4.669"/>
        <n v="-4.667"/>
        <n v="-4.666"/>
        <n v="-4.663"/>
        <n v="-4.662"/>
        <n v="-4.661"/>
        <n v="-4.653"/>
        <n v="-4.65"/>
        <n v="-4.649"/>
        <n v="-4.639"/>
        <n v="-4.637"/>
        <n v="-4.633"/>
        <n v="-4.63"/>
        <n v="-4.629"/>
        <n v="-4.625"/>
        <n v="-4.623"/>
        <n v="-4.62"/>
        <n v="-4.618"/>
        <n v="-4.617"/>
        <n v="-4.616"/>
        <n v="-4.614"/>
        <n v="-4.612"/>
        <n v="-4.606"/>
        <n v="-4.603"/>
        <n v="-4.596"/>
        <n v="-4.589"/>
        <n v="-4.586"/>
        <n v="-4.583"/>
        <n v="-4.582"/>
        <n v="-4.578"/>
        <n v="-4.577"/>
        <n v="-4.569"/>
        <n v="-4.568"/>
        <n v="-4.563"/>
        <n v="-4.556"/>
        <n v="-4.554"/>
        <n v="-4.552"/>
        <n v="-4.55"/>
        <n v="-4.547"/>
        <n v="-4.546"/>
        <n v="-4.543"/>
        <n v="-4.541"/>
        <n v="-4.54"/>
        <n v="-4.537"/>
        <n v="-4.534"/>
        <n v="-4.528"/>
        <n v="-4.525"/>
        <n v="-4.524"/>
        <n v="-4.523"/>
        <n v="-4.521"/>
        <n v="-4.518"/>
        <n v="-4.515"/>
        <n v="-4.507"/>
        <n v="-4.505"/>
        <n v="-4.503"/>
        <n v="-4.502"/>
        <n v="-4.501"/>
        <n v="-4.497"/>
        <n v="-4.496"/>
        <n v="-4.493"/>
        <n v="-4.49"/>
        <n v="-4.487"/>
        <n v="-4.485"/>
        <n v="-4.483"/>
        <n v="-4.481"/>
        <n v="-4.475"/>
        <n v="-4.474"/>
        <n v="-4.47"/>
        <n v="-4.467"/>
        <n v="-4.462"/>
        <n v="-4.461"/>
        <n v="-4.459"/>
        <n v="-4.458"/>
        <n v="-4.457"/>
        <n v="-4.456"/>
        <n v="-4.455"/>
        <n v="-4.451"/>
        <n v="-4.45"/>
        <n v="-4.449"/>
        <n v="-4.444"/>
        <n v="-4.442"/>
        <n v="-4.433"/>
        <n v="-4.432"/>
        <n v="-4.428"/>
        <n v="-4.424"/>
        <n v="-4.423"/>
        <n v="-4.419"/>
        <n v="-4.417"/>
        <n v="-4.41"/>
        <n v="-4.399"/>
        <n v="-4.389"/>
        <n v="-4.386"/>
        <n v="-4.382"/>
        <n v="-4.378"/>
        <n v="-4.373"/>
        <n v="-4.372"/>
        <n v="-4.371"/>
        <n v="-4.368"/>
        <n v="-4.365"/>
        <n v="-4.364"/>
        <n v="-4.353"/>
        <n v="-4.348"/>
        <n v="-4.343"/>
        <n v="-4.341"/>
        <n v="-4.339"/>
        <n v="-4.338"/>
        <n v="-4.334"/>
        <n v="-4.333"/>
        <n v="-4.325"/>
        <n v="-4.323"/>
        <n v="-4.321"/>
        <n v="-4.315"/>
        <n v="-4.311"/>
        <n v="-4.305"/>
        <n v="-4.298"/>
        <n v="-4.296"/>
        <n v="-4.292"/>
        <n v="-4.289"/>
        <n v="-4.286"/>
        <n v="-4.285"/>
        <n v="-4.282"/>
        <n v="-4.281"/>
        <n v="-4.278"/>
        <n v="-4.274"/>
        <n v="-4.271"/>
        <n v="-4.269"/>
        <n v="-4.264"/>
        <n v="-4.262"/>
        <n v="-4.261"/>
        <n v="-4.258"/>
        <n v="-4.256"/>
        <n v="-4.254"/>
        <n v="-4.253"/>
        <n v="-4.251"/>
        <n v="-4.249"/>
        <n v="-4.244"/>
        <n v="-4.243"/>
        <n v="-4.241"/>
        <n v="-4.237"/>
        <n v="-4.234"/>
        <n v="-4.231"/>
        <n v="-4.23"/>
        <n v="-4.229"/>
        <n v="-4.226"/>
        <n v="-4.225"/>
        <n v="-4.218"/>
        <n v="-4.217"/>
        <n v="-4.21"/>
        <n v="-4.209"/>
        <n v="-4.208"/>
        <n v="-4.207"/>
        <n v="-4.195"/>
        <n v="-4.194"/>
        <n v="-4.19"/>
        <n v="-4.188"/>
        <n v="-4.183"/>
        <n v="-4.175"/>
        <n v="-4.171"/>
        <n v="-4.17"/>
        <n v="-4.168"/>
        <n v="-4.167"/>
        <n v="-4.166"/>
        <n v="-4.165"/>
        <n v="-4.164"/>
        <n v="-4.162"/>
        <n v="-4.157"/>
        <n v="-4.156"/>
        <n v="-4.154"/>
        <n v="-4.153"/>
        <n v="-4.152"/>
        <n v="-4.15"/>
        <n v="-4.146"/>
        <n v="-4.144"/>
        <n v="-4.143"/>
        <n v="-4.141"/>
        <n v="-4.135"/>
        <n v="-4.13"/>
        <n v="-4.127"/>
        <n v="-4.125"/>
        <n v="-4.123"/>
        <n v="-4.121"/>
        <n v="-4.119"/>
        <n v="-4.11"/>
        <n v="-4.103"/>
        <n v="-4.101"/>
        <n v="-4.1"/>
        <n v="-4.099"/>
        <n v="-4.097"/>
        <n v="-4.094"/>
        <n v="-4.091"/>
        <n v="-4.088"/>
        <n v="-4.087"/>
        <n v="-4.086"/>
        <n v="-4.083"/>
        <n v="-4.081"/>
        <n v="-4.08"/>
        <n v="-4.078"/>
        <n v="-4.076"/>
        <n v="-4.075"/>
        <n v="-4.07"/>
        <n v="-4.068"/>
        <n v="-4.063"/>
        <n v="-4.062"/>
        <n v="-4.061"/>
        <n v="-4.059"/>
        <n v="-4.054"/>
        <n v="-4.052"/>
        <n v="-4.051"/>
        <n v="-4.046"/>
        <n v="-4.045"/>
        <n v="-4.04"/>
        <n v="-4.039"/>
        <n v="-4.038"/>
        <n v="-4.036"/>
        <n v="-4.035"/>
        <n v="-4.032"/>
        <n v="-4.031"/>
        <n v="-4.024"/>
        <n v="-4.023"/>
        <n v="-4.02"/>
        <n v="-4.014"/>
        <n v="-4.013"/>
        <n v="-4.012"/>
        <n v="-4.01"/>
        <n v="-4.006"/>
        <n v="-4.003"/>
        <n v="-3.998"/>
        <n v="-3.991"/>
        <n v="-3.988"/>
        <n v="-3.982"/>
        <n v="-3.977"/>
        <n v="-3.974"/>
        <n v="-3.973"/>
        <n v="-3.972"/>
        <n v="-3.97"/>
        <n v="-3.967"/>
        <n v="-3.966"/>
        <n v="-3.956"/>
        <n v="-3.954"/>
        <n v="-3.953"/>
        <n v="-3.951"/>
        <n v="-3.949"/>
        <n v="-3.947"/>
        <n v="-3.945"/>
        <n v="-3.944"/>
        <n v="-3.942"/>
        <n v="-3.94"/>
        <n v="-3.939"/>
        <n v="-3.935"/>
        <n v="-3.932"/>
        <n v="-3.928"/>
        <n v="-3.927"/>
        <n v="-3.925"/>
        <n v="-3.921"/>
        <n v="-3.919"/>
        <n v="-3.918"/>
        <n v="-3.914"/>
        <n v="-3.912"/>
        <n v="-3.911"/>
        <n v="-3.904"/>
        <n v="-3.9"/>
        <n v="-3.896"/>
        <n v="-3.894"/>
        <n v="-3.892"/>
        <n v="-3.891"/>
        <n v="-3.887"/>
        <n v="-3.882"/>
        <n v="-3.881"/>
        <n v="-3.874"/>
        <n v="-3.873"/>
        <n v="-3.871"/>
        <n v="-3.87"/>
        <n v="-3.866"/>
        <n v="-3.865"/>
        <n v="-3.863"/>
        <n v="-3.862"/>
        <n v="-3.859"/>
        <n v="-3.85"/>
        <n v="-3.846"/>
        <n v="-3.839"/>
        <n v="-3.836"/>
        <n v="-3.835"/>
        <n v="-3.832"/>
        <n v="-3.823"/>
        <n v="-3.818"/>
        <n v="-3.803"/>
        <n v="-3.802"/>
        <n v="-3.799"/>
        <n v="-3.798"/>
        <n v="-3.796"/>
        <n v="-3.791"/>
        <n v="-3.787"/>
        <n v="-3.782"/>
        <n v="-3.781"/>
        <n v="-3.78"/>
        <n v="-3.774"/>
        <n v="-3.769"/>
        <n v="-3.768"/>
        <n v="-3.763"/>
        <n v="-3.756"/>
        <n v="-3.755"/>
        <n v="-3.753"/>
        <n v="-3.752"/>
        <n v="-3.75"/>
        <n v="-3.744"/>
        <n v="-3.742"/>
        <n v="-3.74"/>
        <n v="-3.739"/>
        <n v="-3.731"/>
        <n v="-3.729"/>
        <n v="-3.727"/>
        <n v="-3.726"/>
        <n v="-3.724"/>
        <n v="-3.716"/>
        <n v="-3.715"/>
        <n v="-3.714"/>
        <n v="-3.713"/>
        <n v="-3.708"/>
        <n v="-3.702"/>
        <n v="-3.697"/>
        <n v="-3.696"/>
        <n v="-3.695"/>
        <n v="-3.692"/>
        <n v="-3.689"/>
        <n v="-3.688"/>
        <n v="-3.686"/>
        <n v="-3.685"/>
        <n v="-3.684"/>
        <n v="-3.681"/>
        <n v="-3.68"/>
        <n v="-3.677"/>
        <n v="-3.674"/>
        <n v="-3.672"/>
        <n v="-3.669"/>
        <n v="-3.667"/>
        <n v="-3.66"/>
        <n v="-3.657"/>
        <n v="-3.651"/>
        <n v="-3.647"/>
        <n v="-3.645"/>
        <n v="-3.641"/>
        <n v="-3.638"/>
        <n v="-3.632"/>
        <n v="-3.631"/>
        <n v="-3.626"/>
        <n v="-3.617"/>
        <n v="-3.616"/>
        <n v="-3.614"/>
        <n v="-3.61"/>
        <n v="-3.607"/>
        <n v="-3.6"/>
        <n v="-3.599"/>
        <n v="-3.587"/>
        <n v="-3.579"/>
        <n v="-3.578"/>
        <n v="-3.567"/>
        <n v="-3.565"/>
        <n v="-3.56"/>
        <n v="-3.557"/>
        <n v="-3.554"/>
        <n v="-3.552"/>
        <n v="-3.541"/>
        <n v="-3.539"/>
        <n v="-3.538"/>
        <n v="-3.527"/>
        <n v="-3.525"/>
        <n v="-3.523"/>
        <n v="-3.52"/>
        <n v="-3.519"/>
        <n v="-3.515"/>
        <n v="-3.512"/>
        <n v="-3.51"/>
        <n v="-3.509"/>
        <n v="-3.502"/>
        <n v="-3.499"/>
        <n v="-3.497"/>
        <n v="-3.495"/>
        <n v="-3.489"/>
        <n v="-3.486"/>
        <n v="-3.476"/>
        <n v="-3.475"/>
        <n v="-3.472"/>
        <n v="-3.464"/>
        <n v="-3.462"/>
        <n v="-3.456"/>
        <n v="-3.451"/>
        <n v="-3.446"/>
        <n v="-3.445"/>
        <n v="-3.443"/>
        <n v="-3.442"/>
        <n v="-3.435"/>
        <n v="-3.428"/>
        <n v="-3.425"/>
        <n v="-3.417"/>
        <n v="-3.416"/>
        <n v="-3.409"/>
        <n v="-3.406"/>
        <n v="-3.405"/>
        <n v="-3.399"/>
        <n v="-3.398"/>
        <n v="-3.386"/>
        <n v="-3.383"/>
        <n v="-3.382"/>
        <n v="-3.37"/>
        <n v="-3.365"/>
        <n v="-3.364"/>
        <n v="-3.363"/>
        <n v="-3.358"/>
        <n v="-3.347"/>
        <n v="-3.344"/>
        <n v="-3.34"/>
        <n v="-3.321"/>
        <n v="-3.32"/>
        <n v="-3.318"/>
        <n v="-3.309"/>
        <n v="-3.304"/>
        <n v="-3.302"/>
        <n v="-3.295"/>
        <n v="-3.293"/>
        <n v="-3.292"/>
        <n v="-3.284"/>
        <n v="-3.267"/>
        <n v="-3.265"/>
        <n v="-3.263"/>
        <n v="-3.261"/>
        <n v="-3.254"/>
        <n v="-3.241"/>
        <n v="-3.24"/>
        <n v="-3.237"/>
        <n v="-3.226"/>
        <n v="-3.218"/>
        <n v="-3.215"/>
        <n v="-3.214"/>
        <n v="-3.208"/>
        <n v="-3.206"/>
        <n v="-3.205"/>
        <n v="-3.201"/>
        <n v="-3.198"/>
        <n v="-3.196"/>
        <n v="-3.188"/>
        <n v="-3.183"/>
        <n v="-3.18"/>
        <n v="-3.173"/>
        <n v="-3.17"/>
        <n v="-3.161"/>
        <n v="-3.159"/>
        <n v="-3.152"/>
        <n v="-3.15"/>
        <n v="-3.148"/>
        <n v="-3.145"/>
        <n v="-3.141"/>
        <n v="-3.14"/>
        <n v="-3.132"/>
        <n v="-3.131"/>
        <n v="-3.126"/>
        <n v="-3.124"/>
        <n v="-3.121"/>
        <n v="-3.113"/>
        <n v="-3.112"/>
        <n v="-3.109"/>
        <n v="-3.108"/>
        <n v="-3.105"/>
        <n v="-3.104"/>
        <n v="-3.103"/>
        <n v="-3.094"/>
        <n v="-3.093"/>
        <n v="-3.092"/>
        <n v="-3.09"/>
        <n v="-3.084"/>
        <n v="-3.081"/>
        <n v="-3.079"/>
        <n v="-3.078"/>
        <n v="-3.073"/>
        <n v="-3.07"/>
        <n v="-3.063"/>
        <n v="-3.061"/>
        <n v="-3.06"/>
        <n v="-3.054"/>
        <n v="-3.049"/>
        <n v="-3.041"/>
        <n v="-3.04"/>
        <n v="-3.036"/>
        <n v="-3.035"/>
        <n v="-3.024"/>
        <n v="-3.023"/>
        <n v="-3.015"/>
        <n v="-3.011"/>
        <n v="-3.006"/>
        <n v="-3.004"/>
        <n v="-2.996"/>
        <n v="-2.99"/>
        <n v="-2.986"/>
        <n v="-2.983"/>
        <n v="-2.974"/>
        <n v="-2.963"/>
        <n v="-2.959"/>
        <n v="-2.948"/>
        <n v="-2.944"/>
        <n v="-2.942"/>
        <n v="-2.932"/>
        <n v="-2.92"/>
        <n v="-2.919"/>
        <n v="-2.915"/>
        <n v="-2.914"/>
        <n v="-2.896"/>
        <n v="-2.881"/>
        <n v="-2.88"/>
        <n v="-2.871"/>
        <n v="-2.868"/>
        <n v="-2.867"/>
        <n v="-2.862"/>
        <n v="-2.86"/>
        <n v="-2.853"/>
        <n v="-2.842"/>
        <n v="-2.827"/>
        <n v="-2.82"/>
        <n v="-2.81"/>
        <n v="-2.806"/>
        <n v="-2.787"/>
        <n v="-2.776"/>
        <n v="-2.773"/>
        <n v="-2.771"/>
        <n v="-2.76"/>
        <n v="-2.752"/>
        <n v="-2.749"/>
        <n v="-2.734"/>
        <n v="-2.729"/>
        <n v="-2.728"/>
        <n v="-2.718"/>
        <n v="-2.69"/>
        <n v="-2.686"/>
        <n v="-2.673"/>
        <n v="-2.671"/>
        <n v="-2.652"/>
        <n v="-2.634"/>
        <n v="-2.632"/>
        <n v="-2.628"/>
        <n v="-2.623"/>
        <n v="-2.61"/>
        <n v="-2.571"/>
        <n v="-2.569"/>
        <n v="-2.557"/>
        <n v="-2.552"/>
        <n v="-2.528"/>
        <n v="-2.513"/>
        <n v="-2.512"/>
        <n v="-2.505"/>
        <n v="-2.494"/>
        <n v="-2.458"/>
        <n v="-2.457"/>
        <n v="-2.433"/>
        <n v="-2.429"/>
        <n v="-2.423"/>
        <n v="-2.407"/>
        <n v="-2.396"/>
        <n v="-2.384"/>
        <n v="-2.36"/>
        <n v="-2.336"/>
        <n v="-2.302"/>
        <n v="-2.281"/>
        <n v="-2.28"/>
        <n v="-2.278"/>
        <n v="-2.266"/>
        <n v="-2.261"/>
        <n v="-2.253"/>
        <n v="-2.221"/>
        <n v="-2.215"/>
        <n v="-2.208"/>
        <n v="-2.189"/>
        <n v="-2.18"/>
        <n v="-2.125"/>
        <n v="-2.063"/>
        <n v="-2.042"/>
        <n v="-2.027"/>
        <n v="-1.966"/>
        <n v="-1.925"/>
        <n v="-1.921"/>
        <n v="-1.916"/>
        <n v="-1.802"/>
        <n v="-1.73"/>
        <n v="-1.729"/>
        <n v="-1.702"/>
        <n v="-1.569"/>
        <n v="-1.538"/>
        <n v="-1.357"/>
        <n v="-1.299"/>
        <n v="-1.231"/>
        <n v="-1.203"/>
        <n v="-1.19"/>
        <n v="-1.131"/>
        <n v="-0.74"/>
        <n v="-0.276"/>
      </sharedItems>
    </cacheField>
    <cacheField name="speechiness" numFmtId="0">
      <sharedItems containsSemiMixedTypes="0" containsString="0" containsNumber="1" minValue="0.0232" maxValue="0.576" count="837">
        <n v="0.0232"/>
        <n v="0.0239"/>
        <n v="0.0241"/>
        <n v="0.0242"/>
        <n v="0.0245"/>
        <n v="0.0247"/>
        <n v="0.0249"/>
        <n v="0.0252"/>
        <n v="0.0253"/>
        <n v="0.0255"/>
        <n v="0.0258"/>
        <n v="0.0259"/>
        <n v="0.026"/>
        <n v="0.0261"/>
        <n v="0.0262"/>
        <n v="0.0265"/>
        <n v="0.0267"/>
        <n v="0.0268"/>
        <n v="0.0269"/>
        <n v="0.027"/>
        <n v="0.0271"/>
        <n v="0.0272"/>
        <n v="0.0274"/>
        <n v="0.0275"/>
        <n v="0.0276"/>
        <n v="0.0277"/>
        <n v="0.0278"/>
        <n v="0.0279"/>
        <n v="0.028"/>
        <n v="0.0281"/>
        <n v="0.0282"/>
        <n v="0.0283"/>
        <n v="0.0284"/>
        <n v="0.0285"/>
        <n v="0.0286"/>
        <n v="0.0287"/>
        <n v="0.0288"/>
        <n v="0.0289"/>
        <n v="0.029"/>
        <n v="0.0291"/>
        <n v="0.0292"/>
        <n v="0.0293"/>
        <n v="0.0294"/>
        <n v="0.0295"/>
        <n v="0.0296"/>
        <n v="0.0297"/>
        <n v="0.0298"/>
        <n v="0.0299"/>
        <n v="0.03"/>
        <n v="0.0301"/>
        <n v="0.0302"/>
        <n v="0.0303"/>
        <n v="0.0304"/>
        <n v="0.0305"/>
        <n v="0.0306"/>
        <n v="0.0307"/>
        <n v="0.0308"/>
        <n v="0.0309"/>
        <n v="0.031"/>
        <n v="0.0311"/>
        <n v="0.0312"/>
        <n v="0.0313"/>
        <n v="0.0314"/>
        <n v="0.0315"/>
        <n v="0.0316"/>
        <n v="0.0317"/>
        <n v="0.0318"/>
        <n v="0.0319"/>
        <n v="0.032"/>
        <n v="0.0321"/>
        <n v="0.0322"/>
        <n v="0.0323"/>
        <n v="0.0324"/>
        <n v="0.0325"/>
        <n v="0.0327"/>
        <n v="0.0328"/>
        <n v="0.0329"/>
        <n v="0.033"/>
        <n v="0.0331"/>
        <n v="0.0332"/>
        <n v="0.0333"/>
        <n v="0.0334"/>
        <n v="0.0335"/>
        <n v="0.0336"/>
        <n v="0.0337"/>
        <n v="0.0338"/>
        <n v="0.0339"/>
        <n v="0.034"/>
        <n v="0.0341"/>
        <n v="0.0342"/>
        <n v="0.0343"/>
        <n v="0.0344"/>
        <n v="0.0345"/>
        <n v="0.0346"/>
        <n v="0.0347"/>
        <n v="0.0348"/>
        <n v="0.0349"/>
        <n v="0.035"/>
        <n v="0.0352"/>
        <n v="0.0353"/>
        <n v="0.0354"/>
        <n v="0.0355"/>
        <n v="0.0356"/>
        <n v="0.0357"/>
        <n v="0.0358"/>
        <n v="0.036"/>
        <n v="0.0361"/>
        <n v="0.0362"/>
        <n v="0.0363"/>
        <n v="0.0364"/>
        <n v="0.0365"/>
        <n v="0.0366"/>
        <n v="0.0367"/>
        <n v="0.0368"/>
        <n v="0.0369"/>
        <n v="0.0371"/>
        <n v="0.0372"/>
        <n v="0.0373"/>
        <n v="0.0374"/>
        <n v="0.0375"/>
        <n v="0.0376"/>
        <n v="0.0377"/>
        <n v="0.0378"/>
        <n v="0.0379"/>
        <n v="0.038"/>
        <n v="0.0381"/>
        <n v="0.0382"/>
        <n v="0.0383"/>
        <n v="0.0384"/>
        <n v="0.0385"/>
        <n v="0.0386"/>
        <n v="0.0387"/>
        <n v="0.0388"/>
        <n v="0.0389"/>
        <n v="0.039"/>
        <n v="0.0391"/>
        <n v="0.0392"/>
        <n v="0.0393"/>
        <n v="0.0394"/>
        <n v="0.0395"/>
        <n v="0.0396"/>
        <n v="0.0397"/>
        <n v="0.0399"/>
        <n v="0.04"/>
        <n v="0.0401"/>
        <n v="0.0402"/>
        <n v="0.0403"/>
        <n v="0.0404"/>
        <n v="0.0405"/>
        <n v="0.0406"/>
        <n v="0.0407"/>
        <n v="0.0408"/>
        <n v="0.0409"/>
        <n v="0.041"/>
        <n v="0.0411"/>
        <n v="0.0413"/>
        <n v="0.0414"/>
        <n v="0.0415"/>
        <n v="0.0416"/>
        <n v="0.0417"/>
        <n v="0.0418"/>
        <n v="0.0419"/>
        <n v="0.042"/>
        <n v="0.0421"/>
        <n v="0.0422"/>
        <n v="0.0423"/>
        <n v="0.0424"/>
        <n v="0.0425"/>
        <n v="0.0426"/>
        <n v="0.0427"/>
        <n v="0.0428"/>
        <n v="0.0429"/>
        <n v="0.043"/>
        <n v="0.0431"/>
        <n v="0.0432"/>
        <n v="0.0433"/>
        <n v="0.0434"/>
        <n v="0.0435"/>
        <n v="0.0436"/>
        <n v="0.0437"/>
        <n v="0.0438"/>
        <n v="0.0439"/>
        <n v="0.044"/>
        <n v="0.0441"/>
        <n v="0.0443"/>
        <n v="0.0444"/>
        <n v="0.0445"/>
        <n v="0.0446"/>
        <n v="0.0447"/>
        <n v="0.0448"/>
        <n v="0.0449"/>
        <n v="0.045"/>
        <n v="0.0451"/>
        <n v="0.0452"/>
        <n v="0.0453"/>
        <n v="0.0454"/>
        <n v="0.0455"/>
        <n v="0.0456"/>
        <n v="0.0457"/>
        <n v="0.0458"/>
        <n v="0.0459"/>
        <n v="0.046"/>
        <n v="0.0461"/>
        <n v="0.0462"/>
        <n v="0.0463"/>
        <n v="0.0464"/>
        <n v="0.0465"/>
        <n v="0.0466"/>
        <n v="0.0467"/>
        <n v="0.0468"/>
        <n v="0.0469"/>
        <n v="0.047"/>
        <n v="0.0472"/>
        <n v="0.0473"/>
        <n v="0.0474"/>
        <n v="0.0475"/>
        <n v="0.0476"/>
        <n v="0.0477"/>
        <n v="0.0478"/>
        <n v="0.0479"/>
        <n v="0.0481"/>
        <n v="0.0482"/>
        <n v="0.0483"/>
        <n v="0.0484"/>
        <n v="0.0485"/>
        <n v="0.0486"/>
        <n v="0.0487"/>
        <n v="0.0488"/>
        <n v="0.0489"/>
        <n v="0.049"/>
        <n v="0.0491"/>
        <n v="0.0492"/>
        <n v="0.0493"/>
        <n v="0.0494"/>
        <n v="0.0495"/>
        <n v="0.0496"/>
        <n v="0.0497"/>
        <n v="0.0499"/>
        <n v="0.05"/>
        <n v="0.0501"/>
        <n v="0.0502"/>
        <n v="0.0503"/>
        <n v="0.0504"/>
        <n v="0.0505"/>
        <n v="0.0506"/>
        <n v="0.0507"/>
        <n v="0.0508"/>
        <n v="0.0509"/>
        <n v="0.051"/>
        <n v="0.0511"/>
        <n v="0.0512"/>
        <n v="0.0513"/>
        <n v="0.0514"/>
        <n v="0.0515"/>
        <n v="0.0516"/>
        <n v="0.0517"/>
        <n v="0.0518"/>
        <n v="0.0519"/>
        <n v="0.052"/>
        <n v="0.0521"/>
        <n v="0.0522"/>
        <n v="0.0523"/>
        <n v="0.0524"/>
        <n v="0.0525"/>
        <n v="0.0526"/>
        <n v="0.0527"/>
        <n v="0.0528"/>
        <n v="0.053"/>
        <n v="0.0531"/>
        <n v="0.0532"/>
        <n v="0.0533"/>
        <n v="0.0534"/>
        <n v="0.0535"/>
        <n v="0.0536"/>
        <n v="0.0537"/>
        <n v="0.0538"/>
        <n v="0.0539"/>
        <n v="0.054"/>
        <n v="0.0542"/>
        <n v="0.0543"/>
        <n v="0.0544"/>
        <n v="0.0545"/>
        <n v="0.0547"/>
        <n v="0.0548"/>
        <n v="0.0549"/>
        <n v="0.0551"/>
        <n v="0.0552"/>
        <n v="0.0553"/>
        <n v="0.0554"/>
        <n v="0.0555"/>
        <n v="0.0556"/>
        <n v="0.0558"/>
        <n v="0.056"/>
        <n v="0.0561"/>
        <n v="0.0562"/>
        <n v="0.0563"/>
        <n v="0.0564"/>
        <n v="0.0565"/>
        <n v="0.0567"/>
        <n v="0.0568"/>
        <n v="0.0569"/>
        <n v="0.057"/>
        <n v="0.0571"/>
        <n v="0.0572"/>
        <n v="0.0573"/>
        <n v="0.0574"/>
        <n v="0.0575"/>
        <n v="0.0576"/>
        <n v="0.0577"/>
        <n v="0.058"/>
        <n v="0.0581"/>
        <n v="0.0582"/>
        <n v="0.0583"/>
        <n v="0.0584"/>
        <n v="0.0585"/>
        <n v="0.0586"/>
        <n v="0.0587"/>
        <n v="0.0588"/>
        <n v="0.0589"/>
        <n v="0.0591"/>
        <n v="0.0592"/>
        <n v="0.0593"/>
        <n v="0.0594"/>
        <n v="0.0595"/>
        <n v="0.0596"/>
        <n v="0.0597"/>
        <n v="0.0598"/>
        <n v="0.0599"/>
        <n v="0.0601"/>
        <n v="0.0602"/>
        <n v="0.0603"/>
        <n v="0.0605"/>
        <n v="0.0608"/>
        <n v="0.0609"/>
        <n v="0.061"/>
        <n v="0.0612"/>
        <n v="0.0613"/>
        <n v="0.0614"/>
        <n v="0.0615"/>
        <n v="0.0617"/>
        <n v="0.0618"/>
        <n v="0.0619"/>
        <n v="0.062"/>
        <n v="0.0621"/>
        <n v="0.0622"/>
        <n v="0.0623"/>
        <n v="0.0624"/>
        <n v="0.0625"/>
        <n v="0.0627"/>
        <n v="0.0628"/>
        <n v="0.0629"/>
        <n v="0.0631"/>
        <n v="0.0632"/>
        <n v="0.0633"/>
        <n v="0.0634"/>
        <n v="0.0635"/>
        <n v="0.0636"/>
        <n v="0.0637"/>
        <n v="0.0638"/>
        <n v="0.0639"/>
        <n v="0.064"/>
        <n v="0.0641"/>
        <n v="0.0642"/>
        <n v="0.0643"/>
        <n v="0.0644"/>
        <n v="0.0645"/>
        <n v="0.0646"/>
        <n v="0.0649"/>
        <n v="0.0652"/>
        <n v="0.0653"/>
        <n v="0.0654"/>
        <n v="0.0655"/>
        <n v="0.0656"/>
        <n v="0.0659"/>
        <n v="0.0661"/>
        <n v="0.0663"/>
        <n v="0.0664"/>
        <n v="0.0665"/>
        <n v="0.0666"/>
        <n v="0.0669"/>
        <n v="0.0671"/>
        <n v="0.0672"/>
        <n v="0.0674"/>
        <n v="0.0675"/>
        <n v="0.0676"/>
        <n v="0.0677"/>
        <n v="0.0678"/>
        <n v="0.0682"/>
        <n v="0.0684"/>
        <n v="0.0685"/>
        <n v="0.0687"/>
        <n v="0.0688"/>
        <n v="0.0689"/>
        <n v="0.069"/>
        <n v="0.0691"/>
        <n v="0.0692"/>
        <n v="0.0693"/>
        <n v="0.0695"/>
        <n v="0.0696"/>
        <n v="0.0697"/>
        <n v="0.0698"/>
        <n v="0.0699"/>
        <n v="0.0703"/>
        <n v="0.0704"/>
        <n v="0.0705"/>
        <n v="0.0706"/>
        <n v="0.0707"/>
        <n v="0.0708"/>
        <n v="0.0709"/>
        <n v="0.071"/>
        <n v="0.0711"/>
        <n v="0.0712"/>
        <n v="0.0713"/>
        <n v="0.0714"/>
        <n v="0.0715"/>
        <n v="0.0717"/>
        <n v="0.0719"/>
        <n v="0.0721"/>
        <n v="0.0722"/>
        <n v="0.0726"/>
        <n v="0.0727"/>
        <n v="0.0728"/>
        <n v="0.0729"/>
        <n v="0.0731"/>
        <n v="0.0732"/>
        <n v="0.0734"/>
        <n v="0.0735"/>
        <n v="0.0736"/>
        <n v="0.0737"/>
        <n v="0.0738"/>
        <n v="0.074"/>
        <n v="0.0741"/>
        <n v="0.0742"/>
        <n v="0.0743"/>
        <n v="0.0745"/>
        <n v="0.0747"/>
        <n v="0.0748"/>
        <n v="0.075"/>
        <n v="0.0751"/>
        <n v="0.0752"/>
        <n v="0.0753"/>
        <n v="0.0756"/>
        <n v="0.0757"/>
        <n v="0.0758"/>
        <n v="0.076"/>
        <n v="0.0762"/>
        <n v="0.0763"/>
        <n v="0.0764"/>
        <n v="0.0766"/>
        <n v="0.077"/>
        <n v="0.0771"/>
        <n v="0.0773"/>
        <n v="0.0774"/>
        <n v="0.0775"/>
        <n v="0.0776"/>
        <n v="0.0777"/>
        <n v="0.0778"/>
        <n v="0.0779"/>
        <n v="0.0781"/>
        <n v="0.0783"/>
        <n v="0.0785"/>
        <n v="0.0786"/>
        <n v="0.0787"/>
        <n v="0.0789"/>
        <n v="0.0791"/>
        <n v="0.0792"/>
        <n v="0.0793"/>
        <n v="0.0797"/>
        <n v="0.0798"/>
        <n v="0.0801"/>
        <n v="0.0802"/>
        <n v="0.0803"/>
        <n v="0.0804"/>
        <n v="0.0805"/>
        <n v="0.0806"/>
        <n v="0.0808"/>
        <n v="0.081"/>
        <n v="0.0813"/>
        <n v="0.0815"/>
        <n v="0.0816"/>
        <n v="0.0817"/>
        <n v="0.0818"/>
        <n v="0.082"/>
        <n v="0.0824"/>
        <n v="0.0825"/>
        <n v="0.0828"/>
        <n v="0.0831"/>
        <n v="0.0833"/>
        <n v="0.0835"/>
        <n v="0.0838"/>
        <n v="0.0841"/>
        <n v="0.0842"/>
        <n v="0.0844"/>
        <n v="0.0847"/>
        <n v="0.0851"/>
        <n v="0.0853"/>
        <n v="0.0857"/>
        <n v="0.0858"/>
        <n v="0.0859"/>
        <n v="0.086"/>
        <n v="0.0863"/>
        <n v="0.0867"/>
        <n v="0.0868"/>
        <n v="0.087"/>
        <n v="0.0872"/>
        <n v="0.0873"/>
        <n v="0.0874"/>
        <n v="0.0876"/>
        <n v="0.0878"/>
        <n v="0.088"/>
        <n v="0.0882"/>
        <n v="0.0884"/>
        <n v="0.0885"/>
        <n v="0.0889"/>
        <n v="0.089"/>
        <n v="0.0892"/>
        <n v="0.0893"/>
        <n v="0.0894"/>
        <n v="0.0897"/>
        <n v="0.0898"/>
        <n v="0.0901"/>
        <n v="0.0903"/>
        <n v="0.0905"/>
        <n v="0.0906"/>
        <n v="0.0908"/>
        <n v="0.0909"/>
        <n v="0.091"/>
        <n v="0.0911"/>
        <n v="0.0912"/>
        <n v="0.0914"/>
        <n v="0.0916"/>
        <n v="0.0917"/>
        <n v="0.0922"/>
        <n v="0.0924"/>
        <n v="0.0925"/>
        <n v="0.0926"/>
        <n v="0.0927"/>
        <n v="0.0929"/>
        <n v="0.093"/>
        <n v="0.0933"/>
        <n v="0.0939"/>
        <n v="0.0943"/>
        <n v="0.0946"/>
        <n v="0.0948"/>
        <n v="0.0956"/>
        <n v="0.0959"/>
        <n v="0.0961"/>
        <n v="0.0963"/>
        <n v="0.0964"/>
        <n v="0.0965"/>
        <n v="0.0968"/>
        <n v="0.0972"/>
        <n v="0.0973"/>
        <n v="0.0976"/>
        <n v="0.0981"/>
        <n v="0.0982"/>
        <n v="0.0984"/>
        <n v="0.0989"/>
        <n v="0.099"/>
        <n v="0.0991"/>
        <n v="0.0993"/>
        <n v="0.0995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9"/>
        <n v="0.18"/>
        <n v="0.181"/>
        <n v="0.182"/>
        <n v="0.183"/>
        <n v="0.184"/>
        <n v="0.185"/>
        <n v="0.186"/>
        <n v="0.187"/>
        <n v="0.188"/>
        <n v="0.189"/>
        <n v="0.19"/>
        <n v="0.191"/>
        <n v="0.192"/>
        <n v="0.193"/>
        <n v="0.194"/>
        <n v="0.195"/>
        <n v="0.196"/>
        <n v="0.197"/>
        <n v="0.199"/>
        <n v="0.2"/>
        <n v="0.201"/>
        <n v="0.202"/>
        <n v="0.203"/>
        <n v="0.206"/>
        <n v="0.207"/>
        <n v="0.208"/>
        <n v="0.209"/>
        <n v="0.21"/>
        <n v="0.211"/>
        <n v="0.213"/>
        <n v="0.214"/>
        <n v="0.215"/>
        <n v="0.216"/>
        <n v="0.217"/>
        <n v="0.218"/>
        <n v="0.219"/>
        <n v="0.22"/>
        <n v="0.221"/>
        <n v="0.222"/>
        <n v="0.223"/>
        <n v="0.224"/>
        <n v="0.225"/>
        <n v="0.226"/>
        <n v="0.227"/>
        <n v="0.228"/>
        <n v="0.229"/>
        <n v="0.23"/>
        <n v="0.231"/>
        <n v="0.232"/>
        <n v="0.233"/>
        <n v="0.234"/>
        <n v="0.235"/>
        <n v="0.236"/>
        <n v="0.237"/>
        <n v="0.238"/>
        <n v="0.239"/>
        <n v="0.24"/>
        <n v="0.241"/>
        <n v="0.242"/>
        <n v="0.243"/>
        <n v="0.244"/>
        <n v="0.245"/>
        <n v="0.246"/>
        <n v="0.247"/>
        <n v="0.248"/>
        <n v="0.249"/>
        <n v="0.25"/>
        <n v="0.251"/>
        <n v="0.253"/>
        <n v="0.254"/>
        <n v="0.255"/>
        <n v="0.257"/>
        <n v="0.258"/>
        <n v="0.259"/>
        <n v="0.262"/>
        <n v="0.263"/>
        <n v="0.264"/>
        <n v="0.265"/>
        <n v="0.266"/>
        <n v="0.268"/>
        <n v="0.269"/>
        <n v="0.27"/>
        <n v="0.271"/>
        <n v="0.272"/>
        <n v="0.274"/>
        <n v="0.275"/>
        <n v="0.276"/>
        <n v="0.277"/>
        <n v="0.278"/>
        <n v="0.279"/>
        <n v="0.28"/>
        <n v="0.282"/>
        <n v="0.283"/>
        <n v="0.286"/>
        <n v="0.287"/>
        <n v="0.289"/>
        <n v="0.29"/>
        <n v="0.291"/>
        <n v="0.293"/>
        <n v="0.294"/>
        <n v="0.295"/>
        <n v="0.296"/>
        <n v="0.297"/>
        <n v="0.298"/>
        <n v="0.299"/>
        <n v="0.3"/>
        <n v="0.302"/>
        <n v="0.303"/>
        <n v="0.304"/>
        <n v="0.306"/>
        <n v="0.307"/>
        <n v="0.309"/>
        <n v="0.31"/>
        <n v="0.311"/>
        <n v="0.314"/>
        <n v="0.315"/>
        <n v="0.316"/>
        <n v="0.317"/>
        <n v="0.318"/>
        <n v="0.319"/>
        <n v="0.32"/>
        <n v="0.321"/>
        <n v="0.322"/>
        <n v="0.323"/>
        <n v="0.325"/>
        <n v="0.326"/>
        <n v="0.329"/>
        <n v="0.33"/>
        <n v="0.331"/>
        <n v="0.332"/>
        <n v="0.333"/>
        <n v="0.334"/>
        <n v="0.336"/>
        <n v="0.339"/>
        <n v="0.341"/>
        <n v="0.342"/>
        <n v="0.343"/>
        <n v="0.344"/>
        <n v="0.346"/>
        <n v="0.347"/>
        <n v="0.348"/>
        <n v="0.349"/>
        <n v="0.35"/>
        <n v="0.352"/>
        <n v="0.354"/>
        <n v="0.355"/>
        <n v="0.356"/>
        <n v="0.357"/>
        <n v="0.358"/>
        <n v="0.359"/>
        <n v="0.36"/>
        <n v="0.361"/>
        <n v="0.362"/>
        <n v="0.363"/>
        <n v="0.365"/>
        <n v="0.366"/>
        <n v="0.37"/>
        <n v="0.371"/>
        <n v="0.372"/>
        <n v="0.375"/>
        <n v="0.378"/>
        <n v="0.382"/>
        <n v="0.392"/>
        <n v="0.401"/>
        <n v="0.402"/>
        <n v="0.404"/>
        <n v="0.406"/>
        <n v="0.409"/>
        <n v="0.41"/>
        <n v="0.412"/>
        <n v="0.415"/>
        <n v="0.416"/>
        <n v="0.42"/>
        <n v="0.426"/>
        <n v="0.428"/>
        <n v="0.43"/>
        <n v="0.431"/>
        <n v="0.438"/>
        <n v="0.449"/>
        <n v="0.452"/>
        <n v="0.458"/>
        <n v="0.461"/>
        <n v="0.463"/>
        <n v="0.466"/>
        <n v="0.467"/>
        <n v="0.47"/>
        <n v="0.478"/>
        <n v="0.483"/>
        <n v="0.484"/>
        <n v="0.488"/>
        <n v="0.505"/>
        <n v="0.516"/>
        <n v="0.53"/>
        <n v="0.576"/>
      </sharedItems>
    </cacheField>
    <cacheField name="acousticness" numFmtId="0">
      <sharedItems containsSemiMixedTypes="0" containsString="0" containsNumber="1" minValue="1.92E-005" maxValue="0.976" count="1208">
        <n v="1.92E-005"/>
        <n v="2.06E-005"/>
        <n v="2.64E-005"/>
        <n v="3.82E-005"/>
        <n v="4.14E-005"/>
        <n v="5.15E-005"/>
        <n v="5.48E-005"/>
        <n v="6.52E-005"/>
        <n v="6.79E-005"/>
        <n v="7.95E-005"/>
        <n v="8.15E-005"/>
        <n v="8.67E-005"/>
        <n v="0.000101"/>
        <n v="0.000102"/>
        <n v="0.000107"/>
        <n v="0.000109"/>
        <n v="0.000127"/>
        <n v="0.000132"/>
        <n v="0.000138"/>
        <n v="0.000155"/>
        <n v="0.000172"/>
        <n v="0.000176"/>
        <n v="0.000177"/>
        <n v="0.000182"/>
        <n v="0.000185"/>
        <n v="0.000189"/>
        <n v="0.000202"/>
        <n v="0.000204"/>
        <n v="0.000211"/>
        <n v="0.000213"/>
        <n v="0.00022"/>
        <n v="0.00023"/>
        <n v="0.000233"/>
        <n v="0.000235"/>
        <n v="0.000238"/>
        <n v="0.000239"/>
        <n v="0.000241"/>
        <n v="0.000243"/>
        <n v="0.000262"/>
        <n v="0.000289"/>
        <n v="0.000298"/>
        <n v="0.000315"/>
        <n v="0.000323"/>
        <n v="0.000334"/>
        <n v="0.000337"/>
        <n v="0.00034"/>
        <n v="0.000343"/>
        <n v="0.000354"/>
        <n v="0.000369"/>
        <n v="0.000385"/>
        <n v="0.000397"/>
        <n v="0.000409"/>
        <n v="0.000417"/>
        <n v="0.000418"/>
        <n v="0.000424"/>
        <n v="0.00043"/>
        <n v="0.000431"/>
        <n v="0.000441"/>
        <n v="0.000516"/>
        <n v="0.00052"/>
        <n v="0.000526"/>
        <n v="0.000563"/>
        <n v="0.000569"/>
        <n v="0.000603"/>
        <n v="0.000616"/>
        <n v="0.000624"/>
        <n v="0.000665"/>
        <n v="0.000673"/>
        <n v="0.000677"/>
        <n v="0.000681"/>
        <n v="0.000683"/>
        <n v="0.000688"/>
        <n v="0.0007"/>
        <n v="0.000704"/>
        <n v="0.000722"/>
        <n v="0.000731"/>
        <n v="0.000738"/>
        <n v="0.000739"/>
        <n v="0.000747"/>
        <n v="0.000748"/>
        <n v="0.00076"/>
        <n v="0.000769"/>
        <n v="0.000787"/>
        <n v="0.000792"/>
        <n v="0.000802"/>
        <n v="0.000813"/>
        <n v="0.000821"/>
        <n v="0.00083"/>
        <n v="0.000839"/>
        <n v="0.000915"/>
        <n v="0.000917"/>
        <n v="0.000932"/>
        <n v="0.000939"/>
        <n v="0.000941"/>
        <n v="0.000966"/>
        <n v="0.000969"/>
        <n v="0.000972"/>
        <n v="0.000986"/>
        <n v="0.00101"/>
        <n v="0.00102"/>
        <n v="0.00104"/>
        <n v="0.00106"/>
        <n v="0.00107"/>
        <n v="0.0011"/>
        <n v="0.00112"/>
        <n v="0.00115"/>
        <n v="0.00116"/>
        <n v="0.00117"/>
        <n v="0.0012"/>
        <n v="0.00121"/>
        <n v="0.00125"/>
        <n v="0.00127"/>
        <n v="0.00128"/>
        <n v="0.00129"/>
        <n v="0.00131"/>
        <n v="0.00132"/>
        <n v="0.00133"/>
        <n v="0.00135"/>
        <n v="0.00136"/>
        <n v="0.00137"/>
        <n v="0.00138"/>
        <n v="0.0014"/>
        <n v="0.00141"/>
        <n v="0.00143"/>
        <n v="0.00144"/>
        <n v="0.00145"/>
        <n v="0.00149"/>
        <n v="0.0015"/>
        <n v="0.00153"/>
        <n v="0.00163"/>
        <n v="0.00165"/>
        <n v="0.00166"/>
        <n v="0.00167"/>
        <n v="0.0017"/>
        <n v="0.00172"/>
        <n v="0.00175"/>
        <n v="0.00176"/>
        <n v="0.00177"/>
        <n v="0.00179"/>
        <n v="0.00181"/>
        <n v="0.00184"/>
        <n v="0.00185"/>
        <n v="0.00188"/>
        <n v="0.00189"/>
        <n v="0.00192"/>
        <n v="0.00193"/>
        <n v="0.00194"/>
        <n v="0.00201"/>
        <n v="0.00202"/>
        <n v="0.00204"/>
        <n v="0.00205"/>
        <n v="0.00206"/>
        <n v="0.00215"/>
        <n v="0.00216"/>
        <n v="0.00218"/>
        <n v="0.0022"/>
        <n v="0.00221"/>
        <n v="0.00223"/>
        <n v="0.00225"/>
        <n v="0.00232"/>
        <n v="0.00234"/>
        <n v="0.00237"/>
        <n v="0.00242"/>
        <n v="0.00245"/>
        <n v="0.00248"/>
        <n v="0.00249"/>
        <n v="0.00253"/>
        <n v="0.00256"/>
        <n v="0.00258"/>
        <n v="0.0026"/>
        <n v="0.00261"/>
        <n v="0.00262"/>
        <n v="0.00263"/>
        <n v="0.00264"/>
        <n v="0.00272"/>
        <n v="0.00275"/>
        <n v="0.00277"/>
        <n v="0.00281"/>
        <n v="0.00284"/>
        <n v="0.00286"/>
        <n v="0.00287"/>
        <n v="0.00293"/>
        <n v="0.003"/>
        <n v="0.00301"/>
        <n v="0.00304"/>
        <n v="0.00305"/>
        <n v="0.00308"/>
        <n v="0.00312"/>
        <n v="0.00314"/>
        <n v="0.00316"/>
        <n v="0.00327"/>
        <n v="0.00331"/>
        <n v="0.00334"/>
        <n v="0.0034"/>
        <n v="0.00341"/>
        <n v="0.00342"/>
        <n v="0.00344"/>
        <n v="0.00346"/>
        <n v="0.00347"/>
        <n v="0.00351"/>
        <n v="0.00357"/>
        <n v="0.00358"/>
        <n v="0.00359"/>
        <n v="0.00369"/>
        <n v="0.0037"/>
        <n v="0.00374"/>
        <n v="0.00376"/>
        <n v="0.00377"/>
        <n v="0.00379"/>
        <n v="0.0038"/>
        <n v="0.00381"/>
        <n v="0.00383"/>
        <n v="0.00385"/>
        <n v="0.0039"/>
        <n v="0.00394"/>
        <n v="0.004"/>
        <n v="0.00402"/>
        <n v="0.00407"/>
        <n v="0.00408"/>
        <n v="0.0041"/>
        <n v="0.00411"/>
        <n v="0.00412"/>
        <n v="0.00413"/>
        <n v="0.00417"/>
        <n v="0.00419"/>
        <n v="0.00423"/>
        <n v="0.00425"/>
        <n v="0.00427"/>
        <n v="0.00428"/>
        <n v="0.0043"/>
        <n v="0.00433"/>
        <n v="0.00437"/>
        <n v="0.00441"/>
        <n v="0.00446"/>
        <n v="0.00451"/>
        <n v="0.00453"/>
        <n v="0.00454"/>
        <n v="0.00459"/>
        <n v="0.0046"/>
        <n v="0.00461"/>
        <n v="0.00462"/>
        <n v="0.00466"/>
        <n v="0.00472"/>
        <n v="0.00473"/>
        <n v="0.00474"/>
        <n v="0.0048"/>
        <n v="0.00481"/>
        <n v="0.00485"/>
        <n v="0.00487"/>
        <n v="0.00488"/>
        <n v="0.00489"/>
        <n v="0.00498"/>
        <n v="0.00499"/>
        <n v="0.00511"/>
        <n v="0.00513"/>
        <n v="0.00518"/>
        <n v="0.00521"/>
        <n v="0.00522"/>
        <n v="0.00523"/>
        <n v="0.00534"/>
        <n v="0.00541"/>
        <n v="0.00542"/>
        <n v="0.00543"/>
        <n v="0.00544"/>
        <n v="0.00548"/>
        <n v="0.0055"/>
        <n v="0.00552"/>
        <n v="0.00554"/>
        <n v="0.00563"/>
        <n v="0.00564"/>
        <n v="0.00569"/>
        <n v="0.00571"/>
        <n v="0.00575"/>
        <n v="0.00579"/>
        <n v="0.00584"/>
        <n v="0.0059"/>
        <n v="0.00591"/>
        <n v="0.00601"/>
        <n v="0.00609"/>
        <n v="0.00615"/>
        <n v="0.00616"/>
        <n v="0.00617"/>
        <n v="0.00621"/>
        <n v="0.00627"/>
        <n v="0.00638"/>
        <n v="0.0064"/>
        <n v="0.00645"/>
        <n v="0.00646"/>
        <n v="0.00647"/>
        <n v="0.0065"/>
        <n v="0.00656"/>
        <n v="0.00657"/>
        <n v="0.00664"/>
        <n v="0.00666"/>
        <n v="0.00673"/>
        <n v="0.00676"/>
        <n v="0.00681"/>
        <n v="0.00683"/>
        <n v="0.00689"/>
        <n v="0.00691"/>
        <n v="0.0071"/>
        <n v="0.00711"/>
        <n v="0.00713"/>
        <n v="0.00721"/>
        <n v="0.00725"/>
        <n v="0.00726"/>
        <n v="0.00727"/>
        <n v="0.00733"/>
        <n v="0.00767"/>
        <n v="0.00769"/>
        <n v="0.00776"/>
        <n v="0.00777"/>
        <n v="0.00778"/>
        <n v="0.00793"/>
        <n v="0.00795"/>
        <n v="0.00797"/>
        <n v="0.00798"/>
        <n v="0.00801"/>
        <n v="0.00821"/>
        <n v="0.00828"/>
        <n v="0.00834"/>
        <n v="0.00835"/>
        <n v="0.00836"/>
        <n v="0.0084"/>
        <n v="0.00847"/>
        <n v="0.0085"/>
        <n v="0.00864"/>
        <n v="0.00865"/>
        <n v="0.00876"/>
        <n v="0.00877"/>
        <n v="0.0088"/>
        <n v="0.00882"/>
        <n v="0.009"/>
        <n v="0.00908"/>
        <n v="0.00915"/>
        <n v="0.00916"/>
        <n v="0.00921"/>
        <n v="0.00928"/>
        <n v="0.00935"/>
        <n v="0.00937"/>
        <n v="0.00948"/>
        <n v="0.00952"/>
        <n v="0.00958"/>
        <n v="0.00963"/>
        <n v="0.00967"/>
        <n v="0.00969"/>
        <n v="0.0098"/>
        <n v="0.00981"/>
        <n v="0.00986"/>
        <n v="0.00987"/>
        <n v="0.00994"/>
        <n v="0.0101"/>
        <n v="0.0102"/>
        <n v="0.0103"/>
        <n v="0.0104"/>
        <n v="0.0105"/>
        <n v="0.0106"/>
        <n v="0.0107"/>
        <n v="0.0108"/>
        <n v="0.0109"/>
        <n v="0.011"/>
        <n v="0.0111"/>
        <n v="0.0113"/>
        <n v="0.0114"/>
        <n v="0.0115"/>
        <n v="0.0116"/>
        <n v="0.0117"/>
        <n v="0.0118"/>
        <n v="0.0121"/>
        <n v="0.0122"/>
        <n v="0.0123"/>
        <n v="0.0124"/>
        <n v="0.0125"/>
        <n v="0.0126"/>
        <n v="0.0127"/>
        <n v="0.0128"/>
        <n v="0.0129"/>
        <n v="0.013"/>
        <n v="0.0131"/>
        <n v="0.0132"/>
        <n v="0.0134"/>
        <n v="0.0135"/>
        <n v="0.0136"/>
        <n v="0.0137"/>
        <n v="0.014"/>
        <n v="0.0141"/>
        <n v="0.0142"/>
        <n v="0.0143"/>
        <n v="0.0144"/>
        <n v="0.0145"/>
        <n v="0.0147"/>
        <n v="0.0148"/>
        <n v="0.0149"/>
        <n v="0.015"/>
        <n v="0.0152"/>
        <n v="0.0153"/>
        <n v="0.0154"/>
        <n v="0.0155"/>
        <n v="0.0156"/>
        <n v="0.0157"/>
        <n v="0.0158"/>
        <n v="0.0159"/>
        <n v="0.016"/>
        <n v="0.0161"/>
        <n v="0.0162"/>
        <n v="0.0163"/>
        <n v="0.0165"/>
        <n v="0.0166"/>
        <n v="0.0167"/>
        <n v="0.0168"/>
        <n v="0.0169"/>
        <n v="0.017"/>
        <n v="0.0171"/>
        <n v="0.0173"/>
        <n v="0.0174"/>
        <n v="0.0175"/>
        <n v="0.0176"/>
        <n v="0.0178"/>
        <n v="0.0179"/>
        <n v="0.0181"/>
        <n v="0.0182"/>
        <n v="0.0183"/>
        <n v="0.0184"/>
        <n v="0.0185"/>
        <n v="0.0187"/>
        <n v="0.0188"/>
        <n v="0.0189"/>
        <n v="0.019"/>
        <n v="0.0191"/>
        <n v="0.0192"/>
        <n v="0.0193"/>
        <n v="0.0194"/>
        <n v="0.0195"/>
        <n v="0.0197"/>
        <n v="0.0198"/>
        <n v="0.0199"/>
        <n v="0.02"/>
        <n v="0.0202"/>
        <n v="0.0203"/>
        <n v="0.0204"/>
        <n v="0.0205"/>
        <n v="0.0206"/>
        <n v="0.0208"/>
        <n v="0.0209"/>
        <n v="0.021"/>
        <n v="0.0213"/>
        <n v="0.0215"/>
        <n v="0.0216"/>
        <n v="0.0217"/>
        <n v="0.0218"/>
        <n v="0.0219"/>
        <n v="0.022"/>
        <n v="0.0223"/>
        <n v="0.0225"/>
        <n v="0.0227"/>
        <n v="0.0228"/>
        <n v="0.0229"/>
        <n v="0.023"/>
        <n v="0.0232"/>
        <n v="0.0233"/>
        <n v="0.0234"/>
        <n v="0.0235"/>
        <n v="0.0236"/>
        <n v="0.0239"/>
        <n v="0.0241"/>
        <n v="0.0242"/>
        <n v="0.0243"/>
        <n v="0.0244"/>
        <n v="0.0246"/>
        <n v="0.0247"/>
        <n v="0.0248"/>
        <n v="0.0249"/>
        <n v="0.025"/>
        <n v="0.0251"/>
        <n v="0.0253"/>
        <n v="0.0258"/>
        <n v="0.0259"/>
        <n v="0.0261"/>
        <n v="0.0262"/>
        <n v="0.0263"/>
        <n v="0.0264"/>
        <n v="0.0266"/>
        <n v="0.0267"/>
        <n v="0.027"/>
        <n v="0.0271"/>
        <n v="0.0272"/>
        <n v="0.0273"/>
        <n v="0.0275"/>
        <n v="0.0277"/>
        <n v="0.028"/>
        <n v="0.0281"/>
        <n v="0.0282"/>
        <n v="0.0283"/>
        <n v="0.0285"/>
        <n v="0.0287"/>
        <n v="0.0288"/>
        <n v="0.0291"/>
        <n v="0.0292"/>
        <n v="0.0293"/>
        <n v="0.0294"/>
        <n v="0.0295"/>
        <n v="0.0296"/>
        <n v="0.0297"/>
        <n v="0.0298"/>
        <n v="0.03"/>
        <n v="0.0302"/>
        <n v="0.0303"/>
        <n v="0.0304"/>
        <n v="0.0305"/>
        <n v="0.0309"/>
        <n v="0.0311"/>
        <n v="0.0312"/>
        <n v="0.0317"/>
        <n v="0.0319"/>
        <n v="0.0322"/>
        <n v="0.0323"/>
        <n v="0.0324"/>
        <n v="0.0326"/>
        <n v="0.0327"/>
        <n v="0.0328"/>
        <n v="0.0329"/>
        <n v="0.033"/>
        <n v="0.0331"/>
        <n v="0.0332"/>
        <n v="0.0334"/>
        <n v="0.0336"/>
        <n v="0.0338"/>
        <n v="0.0339"/>
        <n v="0.034"/>
        <n v="0.0341"/>
        <n v="0.0343"/>
        <n v="0.0345"/>
        <n v="0.0346"/>
        <n v="0.0348"/>
        <n v="0.035"/>
        <n v="0.0351"/>
        <n v="0.0352"/>
        <n v="0.0353"/>
        <n v="0.0355"/>
        <n v="0.0358"/>
        <n v="0.0359"/>
        <n v="0.0362"/>
        <n v="0.0364"/>
        <n v="0.0365"/>
        <n v="0.0366"/>
        <n v="0.0367"/>
        <n v="0.0368"/>
        <n v="0.0369"/>
        <n v="0.037"/>
        <n v="0.0371"/>
        <n v="0.0372"/>
        <n v="0.0373"/>
        <n v="0.0374"/>
        <n v="0.0375"/>
        <n v="0.0376"/>
        <n v="0.0378"/>
        <n v="0.038"/>
        <n v="0.0381"/>
        <n v="0.0383"/>
        <n v="0.0384"/>
        <n v="0.0387"/>
        <n v="0.039"/>
        <n v="0.0391"/>
        <n v="0.0392"/>
        <n v="0.0394"/>
        <n v="0.0395"/>
        <n v="0.0399"/>
        <n v="0.04"/>
        <n v="0.0401"/>
        <n v="0.0402"/>
        <n v="0.0403"/>
        <n v="0.0404"/>
        <n v="0.0405"/>
        <n v="0.0406"/>
        <n v="0.0408"/>
        <n v="0.0409"/>
        <n v="0.041"/>
        <n v="0.0411"/>
        <n v="0.0412"/>
        <n v="0.0419"/>
        <n v="0.0421"/>
        <n v="0.0422"/>
        <n v="0.0424"/>
        <n v="0.0425"/>
        <n v="0.0426"/>
        <n v="0.0427"/>
        <n v="0.0431"/>
        <n v="0.0434"/>
        <n v="0.0435"/>
        <n v="0.0436"/>
        <n v="0.0439"/>
        <n v="0.0441"/>
        <n v="0.0444"/>
        <n v="0.0447"/>
        <n v="0.0448"/>
        <n v="0.0451"/>
        <n v="0.0455"/>
        <n v="0.0457"/>
        <n v="0.0459"/>
        <n v="0.046"/>
        <n v="0.0462"/>
        <n v="0.0465"/>
        <n v="0.0466"/>
        <n v="0.0467"/>
        <n v="0.0468"/>
        <n v="0.0469"/>
        <n v="0.0476"/>
        <n v="0.0478"/>
        <n v="0.0479"/>
        <n v="0.0483"/>
        <n v="0.0485"/>
        <n v="0.0488"/>
        <n v="0.0489"/>
        <n v="0.049"/>
        <n v="0.0491"/>
        <n v="0.0492"/>
        <n v="0.0495"/>
        <n v="0.0498"/>
        <n v="0.0499"/>
        <n v="0.0502"/>
        <n v="0.0504"/>
        <n v="0.0505"/>
        <n v="0.0506"/>
        <n v="0.0507"/>
        <n v="0.0508"/>
        <n v="0.0509"/>
        <n v="0.0513"/>
        <n v="0.0515"/>
        <n v="0.0518"/>
        <n v="0.0521"/>
        <n v="0.0523"/>
        <n v="0.0524"/>
        <n v="0.0525"/>
        <n v="0.0526"/>
        <n v="0.0527"/>
        <n v="0.053"/>
        <n v="0.0531"/>
        <n v="0.0533"/>
        <n v="0.0534"/>
        <n v="0.0536"/>
        <n v="0.0538"/>
        <n v="0.0541"/>
        <n v="0.0542"/>
        <n v="0.0543"/>
        <n v="0.0545"/>
        <n v="0.0547"/>
        <n v="0.0548"/>
        <n v="0.055"/>
        <n v="0.0553"/>
        <n v="0.0554"/>
        <n v="0.0556"/>
        <n v="0.0558"/>
        <n v="0.0559"/>
        <n v="0.056"/>
        <n v="0.0561"/>
        <n v="0.0566"/>
        <n v="0.0569"/>
        <n v="0.0571"/>
        <n v="0.0572"/>
        <n v="0.0573"/>
        <n v="0.0575"/>
        <n v="0.0576"/>
        <n v="0.0578"/>
        <n v="0.0581"/>
        <n v="0.0583"/>
        <n v="0.0584"/>
        <n v="0.0585"/>
        <n v="0.0588"/>
        <n v="0.0589"/>
        <n v="0.0593"/>
        <n v="0.0594"/>
        <n v="0.0597"/>
        <n v="0.0598"/>
        <n v="0.0602"/>
        <n v="0.0603"/>
        <n v="0.0604"/>
        <n v="0.0605"/>
        <n v="0.0607"/>
        <n v="0.0608"/>
        <n v="0.0611"/>
        <n v="0.0612"/>
        <n v="0.0613"/>
        <n v="0.0614"/>
        <n v="0.0616"/>
        <n v="0.0619"/>
        <n v="0.062"/>
        <n v="0.0622"/>
        <n v="0.0626"/>
        <n v="0.0628"/>
        <n v="0.0629"/>
        <n v="0.063"/>
        <n v="0.0631"/>
        <n v="0.0637"/>
        <n v="0.064"/>
        <n v="0.0642"/>
        <n v="0.0644"/>
        <n v="0.0646"/>
        <n v="0.0647"/>
        <n v="0.0649"/>
        <n v="0.0651"/>
        <n v="0.0652"/>
        <n v="0.0653"/>
        <n v="0.0654"/>
        <n v="0.0658"/>
        <n v="0.0659"/>
        <n v="0.0661"/>
        <n v="0.0662"/>
        <n v="0.0665"/>
        <n v="0.0668"/>
        <n v="0.0669"/>
        <n v="0.067"/>
        <n v="0.0671"/>
        <n v="0.0672"/>
        <n v="0.0678"/>
        <n v="0.0679"/>
        <n v="0.0685"/>
        <n v="0.0687"/>
        <n v="0.0688"/>
        <n v="0.0691"/>
        <n v="0.0696"/>
        <n v="0.0697"/>
        <n v="0.0703"/>
        <n v="0.0709"/>
        <n v="0.071"/>
        <n v="0.0712"/>
        <n v="0.0714"/>
        <n v="0.0717"/>
        <n v="0.0722"/>
        <n v="0.0724"/>
        <n v="0.073"/>
        <n v="0.0731"/>
        <n v="0.0733"/>
        <n v="0.0736"/>
        <n v="0.0737"/>
        <n v="0.0738"/>
        <n v="0.0743"/>
        <n v="0.0749"/>
        <n v="0.075"/>
        <n v="0.0752"/>
        <n v="0.0755"/>
        <n v="0.0756"/>
        <n v="0.0759"/>
        <n v="0.0761"/>
        <n v="0.0762"/>
        <n v="0.0764"/>
        <n v="0.0769"/>
        <n v="0.077"/>
        <n v="0.0771"/>
        <n v="0.0772"/>
        <n v="0.0775"/>
        <n v="0.0778"/>
        <n v="0.078"/>
        <n v="0.0782"/>
        <n v="0.0783"/>
        <n v="0.0796"/>
        <n v="0.0797"/>
        <n v="0.0798"/>
        <n v="0.08"/>
        <n v="0.0802"/>
        <n v="0.0804"/>
        <n v="0.0805"/>
        <n v="0.0807"/>
        <n v="0.0811"/>
        <n v="0.0812"/>
        <n v="0.0813"/>
        <n v="0.0814"/>
        <n v="0.0817"/>
        <n v="0.082"/>
        <n v="0.0822"/>
        <n v="0.0825"/>
        <n v="0.0826"/>
        <n v="0.0827"/>
        <n v="0.0828"/>
        <n v="0.0831"/>
        <n v="0.0837"/>
        <n v="0.0838"/>
        <n v="0.0839"/>
        <n v="0.084"/>
        <n v="0.0841"/>
        <n v="0.0843"/>
        <n v="0.0844"/>
        <n v="0.0846"/>
        <n v="0.0847"/>
        <n v="0.0853"/>
        <n v="0.0854"/>
        <n v="0.0856"/>
        <n v="0.0858"/>
        <n v="0.0862"/>
        <n v="0.0863"/>
        <n v="0.0864"/>
        <n v="0.0868"/>
        <n v="0.0869"/>
        <n v="0.087"/>
        <n v="0.0873"/>
        <n v="0.0874"/>
        <n v="0.0875"/>
        <n v="0.0876"/>
        <n v="0.088"/>
        <n v="0.0881"/>
        <n v="0.0884"/>
        <n v="0.0885"/>
        <n v="0.0887"/>
        <n v="0.0891"/>
        <n v="0.0893"/>
        <n v="0.0895"/>
        <n v="0.0897"/>
        <n v="0.0901"/>
        <n v="0.0902"/>
        <n v="0.0903"/>
        <n v="0.0904"/>
        <n v="0.0909"/>
        <n v="0.091"/>
        <n v="0.0912"/>
        <n v="0.0915"/>
        <n v="0.0917"/>
        <n v="0.0918"/>
        <n v="0.0921"/>
        <n v="0.0923"/>
        <n v="0.0928"/>
        <n v="0.093"/>
        <n v="0.0932"/>
        <n v="0.0933"/>
        <n v="0.0934"/>
        <n v="0.0939"/>
        <n v="0.0949"/>
        <n v="0.0951"/>
        <n v="0.0954"/>
        <n v="0.0956"/>
        <n v="0.0958"/>
        <n v="0.096"/>
        <n v="0.0964"/>
        <n v="0.0966"/>
        <n v="0.0969"/>
        <n v="0.098"/>
        <n v="0.0982"/>
        <n v="0.0984"/>
        <n v="0.0986"/>
        <n v="0.099"/>
        <n v="0.0991"/>
        <n v="0.0993"/>
        <n v="0.0994"/>
        <n v="0.0996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1"/>
        <n v="0.122"/>
        <n v="0.123"/>
        <n v="0.124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4"/>
        <n v="0.141"/>
        <n v="0.142"/>
        <n v="0.143"/>
        <n v="0.144"/>
        <n v="0.145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6"/>
        <n v="0.187"/>
        <n v="0.188"/>
        <n v="0.189"/>
        <n v="0.19"/>
        <n v="0.191"/>
        <n v="0.192"/>
        <n v="0.193"/>
        <n v="0.194"/>
        <n v="0.195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2"/>
        <n v="0.213"/>
        <n v="0.214"/>
        <n v="0.215"/>
        <n v="0.216"/>
        <n v="0.217"/>
        <n v="0.219"/>
        <n v="0.223"/>
        <n v="0.225"/>
        <n v="0.226"/>
        <n v="0.227"/>
        <n v="0.228"/>
        <n v="0.229"/>
        <n v="0.23"/>
        <n v="0.231"/>
        <n v="0.232"/>
        <n v="0.233"/>
        <n v="0.234"/>
        <n v="0.235"/>
        <n v="0.237"/>
        <n v="0.239"/>
        <n v="0.24"/>
        <n v="0.241"/>
        <n v="0.242"/>
        <n v="0.244"/>
        <n v="0.245"/>
        <n v="0.246"/>
        <n v="0.247"/>
        <n v="0.248"/>
        <n v="0.249"/>
        <n v="0.25"/>
        <n v="0.251"/>
        <n v="0.252"/>
        <n v="0.253"/>
        <n v="0.254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9"/>
        <n v="0.271"/>
        <n v="0.272"/>
        <n v="0.273"/>
        <n v="0.277"/>
        <n v="0.278"/>
        <n v="0.279"/>
        <n v="0.28"/>
        <n v="0.281"/>
        <n v="0.282"/>
        <n v="0.283"/>
        <n v="0.284"/>
        <n v="0.285"/>
        <n v="0.286"/>
        <n v="0.291"/>
        <n v="0.292"/>
        <n v="0.294"/>
        <n v="0.295"/>
        <n v="0.296"/>
        <n v="0.297"/>
        <n v="0.298"/>
        <n v="0.299"/>
        <n v="0.3"/>
        <n v="0.301"/>
        <n v="0.304"/>
        <n v="0.307"/>
        <n v="0.309"/>
        <n v="0.31"/>
        <n v="0.312"/>
        <n v="0.314"/>
        <n v="0.315"/>
        <n v="0.317"/>
        <n v="0.318"/>
        <n v="0.32"/>
        <n v="0.322"/>
        <n v="0.323"/>
        <n v="0.325"/>
        <n v="0.327"/>
        <n v="0.328"/>
        <n v="0.329"/>
        <n v="0.33"/>
        <n v="0.331"/>
        <n v="0.332"/>
        <n v="0.333"/>
        <n v="0.336"/>
        <n v="0.337"/>
        <n v="0.339"/>
        <n v="0.34"/>
        <n v="0.342"/>
        <n v="0.343"/>
        <n v="0.346"/>
        <n v="0.347"/>
        <n v="0.348"/>
        <n v="0.349"/>
        <n v="0.35"/>
        <n v="0.352"/>
        <n v="0.354"/>
        <n v="0.355"/>
        <n v="0.357"/>
        <n v="0.358"/>
        <n v="0.361"/>
        <n v="0.362"/>
        <n v="0.364"/>
        <n v="0.365"/>
        <n v="0.367"/>
        <n v="0.369"/>
        <n v="0.37"/>
        <n v="0.371"/>
        <n v="0.372"/>
        <n v="0.374"/>
        <n v="0.376"/>
        <n v="0.377"/>
        <n v="0.38"/>
        <n v="0.381"/>
        <n v="0.385"/>
        <n v="0.386"/>
        <n v="0.389"/>
        <n v="0.392"/>
        <n v="0.393"/>
        <n v="0.396"/>
        <n v="0.397"/>
        <n v="0.399"/>
        <n v="0.403"/>
        <n v="0.404"/>
        <n v="0.406"/>
        <n v="0.407"/>
        <n v="0.408"/>
        <n v="0.409"/>
        <n v="0.41"/>
        <n v="0.414"/>
        <n v="0.415"/>
        <n v="0.417"/>
        <n v="0.419"/>
        <n v="0.421"/>
        <n v="0.423"/>
        <n v="0.427"/>
        <n v="0.428"/>
        <n v="0.429"/>
        <n v="0.431"/>
        <n v="0.434"/>
        <n v="0.441"/>
        <n v="0.444"/>
        <n v="0.446"/>
        <n v="0.447"/>
        <n v="0.448"/>
        <n v="0.45"/>
        <n v="0.452"/>
        <n v="0.453"/>
        <n v="0.459"/>
        <n v="0.462"/>
        <n v="0.466"/>
        <n v="0.469"/>
        <n v="0.474"/>
        <n v="0.48"/>
        <n v="0.484"/>
        <n v="0.489"/>
        <n v="0.492"/>
        <n v="0.495"/>
        <n v="0.497"/>
        <n v="0.501"/>
        <n v="0.503"/>
        <n v="0.504"/>
        <n v="0.506"/>
        <n v="0.508"/>
        <n v="0.511"/>
        <n v="0.512"/>
        <n v="0.513"/>
        <n v="0.515"/>
        <n v="0.516"/>
        <n v="0.52"/>
        <n v="0.527"/>
        <n v="0.528"/>
        <n v="0.529"/>
        <n v="0.533"/>
        <n v="0.534"/>
        <n v="0.535"/>
        <n v="0.537"/>
        <n v="0.538"/>
        <n v="0.541"/>
        <n v="0.542"/>
        <n v="0.544"/>
        <n v="0.546"/>
        <n v="0.548"/>
        <n v="0.555"/>
        <n v="0.556"/>
        <n v="0.559"/>
        <n v="0.563"/>
        <n v="0.568"/>
        <n v="0.577"/>
        <n v="0.579"/>
        <n v="0.581"/>
        <n v="0.584"/>
        <n v="0.588"/>
        <n v="0.59"/>
        <n v="0.592"/>
        <n v="0.599"/>
        <n v="0.6"/>
        <n v="0.602"/>
        <n v="0.607"/>
        <n v="0.612"/>
        <n v="0.614"/>
        <n v="0.615"/>
        <n v="0.617"/>
        <n v="0.618"/>
        <n v="0.621"/>
        <n v="0.63"/>
        <n v="0.631"/>
        <n v="0.633"/>
        <n v="0.634"/>
        <n v="0.64"/>
        <n v="0.649"/>
        <n v="0.654"/>
        <n v="0.665"/>
        <n v="0.67"/>
        <n v="0.672"/>
        <n v="0.675"/>
        <n v="0.687"/>
        <n v="0.688"/>
        <n v="0.689"/>
        <n v="0.691"/>
        <n v="0.692"/>
        <n v="0.695"/>
        <n v="0.697"/>
        <n v="0.719"/>
        <n v="0.726"/>
        <n v="0.729"/>
        <n v="0.74"/>
        <n v="0.746"/>
        <n v="0.751"/>
        <n v="0.769"/>
        <n v="0.784"/>
        <n v="0.802"/>
        <n v="0.811"/>
        <n v="0.817"/>
        <n v="0.82"/>
        <n v="0.822"/>
        <n v="0.835"/>
        <n v="0.839"/>
        <n v="0.841"/>
        <n v="0.856"/>
        <n v="0.859"/>
        <n v="0.863"/>
        <n v="0.872"/>
        <n v="0.883"/>
        <n v="0.893"/>
        <n v="0.896"/>
        <n v="0.922"/>
        <n v="0.932"/>
        <n v="0.934"/>
        <n v="0.945"/>
        <n v="0.953"/>
        <n v="0.966"/>
        <n v="0.976"/>
      </sharedItems>
    </cacheField>
    <cacheField name="instrumentalness" numFmtId="0">
      <sharedItems containsSemiMixedTypes="0" containsString="0" containsNumber="1" minValue="0" maxValue="0.985" count="772">
        <n v="0"/>
        <n v="1.01E-006"/>
        <n v="1.03E-006"/>
        <n v="1.04E-006"/>
        <n v="1.07E-006"/>
        <n v="1.1E-006"/>
        <n v="1.11E-006"/>
        <n v="1.13E-006"/>
        <n v="1.16E-006"/>
        <n v="1.2E-006"/>
        <n v="1.21E-006"/>
        <n v="1.22E-006"/>
        <n v="1.23E-006"/>
        <n v="1.28E-006"/>
        <n v="1.31E-006"/>
        <n v="1.32E-006"/>
        <n v="1.35E-006"/>
        <n v="1.36E-006"/>
        <n v="1.37E-006"/>
        <n v="1.4E-006"/>
        <n v="1.42E-006"/>
        <n v="1.43E-006"/>
        <n v="1.45E-006"/>
        <n v="1.49E-006"/>
        <n v="1.5E-006"/>
        <n v="1.51E-006"/>
        <n v="1.52E-006"/>
        <n v="1.57E-006"/>
        <n v="1.58E-006"/>
        <n v="1.59E-006"/>
        <n v="1.6E-006"/>
        <n v="1.61E-006"/>
        <n v="1.64E-006"/>
        <n v="1.65E-006"/>
        <n v="1.66E-006"/>
        <n v="1.68E-006"/>
        <n v="1.69E-006"/>
        <n v="1.75E-006"/>
        <n v="1.77E-006"/>
        <n v="1.78E-006"/>
        <n v="1.79E-006"/>
        <n v="1.8E-006"/>
        <n v="1.81E-006"/>
        <n v="1.83E-006"/>
        <n v="1.89E-006"/>
        <n v="1.91E-006"/>
        <n v="1.94E-006"/>
        <n v="1.96E-006"/>
        <n v="1.97E-006"/>
        <n v="2.01E-006"/>
        <n v="2.03E-006"/>
        <n v="2.05E-006"/>
        <n v="2.06E-006"/>
        <n v="2.09E-006"/>
        <n v="2.12E-006"/>
        <n v="2.16E-006"/>
        <n v="2.19E-006"/>
        <n v="2.22E-006"/>
        <n v="2.23E-006"/>
        <n v="2.24E-006"/>
        <n v="2.25E-006"/>
        <n v="2.28E-006"/>
        <n v="2.34E-006"/>
        <n v="2.36E-006"/>
        <n v="2.38E-006"/>
        <n v="2.43E-006"/>
        <n v="2.46E-006"/>
        <n v="2.53E-006"/>
        <n v="2.54E-006"/>
        <n v="2.55E-006"/>
        <n v="2.57E-006"/>
        <n v="2.6E-006"/>
        <n v="2.63E-006"/>
        <n v="2.64E-006"/>
        <n v="2.66E-006"/>
        <n v="2.7E-006"/>
        <n v="2.77E-006"/>
        <n v="2.78E-006"/>
        <n v="2.79E-006"/>
        <n v="2.81E-006"/>
        <n v="2.83E-006"/>
        <n v="2.87E-006"/>
        <n v="2.95E-006"/>
        <n v="2.97E-006"/>
        <n v="3.01E-006"/>
        <n v="3.03E-006"/>
        <n v="3.05E-006"/>
        <n v="3.07E-006"/>
        <n v="3.09E-006"/>
        <n v="3.11E-006"/>
        <n v="3.23E-006"/>
        <n v="3.25E-006"/>
        <n v="3.26E-006"/>
        <n v="3.27E-006"/>
        <n v="3.3E-006"/>
        <n v="3.32E-006"/>
        <n v="3.37E-006"/>
        <n v="3.39E-006"/>
        <n v="3.49E-006"/>
        <n v="3.54E-006"/>
        <n v="3.58E-006"/>
        <n v="3.65E-006"/>
        <n v="3.69E-006"/>
        <n v="3.7E-006"/>
        <n v="3.74E-006"/>
        <n v="3.78E-006"/>
        <n v="3.8E-006"/>
        <n v="3.85E-006"/>
        <n v="3.87E-006"/>
        <n v="3.88E-006"/>
        <n v="3.94E-006"/>
        <n v="4.06E-006"/>
        <n v="4.07E-006"/>
        <n v="4.09E-006"/>
        <n v="4.11E-006"/>
        <n v="4.13E-006"/>
        <n v="4.21E-006"/>
        <n v="4.24E-006"/>
        <n v="4.26E-006"/>
        <n v="4.31E-006"/>
        <n v="4.34E-006"/>
        <n v="4.35E-006"/>
        <n v="4.4E-006"/>
        <n v="4.44E-006"/>
        <n v="4.56E-006"/>
        <n v="4.65E-006"/>
        <n v="4.78E-006"/>
        <n v="4.82E-006"/>
        <n v="4.85E-006"/>
        <n v="4.92E-006"/>
        <n v="4.95E-006"/>
        <n v="4.96E-006"/>
        <n v="5.04E-006"/>
        <n v="5.11E-006"/>
        <n v="5.13E-006"/>
        <n v="5.14E-006"/>
        <n v="5.16E-006"/>
        <n v="5.21E-006"/>
        <n v="5.23E-006"/>
        <n v="5.25E-006"/>
        <n v="5.26E-006"/>
        <n v="5.3E-006"/>
        <n v="5.32E-006"/>
        <n v="5.37E-006"/>
        <n v="5.38E-006"/>
        <n v="5.39E-006"/>
        <n v="5.46E-006"/>
        <n v="5.51E-006"/>
        <n v="5.61E-006"/>
        <n v="5.62E-006"/>
        <n v="5.91E-006"/>
        <n v="5.98E-006"/>
        <n v="6.04E-006"/>
        <n v="6.15E-006"/>
        <n v="6.16E-006"/>
        <n v="6.17E-006"/>
        <n v="6.23E-006"/>
        <n v="6.24E-006"/>
        <n v="6.34E-006"/>
        <n v="6.5E-006"/>
        <n v="6.51E-006"/>
        <n v="6.53E-006"/>
        <n v="6.6E-006"/>
        <n v="6.71E-006"/>
        <n v="6.81E-006"/>
        <n v="6.86E-006"/>
        <n v="6.92E-006"/>
        <n v="6.98E-006"/>
        <n v="7E-006"/>
        <n v="7.01E-006"/>
        <n v="7.04E-006"/>
        <n v="7.13E-006"/>
        <n v="7.38E-006"/>
        <n v="7.43E-006"/>
        <n v="7.52E-006"/>
        <n v="7.54E-006"/>
        <n v="7.74E-006"/>
        <n v="7.78E-006"/>
        <n v="7.82E-006"/>
        <n v="7.97E-006"/>
        <n v="8.02E-006"/>
        <n v="8.11E-006"/>
        <n v="8.14E-006"/>
        <n v="8.18E-006"/>
        <n v="8.19E-006"/>
        <n v="8.21E-006"/>
        <n v="8.23E-006"/>
        <n v="8.34E-006"/>
        <n v="8.42E-006"/>
        <n v="8.43E-006"/>
        <n v="8.46E-006"/>
        <n v="8.52E-006"/>
        <n v="8.59E-006"/>
        <n v="8.66E-006"/>
        <n v="8.73E-006"/>
        <n v="8.77E-006"/>
        <n v="8.83E-006"/>
        <n v="8.85E-006"/>
        <n v="8.97E-006"/>
        <n v="9E-006"/>
        <n v="9.11E-006"/>
        <n v="9.26E-006"/>
        <n v="9.31E-006"/>
        <n v="9.35E-006"/>
        <n v="9.82E-006"/>
        <n v="9.86E-006"/>
        <n v="1.06E-005"/>
        <n v="1.07E-005"/>
        <n v="1.09E-005"/>
        <n v="1.1E-005"/>
        <n v="1.11E-005"/>
        <n v="1.13E-005"/>
        <n v="1.14E-005"/>
        <n v="1.15E-005"/>
        <n v="1.16E-005"/>
        <n v="1.18E-005"/>
        <n v="1.2E-005"/>
        <n v="1.22E-005"/>
        <n v="1.24E-005"/>
        <n v="1.25E-005"/>
        <n v="1.28E-005"/>
        <n v="1.29E-005"/>
        <n v="1.3E-005"/>
        <n v="1.34E-005"/>
        <n v="1.35E-005"/>
        <n v="1.38E-005"/>
        <n v="1.39E-005"/>
        <n v="1.41E-005"/>
        <n v="1.42E-005"/>
        <n v="1.44E-005"/>
        <n v="1.47E-005"/>
        <n v="1.48E-005"/>
        <n v="1.49E-005"/>
        <n v="1.54E-005"/>
        <n v="1.57E-005"/>
        <n v="1.62E-005"/>
        <n v="1.64E-005"/>
        <n v="1.65E-005"/>
        <n v="1.68E-005"/>
        <n v="1.71E-005"/>
        <n v="1.75E-005"/>
        <n v="1.76E-005"/>
        <n v="1.77E-005"/>
        <n v="1.78E-005"/>
        <n v="1.86E-005"/>
        <n v="1.89E-005"/>
        <n v="1.91E-005"/>
        <n v="1.92E-005"/>
        <n v="1.94E-005"/>
        <n v="1.96E-005"/>
        <n v="2.05E-005"/>
        <n v="2.06E-005"/>
        <n v="2.12E-005"/>
        <n v="2.17E-005"/>
        <n v="2.19E-005"/>
        <n v="2.26E-005"/>
        <n v="2.29E-005"/>
        <n v="2.39E-005"/>
        <n v="2.43E-005"/>
        <n v="2.46E-005"/>
        <n v="2.5E-005"/>
        <n v="2.51E-005"/>
        <n v="2.59E-005"/>
        <n v="2.63E-005"/>
        <n v="2.69E-005"/>
        <n v="2.93E-005"/>
        <n v="2.98E-005"/>
        <n v="3.02E-005"/>
        <n v="3.12E-005"/>
        <n v="3.14E-005"/>
        <n v="3.17E-005"/>
        <n v="3.19E-005"/>
        <n v="3.2E-005"/>
        <n v="3.22E-005"/>
        <n v="3.23E-005"/>
        <n v="3.25E-005"/>
        <n v="3.29E-005"/>
        <n v="3.4E-005"/>
        <n v="3.46E-005"/>
        <n v="3.57E-005"/>
        <n v="3.58E-005"/>
        <n v="3.59E-005"/>
        <n v="3.68E-005"/>
        <n v="3.69E-005"/>
        <n v="3.75E-005"/>
        <n v="3.8E-005"/>
        <n v="3.82E-005"/>
        <n v="3.84E-005"/>
        <n v="4.04E-005"/>
        <n v="4.12E-005"/>
        <n v="4.2E-005"/>
        <n v="4.26E-005"/>
        <n v="4.31E-005"/>
        <n v="4.33E-005"/>
        <n v="4.35E-005"/>
        <n v="4.49E-005"/>
        <n v="4.52E-005"/>
        <n v="4.57E-005"/>
        <n v="4.61E-005"/>
        <n v="4.64E-005"/>
        <n v="4.67E-005"/>
        <n v="4.72E-005"/>
        <n v="4.81E-005"/>
        <n v="4.88E-005"/>
        <n v="4.94E-005"/>
        <n v="5.05E-005"/>
        <n v="5.07E-005"/>
        <n v="5.2E-005"/>
        <n v="5.24E-005"/>
        <n v="5.27E-005"/>
        <n v="5.48E-005"/>
        <n v="5.66E-005"/>
        <n v="5.73E-005"/>
        <n v="5.8E-005"/>
        <n v="5.81E-005"/>
        <n v="5.86E-005"/>
        <n v="5.87E-005"/>
        <n v="6E-005"/>
        <n v="6.05E-005"/>
        <n v="6.07E-005"/>
        <n v="6.12E-005"/>
        <n v="6.13E-005"/>
        <n v="6.19E-005"/>
        <n v="6.24E-005"/>
        <n v="6.39E-005"/>
        <n v="6.43E-005"/>
        <n v="6.45E-005"/>
        <n v="6.47E-005"/>
        <n v="6.59E-005"/>
        <n v="6.66E-005"/>
        <n v="6.67E-005"/>
        <n v="6.8E-005"/>
        <n v="6.92E-005"/>
        <n v="7.01E-005"/>
        <n v="7.12E-005"/>
        <n v="7.13E-005"/>
        <n v="7.24E-005"/>
        <n v="7.28E-005"/>
        <n v="7.34E-005"/>
        <n v="7.45E-005"/>
        <n v="7.66E-005"/>
        <n v="7.74E-005"/>
        <n v="7.83E-005"/>
        <n v="7.86E-005"/>
        <n v="7.88E-005"/>
        <n v="7.95E-005"/>
        <n v="8.15E-005"/>
        <n v="8.29E-005"/>
        <n v="8.31E-005"/>
        <n v="8.57E-005"/>
        <n v="8.75E-005"/>
        <n v="8.82E-005"/>
        <n v="8.84E-005"/>
        <n v="8.93E-005"/>
        <n v="8.96E-005"/>
        <n v="9.16E-005"/>
        <n v="9.25E-005"/>
        <n v="9.33E-005"/>
        <n v="9.37E-005"/>
        <n v="9.42E-005"/>
        <n v="9.43E-005"/>
        <n v="9.44E-005"/>
        <n v="9.45E-005"/>
        <n v="9.58E-005"/>
        <n v="9.64E-005"/>
        <n v="9.7E-005"/>
        <n v="9.79E-005"/>
        <n v="9.91E-005"/>
        <n v="9.97E-005"/>
        <n v="0.0001"/>
        <n v="0.000104"/>
        <n v="0.000108"/>
        <n v="0.00011"/>
        <n v="0.000112"/>
        <n v="0.000113"/>
        <n v="0.000115"/>
        <n v="0.000119"/>
        <n v="0.00012"/>
        <n v="0.000121"/>
        <n v="0.000122"/>
        <n v="0.000123"/>
        <n v="0.000124"/>
        <n v="0.000125"/>
        <n v="0.000126"/>
        <n v="0.000127"/>
        <n v="0.000128"/>
        <n v="0.000129"/>
        <n v="0.000133"/>
        <n v="0.000134"/>
        <n v="0.000139"/>
        <n v="0.00014"/>
        <n v="0.000142"/>
        <n v="0.000144"/>
        <n v="0.000148"/>
        <n v="0.00015"/>
        <n v="0.000154"/>
        <n v="0.000157"/>
        <n v="0.000159"/>
        <n v="0.00016"/>
        <n v="0.000161"/>
        <n v="0.000162"/>
        <n v="0.000164"/>
        <n v="0.000166"/>
        <n v="0.000168"/>
        <n v="0.000175"/>
        <n v="0.000176"/>
        <n v="0.000178"/>
        <n v="0.000182"/>
        <n v="0.000183"/>
        <n v="0.000186"/>
        <n v="0.000188"/>
        <n v="0.00019"/>
        <n v="0.000191"/>
        <n v="0.000194"/>
        <n v="0.000197"/>
        <n v="0.000198"/>
        <n v="0.000202"/>
        <n v="0.000203"/>
        <n v="0.000204"/>
        <n v="0.00021"/>
        <n v="0.000215"/>
        <n v="0.000221"/>
        <n v="0.000225"/>
        <n v="0.000227"/>
        <n v="0.000233"/>
        <n v="0.000234"/>
        <n v="0.000237"/>
        <n v="0.000238"/>
        <n v="0.000244"/>
        <n v="0.000247"/>
        <n v="0.000249"/>
        <n v="0.00025"/>
        <n v="0.000263"/>
        <n v="0.000268"/>
        <n v="0.000283"/>
        <n v="0.000289"/>
        <n v="0.000294"/>
        <n v="0.000295"/>
        <n v="0.000296"/>
        <n v="0.0003"/>
        <n v="0.000304"/>
        <n v="0.000307"/>
        <n v="0.000308"/>
        <n v="0.000309"/>
        <n v="0.000316"/>
        <n v="0.000331"/>
        <n v="0.00034"/>
        <n v="0.000341"/>
        <n v="0.000353"/>
        <n v="0.000356"/>
        <n v="0.000358"/>
        <n v="0.000366"/>
        <n v="0.000381"/>
        <n v="0.000386"/>
        <n v="0.000389"/>
        <n v="0.000405"/>
        <n v="0.000409"/>
        <n v="0.000412"/>
        <n v="0.000415"/>
        <n v="0.00042"/>
        <n v="0.000425"/>
        <n v="0.000426"/>
        <n v="0.000427"/>
        <n v="0.000465"/>
        <n v="0.000478"/>
        <n v="0.000479"/>
        <n v="0.000482"/>
        <n v="0.000493"/>
        <n v="0.000496"/>
        <n v="0.000502"/>
        <n v="0.000503"/>
        <n v="0.00051"/>
        <n v="0.000512"/>
        <n v="0.000532"/>
        <n v="0.000536"/>
        <n v="0.000549"/>
        <n v="0.000552"/>
        <n v="0.000556"/>
        <n v="0.000565"/>
        <n v="0.00057"/>
        <n v="0.00058"/>
        <n v="0.000596"/>
        <n v="0.000606"/>
        <n v="0.000611"/>
        <n v="0.000616"/>
        <n v="0.000637"/>
        <n v="0.000643"/>
        <n v="0.000645"/>
        <n v="0.00066"/>
        <n v="0.000678"/>
        <n v="0.000744"/>
        <n v="0.00076"/>
        <n v="0.00077"/>
        <n v="0.000802"/>
        <n v="0.000814"/>
        <n v="0.000817"/>
        <n v="0.000833"/>
        <n v="0.000855"/>
        <n v="0.000863"/>
        <n v="0.000868"/>
        <n v="0.000872"/>
        <n v="0.000879"/>
        <n v="0.000887"/>
        <n v="0.00089"/>
        <n v="0.000914"/>
        <n v="0.000921"/>
        <n v="0.000925"/>
        <n v="0.000927"/>
        <n v="0.000961"/>
        <n v="0.00099"/>
        <n v="0.00102"/>
        <n v="0.00103"/>
        <n v="0.00104"/>
        <n v="0.00106"/>
        <n v="0.00107"/>
        <n v="0.00108"/>
        <n v="0.00109"/>
        <n v="0.00111"/>
        <n v="0.00112"/>
        <n v="0.00114"/>
        <n v="0.00115"/>
        <n v="0.00116"/>
        <n v="0.00118"/>
        <n v="0.0012"/>
        <n v="0.00123"/>
        <n v="0.00125"/>
        <n v="0.00126"/>
        <n v="0.00128"/>
        <n v="0.00129"/>
        <n v="0.0013"/>
        <n v="0.00132"/>
        <n v="0.00137"/>
        <n v="0.00138"/>
        <n v="0.0014"/>
        <n v="0.00142"/>
        <n v="0.00144"/>
        <n v="0.0015"/>
        <n v="0.00152"/>
        <n v="0.00155"/>
        <n v="0.00156"/>
        <n v="0.00157"/>
        <n v="0.0016"/>
        <n v="0.00161"/>
        <n v="0.00162"/>
        <n v="0.00165"/>
        <n v="0.00167"/>
        <n v="0.00169"/>
        <n v="0.00171"/>
        <n v="0.0018"/>
        <n v="0.00181"/>
        <n v="0.00182"/>
        <n v="0.00183"/>
        <n v="0.00188"/>
        <n v="0.00193"/>
        <n v="0.00197"/>
        <n v="0.00198"/>
        <n v="0.00201"/>
        <n v="0.00202"/>
        <n v="0.00203"/>
        <n v="0.00224"/>
        <n v="0.00233"/>
        <n v="0.00239"/>
        <n v="0.00244"/>
        <n v="0.00247"/>
        <n v="0.00248"/>
        <n v="0.0025"/>
        <n v="0.00258"/>
        <n v="0.00261"/>
        <n v="0.00264"/>
        <n v="0.00268"/>
        <n v="0.00275"/>
        <n v="0.00278"/>
        <n v="0.00282"/>
        <n v="0.00283"/>
        <n v="0.00286"/>
        <n v="0.00298"/>
        <n v="0.00303"/>
        <n v="0.00308"/>
        <n v="0.00311"/>
        <n v="0.00325"/>
        <n v="0.00327"/>
        <n v="0.00336"/>
        <n v="0.00342"/>
        <n v="0.00355"/>
        <n v="0.00372"/>
        <n v="0.00377"/>
        <n v="0.00392"/>
        <n v="0.00402"/>
        <n v="0.00404"/>
        <n v="0.00409"/>
        <n v="0.00412"/>
        <n v="0.00413"/>
        <n v="0.0042"/>
        <n v="0.00428"/>
        <n v="0.00431"/>
        <n v="0.00432"/>
        <n v="0.00443"/>
        <n v="0.00446"/>
        <n v="0.00482"/>
        <n v="0.00484"/>
        <n v="0.0049"/>
        <n v="0.00492"/>
        <n v="0.00508"/>
        <n v="0.00512"/>
        <n v="0.00517"/>
        <n v="0.00534"/>
        <n v="0.00553"/>
        <n v="0.0056"/>
        <n v="0.00571"/>
        <n v="0.00574"/>
        <n v="0.00599"/>
        <n v="0.00608"/>
        <n v="0.00664"/>
        <n v="0.00669"/>
        <n v="0.00672"/>
        <n v="0.00678"/>
        <n v="0.00682"/>
        <n v="0.00689"/>
        <n v="0.00696"/>
        <n v="0.00697"/>
        <n v="0.00701"/>
        <n v="0.00703"/>
        <n v="0.00714"/>
        <n v="0.00719"/>
        <n v="0.00762"/>
        <n v="0.00771"/>
        <n v="0.00784"/>
        <n v="0.00788"/>
        <n v="0.00792"/>
        <n v="0.00796"/>
        <n v="0.0083"/>
        <n v="0.00853"/>
        <n v="0.00855"/>
        <n v="0.00859"/>
        <n v="0.00863"/>
        <n v="0.00866"/>
        <n v="0.00916"/>
        <n v="0.00951"/>
        <n v="0.00959"/>
        <n v="0.00986"/>
        <n v="0.00989"/>
        <n v="0.0101"/>
        <n v="0.0102"/>
        <n v="0.0103"/>
        <n v="0.0104"/>
        <n v="0.0106"/>
        <n v="0.0115"/>
        <n v="0.0116"/>
        <n v="0.0123"/>
        <n v="0.0126"/>
        <n v="0.0127"/>
        <n v="0.0128"/>
        <n v="0.013"/>
        <n v="0.0139"/>
        <n v="0.0146"/>
        <n v="0.0147"/>
        <n v="0.015"/>
        <n v="0.0155"/>
        <n v="0.0162"/>
        <n v="0.0167"/>
        <n v="0.0172"/>
        <n v="0.0173"/>
        <n v="0.0177"/>
        <n v="0.0185"/>
        <n v="0.0186"/>
        <n v="0.0187"/>
        <n v="0.0202"/>
        <n v="0.0204"/>
        <n v="0.0218"/>
        <n v="0.0219"/>
        <n v="0.0222"/>
        <n v="0.0223"/>
        <n v="0.025"/>
        <n v="0.029"/>
        <n v="0.0293"/>
        <n v="0.0308"/>
        <n v="0.0331"/>
        <n v="0.0345"/>
        <n v="0.0346"/>
        <n v="0.035"/>
        <n v="0.0362"/>
        <n v="0.0373"/>
        <n v="0.0391"/>
        <n v="0.043"/>
        <n v="0.048"/>
        <n v="0.0482"/>
        <n v="0.0494"/>
        <n v="0.051"/>
        <n v="0.0545"/>
        <n v="0.0562"/>
        <n v="0.0566"/>
        <n v="0.0569"/>
        <n v="0.0597"/>
        <n v="0.0603"/>
        <n v="0.064"/>
        <n v="0.065"/>
        <n v="0.0654"/>
        <n v="0.0665"/>
        <n v="0.0676"/>
        <n v="0.0746"/>
        <n v="0.0812"/>
        <n v="0.085"/>
        <n v="0.0869"/>
        <n v="0.0872"/>
        <n v="0.0876"/>
        <n v="0.0901"/>
        <n v="0.0972"/>
        <n v="0.0984"/>
        <n v="0.105"/>
        <n v="0.106"/>
        <n v="0.108"/>
        <n v="0.115"/>
        <n v="0.117"/>
        <n v="0.119"/>
        <n v="0.122"/>
        <n v="0.127"/>
        <n v="0.128"/>
        <n v="0.129"/>
        <n v="0.13"/>
        <n v="0.132"/>
        <n v="0.145"/>
        <n v="0.146"/>
        <n v="0.148"/>
        <n v="0.149"/>
        <n v="0.15"/>
        <n v="0.154"/>
        <n v="0.161"/>
        <n v="0.162"/>
        <n v="0.166"/>
        <n v="0.181"/>
        <n v="0.197"/>
        <n v="0.201"/>
        <n v="0.205"/>
        <n v="0.21"/>
        <n v="0.219"/>
        <n v="0.225"/>
        <n v="0.227"/>
        <n v="0.257"/>
        <n v="0.282"/>
        <n v="0.306"/>
        <n v="0.324"/>
        <n v="0.325"/>
        <n v="0.391"/>
        <n v="0.441"/>
        <n v="0.445"/>
        <n v="0.447"/>
        <n v="0.461"/>
        <n v="0.473"/>
        <n v="0.493"/>
        <n v="0.5"/>
        <n v="0.504"/>
        <n v="0.591"/>
        <n v="0.609"/>
        <n v="0.63"/>
        <n v="0.661"/>
        <n v="0.683"/>
        <n v="0.69"/>
        <n v="0.691"/>
        <n v="0.693"/>
        <n v="0.712"/>
        <n v="0.713"/>
        <n v="0.72"/>
        <n v="0.751"/>
        <n v="0.792"/>
        <n v="0.799"/>
        <n v="0.809"/>
        <n v="0.812"/>
        <n v="0.828"/>
        <n v="0.894"/>
        <n v="0.901"/>
        <n v="0.925"/>
        <n v="0.985"/>
      </sharedItems>
    </cacheField>
    <cacheField name="liveness" numFmtId="0">
      <sharedItems containsSemiMixedTypes="0" containsString="0" containsNumber="1" minValue="0.0215" maxValue="0.853" count="783">
        <n v="0.0215"/>
        <n v="0.0234"/>
        <n v="0.0241"/>
        <n v="0.0263"/>
        <n v="0.0272"/>
        <n v="0.028"/>
        <n v="0.0283"/>
        <n v="0.0286"/>
        <n v="0.0288"/>
        <n v="0.029"/>
        <n v="0.0304"/>
        <n v="0.0305"/>
        <n v="0.0308"/>
        <n v="0.0315"/>
        <n v="0.0317"/>
        <n v="0.0322"/>
        <n v="0.0327"/>
        <n v="0.0332"/>
        <n v="0.0335"/>
        <n v="0.034"/>
        <n v="0.0342"/>
        <n v="0.0344"/>
        <n v="0.0348"/>
        <n v="0.0351"/>
        <n v="0.0352"/>
        <n v="0.0356"/>
        <n v="0.0357"/>
        <n v="0.036"/>
        <n v="0.0361"/>
        <n v="0.0367"/>
        <n v="0.0368"/>
        <n v="0.0371"/>
        <n v="0.0374"/>
        <n v="0.0383"/>
        <n v="0.0384"/>
        <n v="0.0385"/>
        <n v="0.0388"/>
        <n v="0.0394"/>
        <n v="0.0395"/>
        <n v="0.0396"/>
        <n v="0.0399"/>
        <n v="0.04"/>
        <n v="0.0403"/>
        <n v="0.0404"/>
        <n v="0.0405"/>
        <n v="0.041"/>
        <n v="0.0415"/>
        <n v="0.0416"/>
        <n v="0.0418"/>
        <n v="0.0419"/>
        <n v="0.0424"/>
        <n v="0.0426"/>
        <n v="0.0427"/>
        <n v="0.044"/>
        <n v="0.0441"/>
        <n v="0.0452"/>
        <n v="0.0454"/>
        <n v="0.0456"/>
        <n v="0.0457"/>
        <n v="0.0458"/>
        <n v="0.0463"/>
        <n v="0.0465"/>
        <n v="0.0466"/>
        <n v="0.0467"/>
        <n v="0.0468"/>
        <n v="0.0471"/>
        <n v="0.0473"/>
        <n v="0.0475"/>
        <n v="0.0477"/>
        <n v="0.0483"/>
        <n v="0.0485"/>
        <n v="0.0486"/>
        <n v="0.049"/>
        <n v="0.0491"/>
        <n v="0.0492"/>
        <n v="0.0496"/>
        <n v="0.0501"/>
        <n v="0.0504"/>
        <n v="0.0509"/>
        <n v="0.051"/>
        <n v="0.0515"/>
        <n v="0.0516"/>
        <n v="0.0517"/>
        <n v="0.0519"/>
        <n v="0.0521"/>
        <n v="0.0523"/>
        <n v="0.0524"/>
        <n v="0.0525"/>
        <n v="0.0526"/>
        <n v="0.0532"/>
        <n v="0.0533"/>
        <n v="0.0534"/>
        <n v="0.0535"/>
        <n v="0.0536"/>
        <n v="0.0537"/>
        <n v="0.054"/>
        <n v="0.0543"/>
        <n v="0.0545"/>
        <n v="0.0546"/>
        <n v="0.0549"/>
        <n v="0.0551"/>
        <n v="0.0552"/>
        <n v="0.0553"/>
        <n v="0.0554"/>
        <n v="0.0556"/>
        <n v="0.0561"/>
        <n v="0.0562"/>
        <n v="0.0563"/>
        <n v="0.0567"/>
        <n v="0.057"/>
        <n v="0.0574"/>
        <n v="0.0575"/>
        <n v="0.0576"/>
        <n v="0.0577"/>
        <n v="0.0578"/>
        <n v="0.058"/>
        <n v="0.0583"/>
        <n v="0.0584"/>
        <n v="0.0586"/>
        <n v="0.0589"/>
        <n v="0.0592"/>
        <n v="0.0594"/>
        <n v="0.0595"/>
        <n v="0.0596"/>
        <n v="0.0599"/>
        <n v="0.06"/>
        <n v="0.0601"/>
        <n v="0.0602"/>
        <n v="0.0604"/>
        <n v="0.0605"/>
        <n v="0.0614"/>
        <n v="0.0615"/>
        <n v="0.0616"/>
        <n v="0.0618"/>
        <n v="0.0619"/>
        <n v="0.062"/>
        <n v="0.0621"/>
        <n v="0.0622"/>
        <n v="0.0623"/>
        <n v="0.0626"/>
        <n v="0.0628"/>
        <n v="0.063"/>
        <n v="0.0631"/>
        <n v="0.0632"/>
        <n v="0.0633"/>
        <n v="0.0634"/>
        <n v="0.0636"/>
        <n v="0.0638"/>
        <n v="0.0639"/>
        <n v="0.064"/>
        <n v="0.0642"/>
        <n v="0.0644"/>
        <n v="0.0645"/>
        <n v="0.0646"/>
        <n v="0.0648"/>
        <n v="0.0649"/>
        <n v="0.065"/>
        <n v="0.0651"/>
        <n v="0.0655"/>
        <n v="0.0656"/>
        <n v="0.0657"/>
        <n v="0.0658"/>
        <n v="0.0664"/>
        <n v="0.0665"/>
        <n v="0.0666"/>
        <n v="0.0667"/>
        <n v="0.0669"/>
        <n v="0.067"/>
        <n v="0.0672"/>
        <n v="0.0674"/>
        <n v="0.0675"/>
        <n v="0.0677"/>
        <n v="0.0678"/>
        <n v="0.0679"/>
        <n v="0.068"/>
        <n v="0.0681"/>
        <n v="0.0682"/>
        <n v="0.0683"/>
        <n v="0.0685"/>
        <n v="0.0686"/>
        <n v="0.0687"/>
        <n v="0.0688"/>
        <n v="0.0689"/>
        <n v="0.069"/>
        <n v="0.0691"/>
        <n v="0.0692"/>
        <n v="0.0693"/>
        <n v="0.0694"/>
        <n v="0.0696"/>
        <n v="0.0697"/>
        <n v="0.0698"/>
        <n v="0.07"/>
        <n v="0.0701"/>
        <n v="0.0703"/>
        <n v="0.0706"/>
        <n v="0.0707"/>
        <n v="0.0708"/>
        <n v="0.0709"/>
        <n v="0.071"/>
        <n v="0.0712"/>
        <n v="0.0713"/>
        <n v="0.0714"/>
        <n v="0.0715"/>
        <n v="0.0717"/>
        <n v="0.0718"/>
        <n v="0.0719"/>
        <n v="0.072"/>
        <n v="0.0721"/>
        <n v="0.0723"/>
        <n v="0.0724"/>
        <n v="0.0725"/>
        <n v="0.0728"/>
        <n v="0.073"/>
        <n v="0.0731"/>
        <n v="0.0732"/>
        <n v="0.0733"/>
        <n v="0.0736"/>
        <n v="0.0737"/>
        <n v="0.074"/>
        <n v="0.0741"/>
        <n v="0.0743"/>
        <n v="0.0744"/>
        <n v="0.0745"/>
        <n v="0.0746"/>
        <n v="0.0748"/>
        <n v="0.0751"/>
        <n v="0.0753"/>
        <n v="0.0756"/>
        <n v="0.0757"/>
        <n v="0.0759"/>
        <n v="0.076"/>
        <n v="0.0761"/>
        <n v="0.0763"/>
        <n v="0.0764"/>
        <n v="0.0765"/>
        <n v="0.0767"/>
        <n v="0.0768"/>
        <n v="0.0769"/>
        <n v="0.0771"/>
        <n v="0.0772"/>
        <n v="0.0773"/>
        <n v="0.0774"/>
        <n v="0.0775"/>
        <n v="0.0783"/>
        <n v="0.0784"/>
        <n v="0.0785"/>
        <n v="0.0786"/>
        <n v="0.0787"/>
        <n v="0.0788"/>
        <n v="0.0789"/>
        <n v="0.079"/>
        <n v="0.0793"/>
        <n v="0.0794"/>
        <n v="0.0795"/>
        <n v="0.0797"/>
        <n v="0.0798"/>
        <n v="0.0799"/>
        <n v="0.0801"/>
        <n v="0.0805"/>
        <n v="0.0809"/>
        <n v="0.081"/>
        <n v="0.0811"/>
        <n v="0.0812"/>
        <n v="0.0813"/>
        <n v="0.0814"/>
        <n v="0.0816"/>
        <n v="0.0817"/>
        <n v="0.0818"/>
        <n v="0.0819"/>
        <n v="0.082"/>
        <n v="0.0822"/>
        <n v="0.0823"/>
        <n v="0.0824"/>
        <n v="0.0825"/>
        <n v="0.0826"/>
        <n v="0.0828"/>
        <n v="0.0829"/>
        <n v="0.0831"/>
        <n v="0.0832"/>
        <n v="0.0833"/>
        <n v="0.0836"/>
        <n v="0.0837"/>
        <n v="0.0838"/>
        <n v="0.0839"/>
        <n v="0.084"/>
        <n v="0.0841"/>
        <n v="0.0842"/>
        <n v="0.0843"/>
        <n v="0.0844"/>
        <n v="0.0845"/>
        <n v="0.0847"/>
        <n v="0.0848"/>
        <n v="0.0849"/>
        <n v="0.0851"/>
        <n v="0.0853"/>
        <n v="0.0854"/>
        <n v="0.0855"/>
        <n v="0.0856"/>
        <n v="0.0857"/>
        <n v="0.0859"/>
        <n v="0.086"/>
        <n v="0.0861"/>
        <n v="0.0862"/>
        <n v="0.0863"/>
        <n v="0.0864"/>
        <n v="0.0865"/>
        <n v="0.0867"/>
        <n v="0.0868"/>
        <n v="0.0869"/>
        <n v="0.087"/>
        <n v="0.0871"/>
        <n v="0.0873"/>
        <n v="0.0874"/>
        <n v="0.0876"/>
        <n v="0.0877"/>
        <n v="0.088"/>
        <n v="0.0881"/>
        <n v="0.0882"/>
        <n v="0.0884"/>
        <n v="0.0886"/>
        <n v="0.0887"/>
        <n v="0.0888"/>
        <n v="0.0889"/>
        <n v="0.089"/>
        <n v="0.0893"/>
        <n v="0.0894"/>
        <n v="0.0895"/>
        <n v="0.0896"/>
        <n v="0.0898"/>
        <n v="0.0899"/>
        <n v="0.09"/>
        <n v="0.0902"/>
        <n v="0.0903"/>
        <n v="0.0905"/>
        <n v="0.0906"/>
        <n v="0.0907"/>
        <n v="0.0908"/>
        <n v="0.0909"/>
        <n v="0.091"/>
        <n v="0.0911"/>
        <n v="0.0912"/>
        <n v="0.0913"/>
        <n v="0.0914"/>
        <n v="0.0916"/>
        <n v="0.0917"/>
        <n v="0.0919"/>
        <n v="0.092"/>
        <n v="0.0921"/>
        <n v="0.0922"/>
        <n v="0.0923"/>
        <n v="0.0924"/>
        <n v="0.0925"/>
        <n v="0.0926"/>
        <n v="0.0927"/>
        <n v="0.0929"/>
        <n v="0.093"/>
        <n v="0.0931"/>
        <n v="0.0932"/>
        <n v="0.0933"/>
        <n v="0.0934"/>
        <n v="0.0935"/>
        <n v="0.0936"/>
        <n v="0.0937"/>
        <n v="0.0939"/>
        <n v="0.094"/>
        <n v="0.0941"/>
        <n v="0.0943"/>
        <n v="0.0944"/>
        <n v="0.0945"/>
        <n v="0.0946"/>
        <n v="0.0947"/>
        <n v="0.0948"/>
        <n v="0.095"/>
        <n v="0.0951"/>
        <n v="0.0952"/>
        <n v="0.0953"/>
        <n v="0.0955"/>
        <n v="0.0956"/>
        <n v="0.0958"/>
        <n v="0.0959"/>
        <n v="0.096"/>
        <n v="0.0962"/>
        <n v="0.0963"/>
        <n v="0.0964"/>
        <n v="0.0966"/>
        <n v="0.0969"/>
        <n v="0.097"/>
        <n v="0.0972"/>
        <n v="0.0973"/>
        <n v="0.0974"/>
        <n v="0.0975"/>
        <n v="0.0977"/>
        <n v="0.0979"/>
        <n v="0.098"/>
        <n v="0.0981"/>
        <n v="0.0982"/>
        <n v="0.0983"/>
        <n v="0.0984"/>
        <n v="0.0986"/>
        <n v="0.099"/>
        <n v="0.0992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5"/>
        <n v="0.187"/>
        <n v="0.188"/>
        <n v="0.189"/>
        <n v="0.191"/>
        <n v="0.192"/>
        <n v="0.193"/>
        <n v="0.194"/>
        <n v="0.195"/>
        <n v="0.196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3"/>
        <n v="0.214"/>
        <n v="0.215"/>
        <n v="0.216"/>
        <n v="0.217"/>
        <n v="0.218"/>
        <n v="0.219"/>
        <n v="0.221"/>
        <n v="0.222"/>
        <n v="0.223"/>
        <n v="0.224"/>
        <n v="0.225"/>
        <n v="0.226"/>
        <n v="0.227"/>
        <n v="0.228"/>
        <n v="0.229"/>
        <n v="0.231"/>
        <n v="0.232"/>
        <n v="0.233"/>
        <n v="0.234"/>
        <n v="0.235"/>
        <n v="0.237"/>
        <n v="0.238"/>
        <n v="0.239"/>
        <n v="0.24"/>
        <n v="0.241"/>
        <n v="0.242"/>
        <n v="0.243"/>
        <n v="0.244"/>
        <n v="0.246"/>
        <n v="0.247"/>
        <n v="0.248"/>
        <n v="0.249"/>
        <n v="0.25"/>
        <n v="0.251"/>
        <n v="0.252"/>
        <n v="0.253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"/>
        <n v="0.281"/>
        <n v="0.282"/>
        <n v="0.283"/>
        <n v="0.284"/>
        <n v="0.285"/>
        <n v="0.286"/>
        <n v="0.287"/>
        <n v="0.289"/>
        <n v="0.29"/>
        <n v="0.291"/>
        <n v="0.292"/>
        <n v="0.293"/>
        <n v="0.294"/>
        <n v="0.296"/>
        <n v="0.297"/>
        <n v="0.298"/>
        <n v="0.299"/>
        <n v="0.3"/>
        <n v="0.304"/>
        <n v="0.305"/>
        <n v="0.306"/>
        <n v="0.307"/>
        <n v="0.308"/>
        <n v="0.309"/>
        <n v="0.31"/>
        <n v="0.311"/>
        <n v="0.313"/>
        <n v="0.314"/>
        <n v="0.315"/>
        <n v="0.316"/>
        <n v="0.317"/>
        <n v="0.318"/>
        <n v="0.319"/>
        <n v="0.32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4"/>
        <n v="0.335"/>
        <n v="0.336"/>
        <n v="0.338"/>
        <n v="0.339"/>
        <n v="0.34"/>
        <n v="0.341"/>
        <n v="0.342"/>
        <n v="0.343"/>
        <n v="0.344"/>
        <n v="0.346"/>
        <n v="0.347"/>
        <n v="0.348"/>
        <n v="0.349"/>
        <n v="0.35"/>
        <n v="0.352"/>
        <n v="0.353"/>
        <n v="0.354"/>
        <n v="0.355"/>
        <n v="0.358"/>
        <n v="0.359"/>
        <n v="0.36"/>
        <n v="0.361"/>
        <n v="0.362"/>
        <n v="0.363"/>
        <n v="0.364"/>
        <n v="0.366"/>
        <n v="0.367"/>
        <n v="0.368"/>
        <n v="0.369"/>
        <n v="0.37"/>
        <n v="0.371"/>
        <n v="0.372"/>
        <n v="0.373"/>
        <n v="0.375"/>
        <n v="0.376"/>
        <n v="0.378"/>
        <n v="0.379"/>
        <n v="0.38"/>
        <n v="0.382"/>
        <n v="0.383"/>
        <n v="0.384"/>
        <n v="0.385"/>
        <n v="0.386"/>
        <n v="0.388"/>
        <n v="0.389"/>
        <n v="0.39"/>
        <n v="0.391"/>
        <n v="0.392"/>
        <n v="0.393"/>
        <n v="0.396"/>
        <n v="0.398"/>
        <n v="0.401"/>
        <n v="0.402"/>
        <n v="0.404"/>
        <n v="0.405"/>
        <n v="0.406"/>
        <n v="0.408"/>
        <n v="0.409"/>
        <n v="0.412"/>
        <n v="0.413"/>
        <n v="0.414"/>
        <n v="0.415"/>
        <n v="0.416"/>
        <n v="0.421"/>
        <n v="0.424"/>
        <n v="0.425"/>
        <n v="0.426"/>
        <n v="0.427"/>
        <n v="0.429"/>
        <n v="0.431"/>
        <n v="0.437"/>
        <n v="0.439"/>
        <n v="0.44"/>
        <n v="0.451"/>
        <n v="0.452"/>
        <n v="0.454"/>
        <n v="0.46"/>
        <n v="0.466"/>
        <n v="0.467"/>
        <n v="0.473"/>
        <n v="0.483"/>
        <n v="0.484"/>
        <n v="0.486"/>
        <n v="0.495"/>
        <n v="0.498"/>
        <n v="0.5"/>
        <n v="0.504"/>
        <n v="0.507"/>
        <n v="0.509"/>
        <n v="0.518"/>
        <n v="0.52"/>
        <n v="0.533"/>
        <n v="0.537"/>
        <n v="0.547"/>
        <n v="0.548"/>
        <n v="0.549"/>
        <n v="0.55"/>
        <n v="0.552"/>
        <n v="0.556"/>
        <n v="0.557"/>
        <n v="0.56"/>
        <n v="0.565"/>
        <n v="0.573"/>
        <n v="0.575"/>
        <n v="0.578"/>
        <n v="0.582"/>
        <n v="0.584"/>
        <n v="0.586"/>
        <n v="0.592"/>
        <n v="0.593"/>
        <n v="0.598"/>
        <n v="0.601"/>
        <n v="0.602"/>
        <n v="0.604"/>
        <n v="0.606"/>
        <n v="0.61"/>
        <n v="0.612"/>
        <n v="0.613"/>
        <n v="0.614"/>
        <n v="0.623"/>
        <n v="0.625"/>
        <n v="0.626"/>
        <n v="0.628"/>
        <n v="0.631"/>
        <n v="0.635"/>
        <n v="0.636"/>
        <n v="0.639"/>
        <n v="0.648"/>
        <n v="0.649"/>
        <n v="0.65"/>
        <n v="0.652"/>
        <n v="0.658"/>
        <n v="0.661"/>
        <n v="0.664"/>
        <n v="0.665"/>
        <n v="0.668"/>
        <n v="0.671"/>
        <n v="0.676"/>
        <n v="0.682"/>
        <n v="0.686"/>
        <n v="0.689"/>
        <n v="0.694"/>
        <n v="0.698"/>
        <n v="0.707"/>
        <n v="0.737"/>
        <n v="0.742"/>
        <n v="0.744"/>
        <n v="0.752"/>
        <n v="0.753"/>
        <n v="0.755"/>
        <n v="0.775"/>
        <n v="0.795"/>
        <n v="0.801"/>
        <n v="0.817"/>
        <n v="0.82"/>
        <n v="0.826"/>
        <n v="0.833"/>
        <n v="0.839"/>
        <n v="0.843"/>
        <n v="0.853"/>
      </sharedItems>
    </cacheField>
    <cacheField name="valence" numFmtId="0">
      <sharedItems containsSemiMixedTypes="0" containsString="0" containsNumber="1" minValue="0.0381" maxValue="0.973" count="760">
        <n v="0.0381"/>
        <n v="0.0406"/>
        <n v="0.0594"/>
        <n v="0.0596"/>
        <n v="0.0681"/>
        <n v="0.0694"/>
        <n v="0.0756"/>
        <n v="0.0783"/>
        <n v="0.0784"/>
        <n v="0.0789"/>
        <n v="0.0793"/>
        <n v="0.08"/>
        <n v="0.0815"/>
        <n v="0.0824"/>
        <n v="0.0862"/>
        <n v="0.0883"/>
        <n v="0.0886"/>
        <n v="0.0902"/>
        <n v="0.0923"/>
        <n v="0.0942"/>
        <n v="0.0949"/>
        <n v="0.0951"/>
        <n v="0.0968"/>
        <n v="0.1"/>
        <n v="0.101"/>
        <n v="0.102"/>
        <n v="0.103"/>
        <n v="0.104"/>
        <n v="0.106"/>
        <n v="0.11"/>
        <n v="0.112"/>
        <n v="0.114"/>
        <n v="0.116"/>
        <n v="0.118"/>
        <n v="0.12"/>
        <n v="0.121"/>
        <n v="0.124"/>
        <n v="0.125"/>
        <n v="0.128"/>
        <n v="0.129"/>
        <n v="0.131"/>
        <n v="0.137"/>
        <n v="0.138"/>
        <n v="0.14"/>
        <n v="0.141"/>
        <n v="0.142"/>
        <n v="0.144"/>
        <n v="0.145"/>
        <n v="0.147"/>
        <n v="0.148"/>
        <n v="0.149"/>
        <n v="0.15"/>
        <n v="0.152"/>
        <n v="0.155"/>
        <n v="0.156"/>
        <n v="0.158"/>
        <n v="0.159"/>
        <n v="0.161"/>
        <n v="0.162"/>
        <n v="0.163"/>
        <n v="0.165"/>
        <n v="0.166"/>
        <n v="0.167"/>
        <n v="0.168"/>
        <n v="0.17"/>
        <n v="0.172"/>
        <n v="0.174"/>
        <n v="0.175"/>
        <n v="0.177"/>
        <n v="0.178"/>
        <n v="0.179"/>
        <n v="0.18"/>
        <n v="0.182"/>
        <n v="0.184"/>
        <n v="0.185"/>
        <n v="0.188"/>
        <n v="0.189"/>
        <n v="0.191"/>
        <n v="0.193"/>
        <n v="0.195"/>
        <n v="0.196"/>
        <n v="0.197"/>
        <n v="0.198"/>
        <n v="0.199"/>
        <n v="0.2"/>
        <n v="0.202"/>
        <n v="0.203"/>
        <n v="0.205"/>
        <n v="0.206"/>
        <n v="0.208"/>
        <n v="0.209"/>
        <n v="0.212"/>
        <n v="0.213"/>
        <n v="0.215"/>
        <n v="0.216"/>
        <n v="0.217"/>
        <n v="0.218"/>
        <n v="0.219"/>
        <n v="0.22"/>
        <n v="0.221"/>
        <n v="0.224"/>
        <n v="0.225"/>
        <n v="0.226"/>
        <n v="0.23"/>
        <n v="0.231"/>
        <n v="0.232"/>
        <n v="0.233"/>
        <n v="0.234"/>
        <n v="0.235"/>
        <n v="0.236"/>
        <n v="0.237"/>
        <n v="0.238"/>
        <n v="0.239"/>
        <n v="0.24"/>
        <n v="0.243"/>
        <n v="0.244"/>
        <n v="0.245"/>
        <n v="0.247"/>
        <n v="0.248"/>
        <n v="0.249"/>
        <n v="0.25"/>
        <n v="0.251"/>
        <n v="0.253"/>
        <n v="0.254"/>
        <n v="0.255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1"/>
        <n v="0.282"/>
        <n v="0.283"/>
        <n v="0.284"/>
        <n v="0.285"/>
        <n v="0.286"/>
        <n v="0.287"/>
        <n v="0.288"/>
        <n v="0.289"/>
        <n v="0.29"/>
        <n v="0.291"/>
        <n v="0.293"/>
        <n v="0.294"/>
        <n v="0.295"/>
        <n v="0.296"/>
        <n v="0.297"/>
        <n v="0.298"/>
        <n v="0.299"/>
        <n v="0.301"/>
        <n v="0.302"/>
        <n v="0.304"/>
        <n v="0.305"/>
        <n v="0.306"/>
        <n v="0.309"/>
        <n v="0.312"/>
        <n v="0.313"/>
        <n v="0.316"/>
        <n v="0.317"/>
        <n v="0.318"/>
        <n v="0.319"/>
        <n v="0.321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5"/>
        <n v="0.336"/>
        <n v="0.337"/>
        <n v="0.338"/>
        <n v="0.339"/>
        <n v="0.34"/>
        <n v="0.341"/>
        <n v="0.342"/>
        <n v="0.343"/>
        <n v="0.344"/>
        <n v="0.345"/>
        <n v="0.346"/>
        <n v="0.347"/>
        <n v="0.348"/>
        <n v="0.349"/>
        <n v="0.35"/>
        <n v="0.351"/>
        <n v="0.352"/>
        <n v="0.353"/>
        <n v="0.354"/>
        <n v="0.355"/>
        <n v="0.356"/>
        <n v="0.357"/>
        <n v="0.358"/>
        <n v="0.359"/>
        <n v="0.36"/>
        <n v="0.361"/>
        <n v="0.362"/>
        <n v="0.364"/>
        <n v="0.365"/>
        <n v="0.367"/>
        <n v="0.368"/>
        <n v="0.369"/>
        <n v="0.37"/>
        <n v="0.371"/>
        <n v="0.372"/>
        <n v="0.373"/>
        <n v="0.374"/>
        <n v="0.375"/>
        <n v="0.376"/>
        <n v="0.377"/>
        <n v="0.378"/>
        <n v="0.379"/>
        <n v="0.38"/>
        <n v="0.381"/>
        <n v="0.382"/>
        <n v="0.383"/>
        <n v="0.385"/>
        <n v="0.386"/>
        <n v="0.387"/>
        <n v="0.388"/>
        <n v="0.389"/>
        <n v="0.39"/>
        <n v="0.391"/>
        <n v="0.392"/>
        <n v="0.393"/>
        <n v="0.394"/>
        <n v="0.395"/>
        <n v="0.396"/>
        <n v="0.397"/>
        <n v="0.398"/>
        <n v="0.4"/>
        <n v="0.401"/>
        <n v="0.402"/>
        <n v="0.405"/>
        <n v="0.407"/>
        <n v="0.408"/>
        <n v="0.409"/>
        <n v="0.41"/>
        <n v="0.411"/>
        <n v="0.412"/>
        <n v="0.413"/>
        <n v="0.416"/>
        <n v="0.417"/>
        <n v="0.418"/>
        <n v="0.419"/>
        <n v="0.42"/>
        <n v="0.421"/>
        <n v="0.422"/>
        <n v="0.423"/>
        <n v="0.424"/>
        <n v="0.425"/>
        <n v="0.426"/>
        <n v="0.427"/>
        <n v="0.428"/>
        <n v="0.429"/>
        <n v="0.43"/>
        <n v="0.431"/>
        <n v="0.432"/>
        <n v="0.433"/>
        <n v="0.434"/>
        <n v="0.435"/>
        <n v="0.436"/>
        <n v="0.437"/>
        <n v="0.438"/>
        <n v="0.439"/>
        <n v="0.441"/>
        <n v="0.442"/>
        <n v="0.443"/>
        <n v="0.444"/>
        <n v="0.445"/>
        <n v="0.446"/>
        <n v="0.447"/>
        <n v="0.448"/>
        <n v="0.449"/>
        <n v="0.45"/>
        <n v="0.452"/>
        <n v="0.453"/>
        <n v="0.454"/>
        <n v="0.455"/>
        <n v="0.456"/>
        <n v="0.457"/>
        <n v="0.458"/>
        <n v="0.459"/>
        <n v="0.46"/>
        <n v="0.461"/>
        <n v="0.462"/>
        <n v="0.463"/>
        <n v="0.464"/>
        <n v="0.465"/>
        <n v="0.466"/>
        <n v="0.467"/>
        <n v="0.468"/>
        <n v="0.469"/>
        <n v="0.47"/>
        <n v="0.471"/>
        <n v="0.472"/>
        <n v="0.473"/>
        <n v="0.475"/>
        <n v="0.476"/>
        <n v="0.477"/>
        <n v="0.478"/>
        <n v="0.479"/>
        <n v="0.48"/>
        <n v="0.481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5"/>
        <n v="0.526"/>
        <n v="0.527"/>
        <n v="0.528"/>
        <n v="0.529"/>
        <n v="0.53"/>
        <n v="0.531"/>
        <n v="0.532"/>
        <n v="0.533"/>
        <n v="0.534"/>
        <n v="0.535"/>
        <n v="0.536"/>
        <n v="0.537"/>
        <n v="0.538"/>
        <n v="0.539"/>
        <n v="0.54"/>
        <n v="0.542"/>
        <n v="0.543"/>
        <n v="0.544"/>
        <n v="0.545"/>
        <n v="0.546"/>
        <n v="0.547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9"/>
        <n v="0.6"/>
        <n v="0.601"/>
        <n v="0.602"/>
        <n v="0.603"/>
        <n v="0.604"/>
        <n v="0.605"/>
        <n v="0.606"/>
        <n v="0.607"/>
        <n v="0.609"/>
        <n v="0.61"/>
        <n v="0.611"/>
        <n v="0.612"/>
        <n v="0.613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9"/>
        <n v="0.7"/>
        <n v="0.701"/>
        <n v="0.702"/>
        <n v="0.703"/>
        <n v="0.705"/>
        <n v="0.706"/>
        <n v="0.707"/>
        <n v="0.708"/>
        <n v="0.709"/>
        <n v="0.71"/>
        <n v="0.711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3"/>
        <n v="0.734"/>
        <n v="0.735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2"/>
        <n v="0.773"/>
        <n v="0.774"/>
        <n v="0.775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5"/>
        <n v="0.806"/>
        <n v="0.807"/>
        <n v="0.808"/>
        <n v="0.809"/>
        <n v="0.81"/>
        <n v="0.811"/>
        <n v="0.812"/>
        <n v="0.814"/>
        <n v="0.815"/>
        <n v="0.816"/>
        <n v="0.817"/>
        <n v="0.818"/>
        <n v="0.819"/>
        <n v="0.82"/>
        <n v="0.821"/>
        <n v="0.822"/>
        <n v="0.824"/>
        <n v="0.825"/>
        <n v="0.827"/>
        <n v="0.828"/>
        <n v="0.829"/>
        <n v="0.831"/>
        <n v="0.833"/>
        <n v="0.834"/>
        <n v="0.835"/>
        <n v="0.836"/>
        <n v="0.839"/>
        <n v="0.84"/>
        <n v="0.841"/>
        <n v="0.843"/>
        <n v="0.844"/>
        <n v="0.845"/>
        <n v="0.846"/>
        <n v="0.847"/>
        <n v="0.848"/>
        <n v="0.849"/>
        <n v="0.85"/>
        <n v="0.851"/>
        <n v="0.852"/>
        <n v="0.854"/>
        <n v="0.855"/>
        <n v="0.856"/>
        <n v="0.858"/>
        <n v="0.86"/>
        <n v="0.861"/>
        <n v="0.862"/>
        <n v="0.863"/>
        <n v="0.864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9"/>
        <n v="0.902"/>
        <n v="0.903"/>
        <n v="0.904"/>
        <n v="0.905"/>
        <n v="0.907"/>
        <n v="0.908"/>
        <n v="0.91"/>
        <n v="0.911"/>
        <n v="0.912"/>
        <n v="0.917"/>
        <n v="0.918"/>
        <n v="0.919"/>
        <n v="0.922"/>
        <n v="0.923"/>
        <n v="0.924"/>
        <n v="0.925"/>
        <n v="0.926"/>
        <n v="0.927"/>
        <n v="0.928"/>
        <n v="0.931"/>
        <n v="0.932"/>
        <n v="0.933"/>
        <n v="0.934"/>
        <n v="0.935"/>
        <n v="0.936"/>
        <n v="0.937"/>
        <n v="0.939"/>
        <n v="0.94"/>
        <n v="0.941"/>
        <n v="0.942"/>
        <n v="0.947"/>
        <n v="0.948"/>
        <n v="0.95"/>
        <n v="0.952"/>
        <n v="0.955"/>
        <n v="0.957"/>
        <n v="0.959"/>
        <n v="0.96"/>
        <n v="0.961"/>
        <n v="0.962"/>
        <n v="0.963"/>
        <n v="0.964"/>
        <n v="0.965"/>
        <n v="0.966"/>
        <n v="0.968"/>
        <n v="0.969"/>
        <n v="0.972"/>
        <n v="0.973"/>
      </sharedItems>
    </cacheField>
    <cacheField name="song_mood" numFmtId="0">
      <sharedItems count="2">
        <s v="Negative"/>
        <s v="Positive"/>
      </sharedItems>
    </cacheField>
    <cacheField name="tempo" numFmtId="0">
      <sharedItems containsSemiMixedTypes="0" containsString="0" containsNumber="1" minValue="60.019" maxValue="210.851" count="1831">
        <n v="60.019"/>
        <n v="62.876"/>
        <n v="64.934"/>
        <n v="65.043"/>
        <n v="65.997"/>
        <n v="68.507"/>
        <n v="68.637"/>
        <n v="68.942"/>
        <n v="68.976"/>
        <n v="70.543"/>
        <n v="71.815"/>
        <n v="72.016"/>
        <n v="72.022"/>
        <n v="72.795"/>
        <n v="73.003"/>
        <n v="73.108"/>
        <n v="73.464"/>
        <n v="73.881"/>
        <n v="73.898"/>
        <n v="73.987"/>
        <n v="74.007"/>
        <n v="74.008"/>
        <n v="74.132"/>
        <n v="74.541"/>
        <n v="74.989"/>
        <n v="75.007"/>
        <n v="75.016"/>
        <n v="75.023"/>
        <n v="75.048"/>
        <n v="75.087"/>
        <n v="75.089"/>
        <n v="75.09"/>
        <n v="75.223"/>
        <n v="75.255"/>
        <n v="75.272"/>
        <n v="75.445"/>
        <n v="75.881"/>
        <n v="75.974"/>
        <n v="76"/>
        <n v="76.026"/>
        <n v="76.035"/>
        <n v="76.052"/>
        <n v="76.093"/>
        <n v="76.899"/>
        <n v="76.91"/>
        <n v="77.019"/>
        <n v="77.169"/>
        <n v="77.217"/>
        <n v="77.49"/>
        <n v="77.499"/>
        <n v="77.506"/>
        <n v="77.521"/>
        <n v="77.967"/>
        <n v="77.984"/>
        <n v="77.987"/>
        <n v="78.005"/>
        <n v="78.139"/>
        <n v="78.375"/>
        <n v="78.502"/>
        <n v="78.521"/>
        <n v="78.756"/>
        <n v="78.935"/>
        <n v="78.946"/>
        <n v="78.955"/>
        <n v="78.969"/>
        <n v="78.996"/>
        <n v="78.998"/>
        <n v="79.01"/>
        <n v="79.012"/>
        <n v="79.064"/>
        <n v="79.119"/>
        <n v="79.166"/>
        <n v="79.178"/>
        <n v="79.526"/>
        <n v="79.635"/>
        <n v="79.702"/>
        <n v="79.753"/>
        <n v="79.798"/>
        <n v="79.882"/>
        <n v="79.918"/>
        <n v="79.979"/>
        <n v="79.983"/>
        <n v="79.984"/>
        <n v="79.993"/>
        <n v="79.997"/>
        <n v="80"/>
        <n v="80.001"/>
        <n v="80.003"/>
        <n v="80.021"/>
        <n v="80.025"/>
        <n v="80.029"/>
        <n v="80.045"/>
        <n v="80.051"/>
        <n v="80.063"/>
        <n v="80.512"/>
        <n v="80.529"/>
        <n v="80.569"/>
        <n v="80.718"/>
        <n v="81.001"/>
        <n v="81.008"/>
        <n v="81.125"/>
        <n v="81.418"/>
        <n v="81.502"/>
        <n v="81.663"/>
        <n v="81.897"/>
        <n v="81.931"/>
        <n v="81.946"/>
        <n v="81.975"/>
        <n v="81.986"/>
        <n v="81.995"/>
        <n v="81.998"/>
        <n v="82.014"/>
        <n v="82.017"/>
        <n v="82.034"/>
        <n v="82.038"/>
        <n v="82.082"/>
        <n v="82.168"/>
        <n v="82.324"/>
        <n v="82.331"/>
        <n v="82.439"/>
        <n v="82.48"/>
        <n v="82.499"/>
        <n v="82.695"/>
        <n v="82.803"/>
        <n v="82.82"/>
        <n v="82.92"/>
        <n v="82.952"/>
        <n v="82.962"/>
        <n v="82.996"/>
        <n v="83.001"/>
        <n v="83.014"/>
        <n v="83.066"/>
        <n v="83.089"/>
        <n v="83.093"/>
        <n v="83.133"/>
        <n v="83.235"/>
        <n v="83.293"/>
        <n v="83.373"/>
        <n v="83.46"/>
        <n v="83.61"/>
        <n v="83.701"/>
        <n v="83.903"/>
        <n v="83.993"/>
        <n v="83.998"/>
        <n v="84.003"/>
        <n v="84.021"/>
        <n v="84.03"/>
        <n v="84.038"/>
        <n v="84.039"/>
        <n v="84.044"/>
        <n v="84.094"/>
        <n v="84.11"/>
        <n v="84.192"/>
        <n v="84.264"/>
        <n v="84.411"/>
        <n v="84.722"/>
        <n v="84.786"/>
        <n v="84.789"/>
        <n v="84.858"/>
        <n v="84.878"/>
        <n v="84.995"/>
        <n v="85.012"/>
        <n v="85.013"/>
        <n v="85.014"/>
        <n v="85.03"/>
        <n v="85.098"/>
        <n v="85.565"/>
        <n v="85.979"/>
        <n v="85.996"/>
        <n v="86.003"/>
        <n v="86.009"/>
        <n v="86.01"/>
        <n v="86.307"/>
        <n v="86.31"/>
        <n v="86.412"/>
        <n v="86.443"/>
        <n v="86.444"/>
        <n v="86.491"/>
        <n v="86.768"/>
        <n v="86.776"/>
        <n v="86.844"/>
        <n v="86.891"/>
        <n v="86.917"/>
        <n v="86.989"/>
        <n v="86.994"/>
        <n v="87"/>
        <n v="87.002"/>
        <n v="87.016"/>
        <n v="87.025"/>
        <n v="87.165"/>
        <n v="87.312"/>
        <n v="87.908"/>
        <n v="87.999"/>
        <n v="88.009"/>
        <n v="88.029"/>
        <n v="88.042"/>
        <n v="88.928"/>
        <n v="88.933"/>
        <n v="88.997"/>
        <n v="89.036"/>
        <n v="89.279"/>
        <n v="89.338"/>
        <n v="89.342"/>
        <n v="89.391"/>
        <n v="89.488"/>
        <n v="89.567"/>
        <n v="89.64"/>
        <n v="89.661"/>
        <n v="89.767"/>
        <n v="89.782"/>
        <n v="89.824"/>
        <n v="89.828"/>
        <n v="89.885"/>
        <n v="89.917"/>
        <n v="89.938"/>
        <n v="89.956"/>
        <n v="89.96"/>
        <n v="89.972"/>
        <n v="89.976"/>
        <n v="89.983"/>
        <n v="89.987"/>
        <n v="89.989"/>
        <n v="89.99"/>
        <n v="89.993"/>
        <n v="89.996"/>
        <n v="90.007"/>
        <n v="90.013"/>
        <n v="90.02"/>
        <n v="90.024"/>
        <n v="90.027"/>
        <n v="90.032"/>
        <n v="90.034"/>
        <n v="90.037"/>
        <n v="90.038"/>
        <n v="90.04"/>
        <n v="90.048"/>
        <n v="90.051"/>
        <n v="90.052"/>
        <n v="90.063"/>
        <n v="90.079"/>
        <n v="90.09"/>
        <n v="90.098"/>
        <n v="90.119"/>
        <n v="90.246"/>
        <n v="90.268"/>
        <n v="90.482"/>
        <n v="90.838"/>
        <n v="90.933"/>
        <n v="90.949"/>
        <n v="90.951"/>
        <n v="90.99"/>
        <n v="91.011"/>
        <n v="91.025"/>
        <n v="91.03"/>
        <n v="91.031"/>
        <n v="91.048"/>
        <n v="91.066"/>
        <n v="91.1"/>
        <n v="91.455"/>
        <n v="91.868"/>
        <n v="91.873"/>
        <n v="91.881"/>
        <n v="91.964"/>
        <n v="91.969"/>
        <n v="91.97"/>
        <n v="91.972"/>
        <n v="91.974"/>
        <n v="91.977"/>
        <n v="91.987"/>
        <n v="91.993"/>
        <n v="91.999"/>
        <n v="92.004"/>
        <n v="92.01"/>
        <n v="92.011"/>
        <n v="92.029"/>
        <n v="92.035"/>
        <n v="92.063"/>
        <n v="92.074"/>
        <n v="92.134"/>
        <n v="92.474"/>
        <n v="92.515"/>
        <n v="92.6"/>
        <n v="92.729"/>
        <n v="92.791"/>
        <n v="92.849"/>
        <n v="92.854"/>
        <n v="92.887"/>
        <n v="92.923"/>
        <n v="92.943"/>
        <n v="92.956"/>
        <n v="92.98"/>
        <n v="92.987"/>
        <n v="92.988"/>
        <n v="92.997"/>
        <n v="93.01"/>
        <n v="93.013"/>
        <n v="93.02"/>
        <n v="93.023"/>
        <n v="93.033"/>
        <n v="93.034"/>
        <n v="93.04"/>
        <n v="93.043"/>
        <n v="93.047"/>
        <n v="93.118"/>
        <n v="93.372"/>
        <n v="93.401"/>
        <n v="93.41"/>
        <n v="93.416"/>
        <n v="93.63"/>
        <n v="93.763"/>
        <n v="93.839"/>
        <n v="93.95"/>
        <n v="93.955"/>
        <n v="93.961"/>
        <n v="93.967"/>
        <n v="93.982"/>
        <n v="93.984"/>
        <n v="93.989"/>
        <n v="94.006"/>
        <n v="94.01"/>
        <n v="94.014"/>
        <n v="94.019"/>
        <n v="94.02"/>
        <n v="94.023"/>
        <n v="94.05"/>
        <n v="94.059"/>
        <n v="94.163"/>
        <n v="94.332"/>
        <n v="94.487"/>
        <n v="94.514"/>
        <n v="94.547"/>
        <n v="94.612"/>
        <n v="94.661"/>
        <n v="94.759"/>
        <n v="94.812"/>
        <n v="94.857"/>
        <n v="94.931"/>
        <n v="94.933"/>
        <n v="94.948"/>
        <n v="94.955"/>
        <n v="94.956"/>
        <n v="94.968"/>
        <n v="94.977"/>
        <n v="94.981"/>
        <n v="94.988"/>
        <n v="94.992"/>
        <n v="94.998"/>
        <n v="95"/>
        <n v="95.001"/>
        <n v="95.005"/>
        <n v="95.01"/>
        <n v="95.012"/>
        <n v="95.022"/>
        <n v="95.026"/>
        <n v="95.027"/>
        <n v="95.029"/>
        <n v="95.04"/>
        <n v="95.049"/>
        <n v="95.05"/>
        <n v="95.051"/>
        <n v="95.053"/>
        <n v="95.073"/>
        <n v="95.078"/>
        <n v="95.079"/>
        <n v="95.084"/>
        <n v="95.109"/>
        <n v="95.158"/>
        <n v="95.295"/>
        <n v="95.313"/>
        <n v="95.321"/>
        <n v="95.468"/>
        <n v="95.498"/>
        <n v="95.506"/>
        <n v="95.508"/>
        <n v="95.799"/>
        <n v="95.802"/>
        <n v="95.824"/>
        <n v="95.881"/>
        <n v="95.9"/>
        <n v="95.948"/>
        <n v="95.95"/>
        <n v="95.953"/>
        <n v="95.967"/>
        <n v="95.975"/>
        <n v="95.977"/>
        <n v="95.989"/>
        <n v="95.992"/>
        <n v="95.997"/>
        <n v="96"/>
        <n v="96.005"/>
        <n v="96.009"/>
        <n v="96.021"/>
        <n v="96.033"/>
        <n v="96.055"/>
        <n v="96.057"/>
        <n v="96.072"/>
        <n v="96.102"/>
        <n v="96.103"/>
        <n v="96.133"/>
        <n v="96.184"/>
        <n v="96.306"/>
        <n v="96.507"/>
        <n v="96.525"/>
        <n v="96.673"/>
        <n v="96.924"/>
        <n v="96.938"/>
        <n v="96.946"/>
        <n v="96.95"/>
        <n v="96.951"/>
        <n v="96.975"/>
        <n v="96.976"/>
        <n v="96.979"/>
        <n v="96.991"/>
        <n v="96.998"/>
        <n v="97.004"/>
        <n v="97.007"/>
        <n v="97.018"/>
        <n v="97.028"/>
        <n v="97.035"/>
        <n v="97.036"/>
        <n v="97.043"/>
        <n v="97.062"/>
        <n v="97.084"/>
        <n v="97.448"/>
        <n v="97.512"/>
        <n v="97.565"/>
        <n v="97.577"/>
        <n v="97.865"/>
        <n v="97.867"/>
        <n v="97.911"/>
        <n v="97.914"/>
        <n v="97.917"/>
        <n v="97.922"/>
        <n v="97.954"/>
        <n v="97.972"/>
        <n v="97.979"/>
        <n v="97.981"/>
        <n v="97.984"/>
        <n v="97.985"/>
        <n v="97.988"/>
        <n v="97.994"/>
        <n v="97.996"/>
        <n v="98"/>
        <n v="98.007"/>
        <n v="98.012"/>
        <n v="98.014"/>
        <n v="98.016"/>
        <n v="98.018"/>
        <n v="98.02"/>
        <n v="98.024"/>
        <n v="98.027"/>
        <n v="98.031"/>
        <n v="98.043"/>
        <n v="98.052"/>
        <n v="98.054"/>
        <n v="98.062"/>
        <n v="98.064"/>
        <n v="98.077"/>
        <n v="98.082"/>
        <n v="98.098"/>
        <n v="98.523"/>
        <n v="98.525"/>
        <n v="98.56"/>
        <n v="98.579"/>
        <n v="98.631"/>
        <n v="98.985"/>
        <n v="98.986"/>
        <n v="98.989"/>
        <n v="98.992"/>
        <n v="98.994"/>
        <n v="98.998"/>
        <n v="99.002"/>
        <n v="99.008"/>
        <n v="99.009"/>
        <n v="99.019"/>
        <n v="99.057"/>
        <n v="99.059"/>
        <n v="99.099"/>
        <n v="99.165"/>
        <n v="99.271"/>
        <n v="99.316"/>
        <n v="99.581"/>
        <n v="99.699"/>
        <n v="99.738"/>
        <n v="99.825"/>
        <n v="99.848"/>
        <n v="99.886"/>
        <n v="99.905"/>
        <n v="99.916"/>
        <n v="99.931"/>
        <n v="99.933"/>
        <n v="99.945"/>
        <n v="99.952"/>
        <n v="99.96"/>
        <n v="99.961"/>
        <n v="99.965"/>
        <n v="99.968"/>
        <n v="99.971"/>
        <n v="99.973"/>
        <n v="99.974"/>
        <n v="99.977"/>
        <n v="99.978"/>
        <n v="99.979"/>
        <n v="99.987"/>
        <n v="99.988"/>
        <n v="99.989"/>
        <n v="99.99"/>
        <n v="99.991"/>
        <n v="99.992"/>
        <n v="99.993"/>
        <n v="99.998"/>
        <n v="100"/>
        <n v="100.001"/>
        <n v="100.005"/>
        <n v="100.007"/>
        <n v="100.01"/>
        <n v="100.011"/>
        <n v="100.014"/>
        <n v="100.015"/>
        <n v="100.017"/>
        <n v="100.021"/>
        <n v="100.024"/>
        <n v="100.025"/>
        <n v="100.028"/>
        <n v="100.034"/>
        <n v="100.04"/>
        <n v="100.041"/>
        <n v="100.047"/>
        <n v="100.05"/>
        <n v="100.093"/>
        <n v="100.094"/>
        <n v="100.113"/>
        <n v="100.15"/>
        <n v="100.163"/>
        <n v="100.202"/>
        <n v="100.215"/>
        <n v="100.304"/>
        <n v="100.315"/>
        <n v="100.363"/>
        <n v="100.38"/>
        <n v="100.418"/>
        <n v="100.46"/>
        <n v="100.541"/>
        <n v="100.584"/>
        <n v="100.618"/>
        <n v="100.631"/>
        <n v="100.813"/>
        <n v="100.851"/>
        <n v="100.963"/>
        <n v="100.966"/>
        <n v="100.969"/>
        <n v="100.972"/>
        <n v="101.003"/>
        <n v="101.013"/>
        <n v="101.018"/>
        <n v="101.019"/>
        <n v="101.025"/>
        <n v="101.043"/>
        <n v="101.129"/>
        <n v="101.654"/>
        <n v="101.868"/>
        <n v="101.875"/>
        <n v="101.955"/>
        <n v="101.965"/>
        <n v="101.968"/>
        <n v="101.969"/>
        <n v="101.983"/>
        <n v="101.985"/>
        <n v="101.993"/>
        <n v="102.009"/>
        <n v="102.017"/>
        <n v="102.028"/>
        <n v="102.03"/>
        <n v="102.04"/>
        <n v="102.043"/>
        <n v="102.053"/>
        <n v="102.071"/>
        <n v="102.072"/>
        <n v="102.192"/>
        <n v="102.211"/>
        <n v="102.42"/>
        <n v="102.516"/>
        <n v="102.757"/>
        <n v="102.847"/>
        <n v="102.958"/>
        <n v="102.961"/>
        <n v="102.977"/>
        <n v="102.978"/>
        <n v="102.99"/>
        <n v="102.998"/>
        <n v="103.008"/>
        <n v="103.019"/>
        <n v="103.032"/>
        <n v="103.035"/>
        <n v="103.055"/>
        <n v="103.141"/>
        <n v="103.183"/>
        <n v="103.376"/>
        <n v="103.383"/>
        <n v="103.502"/>
        <n v="103.7"/>
        <n v="103.887"/>
        <n v="103.967"/>
        <n v="103.971"/>
        <n v="103.976"/>
        <n v="103.987"/>
        <n v="103.992"/>
        <n v="103.993"/>
        <n v="103.997"/>
        <n v="103.998"/>
        <n v="104.003"/>
        <n v="104.013"/>
        <n v="104.016"/>
        <n v="104.02"/>
        <n v="104.025"/>
        <n v="104.029"/>
        <n v="104.036"/>
        <n v="104.038"/>
        <n v="104.237"/>
        <n v="104.504"/>
        <n v="104.561"/>
        <n v="104.592"/>
        <n v="104.655"/>
        <n v="104.719"/>
        <n v="104.833"/>
        <n v="104.838"/>
        <n v="104.917"/>
        <n v="104.923"/>
        <n v="104.946"/>
        <n v="104.948"/>
        <n v="104.975"/>
        <n v="104.981"/>
        <n v="104.987"/>
        <n v="104.988"/>
        <n v="104.99"/>
        <n v="104.992"/>
        <n v="105"/>
        <n v="105.005"/>
        <n v="105.006"/>
        <n v="105.013"/>
        <n v="105.017"/>
        <n v="105.018"/>
        <n v="105.024"/>
        <n v="105.027"/>
        <n v="105.038"/>
        <n v="105.049"/>
        <n v="105.115"/>
        <n v="105.143"/>
        <n v="105.253"/>
        <n v="105.412"/>
        <n v="105.678"/>
        <n v="105.828"/>
        <n v="105.922"/>
        <n v="105.955"/>
        <n v="105.987"/>
        <n v="105.991"/>
        <n v="105.997"/>
        <n v="106.008"/>
        <n v="106.028"/>
        <n v="106.031"/>
        <n v="106.046"/>
        <n v="106.083"/>
        <n v="106.095"/>
        <n v="106.191"/>
        <n v="106.22"/>
        <n v="106.254"/>
        <n v="106.279"/>
        <n v="106.328"/>
        <n v="106.52"/>
        <n v="106.676"/>
        <n v="106.93"/>
        <n v="106.957"/>
        <n v="106.97"/>
        <n v="106.986"/>
        <n v="106.996"/>
        <n v="106.997"/>
        <n v="107.005"/>
        <n v="107.01"/>
        <n v="107.011"/>
        <n v="107.045"/>
        <n v="107.075"/>
        <n v="107.17"/>
        <n v="107.288"/>
        <n v="107.331"/>
        <n v="107.356"/>
        <n v="107.657"/>
        <n v="107.849"/>
        <n v="107.853"/>
        <n v="107.884"/>
        <n v="107.908"/>
        <n v="107.949"/>
        <n v="107.985"/>
        <n v="107.993"/>
        <n v="107.995"/>
        <n v="108.002"/>
        <n v="108.023"/>
        <n v="108.034"/>
        <n v="108.061"/>
        <n v="108.102"/>
        <n v="108.241"/>
        <n v="108.955"/>
        <n v="108.984"/>
        <n v="109.021"/>
        <n v="109.581"/>
        <n v="109.598"/>
        <n v="109.599"/>
        <n v="109.781"/>
        <n v="109.891"/>
        <n v="109.919"/>
        <n v="109.97"/>
        <n v="109.974"/>
        <n v="109.979"/>
        <n v="109.981"/>
        <n v="110.003"/>
        <n v="110.006"/>
        <n v="110.007"/>
        <n v="110.009"/>
        <n v="110.01"/>
        <n v="110.015"/>
        <n v="110.018"/>
        <n v="110.019"/>
        <n v="110.026"/>
        <n v="110.027"/>
        <n v="110.049"/>
        <n v="110.086"/>
        <n v="110.127"/>
        <n v="110.169"/>
        <n v="110.444"/>
        <n v="110.567"/>
        <n v="110.621"/>
        <n v="110.898"/>
        <n v="110.955"/>
        <n v="111.002"/>
        <n v="111.014"/>
        <n v="111.121"/>
        <n v="111.202"/>
        <n v="111.572"/>
        <n v="111.647"/>
        <n v="111.893"/>
        <n v="111.91"/>
        <n v="111.959"/>
        <n v="111.97"/>
        <n v="111.98"/>
        <n v="111.987"/>
        <n v="111.989"/>
        <n v="111.995"/>
        <n v="111.996"/>
        <n v="112.009"/>
        <n v="112.019"/>
        <n v="112.027"/>
        <n v="112.028"/>
        <n v="112.238"/>
        <n v="112.291"/>
        <n v="112.913"/>
        <n v="112.955"/>
        <n v="112.956"/>
        <n v="112.96"/>
        <n v="112.968"/>
        <n v="113"/>
        <n v="113.003"/>
        <n v="113.021"/>
        <n v="113.029"/>
        <n v="113.03"/>
        <n v="113.049"/>
        <n v="113.053"/>
        <n v="113.082"/>
        <n v="113.172"/>
        <n v="113.324"/>
        <n v="113.525"/>
        <n v="113.901"/>
        <n v="113.922"/>
        <n v="113.927"/>
        <n v="113.939"/>
        <n v="113.945"/>
        <n v="113.996"/>
        <n v="114.003"/>
        <n v="114.016"/>
        <n v="114.03"/>
        <n v="114.038"/>
        <n v="114.066"/>
        <n v="114.101"/>
        <n v="114.328"/>
        <n v="114.452"/>
        <n v="114.635"/>
        <n v="114.759"/>
        <n v="114.906"/>
        <n v="114.912"/>
        <n v="114.948"/>
        <n v="114.962"/>
        <n v="114.964"/>
        <n v="114.965"/>
        <n v="114.966"/>
        <n v="114.98"/>
        <n v="114.988"/>
        <n v="114.991"/>
        <n v="114.999"/>
        <n v="115.005"/>
        <n v="115.007"/>
        <n v="115.012"/>
        <n v="115.033"/>
        <n v="115.057"/>
        <n v="115.142"/>
        <n v="115.284"/>
        <n v="115.68"/>
        <n v="115.995"/>
        <n v="115.998"/>
        <n v="116.01"/>
        <n v="116.017"/>
        <n v="116.019"/>
        <n v="116.02"/>
        <n v="116.024"/>
        <n v="116.027"/>
        <n v="116.043"/>
        <n v="116.044"/>
        <n v="116.047"/>
        <n v="116.097"/>
        <n v="116.529"/>
        <n v="116.59"/>
        <n v="116.714"/>
        <n v="116.838"/>
        <n v="116.879"/>
        <n v="116.948"/>
        <n v="116.967"/>
        <n v="116.972"/>
        <n v="116.98"/>
        <n v="117"/>
        <n v="117.002"/>
        <n v="117.009"/>
        <n v="117.011"/>
        <n v="117.015"/>
        <n v="117.021"/>
        <n v="117.029"/>
        <n v="117.033"/>
        <n v="117.089"/>
        <n v="117.31"/>
        <n v="117.338"/>
        <n v="117.533"/>
        <n v="117.901"/>
        <n v="117.932"/>
        <n v="117.948"/>
        <n v="117.952"/>
        <n v="117.971"/>
        <n v="117.973"/>
        <n v="117.98"/>
        <n v="117.985"/>
        <n v="117.986"/>
        <n v="117.996"/>
        <n v="118.004"/>
        <n v="118.007"/>
        <n v="118.011"/>
        <n v="118.014"/>
        <n v="118.016"/>
        <n v="118.021"/>
        <n v="118.035"/>
        <n v="118.384"/>
        <n v="118.413"/>
        <n v="118.449"/>
        <n v="118.491"/>
        <n v="118.877"/>
        <n v="118.903"/>
        <n v="118.981"/>
        <n v="118.984"/>
        <n v="118.988"/>
        <n v="118.991"/>
        <n v="118.992"/>
        <n v="118.999"/>
        <n v="119.001"/>
        <n v="119.002"/>
        <n v="119.011"/>
        <n v="119.012"/>
        <n v="119.038"/>
        <n v="119.075"/>
        <n v="119.311"/>
        <n v="119.41"/>
        <n v="119.603"/>
        <n v="119.74"/>
        <n v="119.844"/>
        <n v="119.854"/>
        <n v="119.889"/>
        <n v="119.906"/>
        <n v="119.918"/>
        <n v="119.93"/>
        <n v="119.94"/>
        <n v="119.949"/>
        <n v="119.95"/>
        <n v="119.951"/>
        <n v="119.952"/>
        <n v="119.955"/>
        <n v="119.957"/>
        <n v="119.959"/>
        <n v="119.961"/>
        <n v="119.963"/>
        <n v="119.964"/>
        <n v="119.968"/>
        <n v="119.974"/>
        <n v="119.975"/>
        <n v="119.976"/>
        <n v="119.977"/>
        <n v="119.978"/>
        <n v="119.986"/>
        <n v="119.987"/>
        <n v="119.988"/>
        <n v="119.991"/>
        <n v="119.992"/>
        <n v="119.993"/>
        <n v="119.995"/>
        <n v="119.998"/>
        <n v="119.999"/>
        <n v="120"/>
        <n v="120.001"/>
        <n v="120.003"/>
        <n v="120.005"/>
        <n v="120.008"/>
        <n v="120.01"/>
        <n v="120.011"/>
        <n v="120.012"/>
        <n v="120.013"/>
        <n v="120.014"/>
        <n v="120.015"/>
        <n v="120.02"/>
        <n v="120.021"/>
        <n v="120.022"/>
        <n v="120.028"/>
        <n v="120.036"/>
        <n v="120.041"/>
        <n v="120.042"/>
        <n v="120.043"/>
        <n v="120.046"/>
        <n v="120.05"/>
        <n v="120.051"/>
        <n v="120.052"/>
        <n v="120.057"/>
        <n v="120.063"/>
        <n v="120.066"/>
        <n v="120.08"/>
        <n v="120.119"/>
        <n v="120.163"/>
        <n v="120.226"/>
        <n v="120.264"/>
        <n v="120.274"/>
        <n v="120.315"/>
        <n v="120.493"/>
        <n v="120.837"/>
        <n v="120.872"/>
        <n v="120.892"/>
        <n v="120.939"/>
        <n v="120.97"/>
        <n v="121.003"/>
        <n v="121.006"/>
        <n v="121.028"/>
        <n v="121.03"/>
        <n v="121.057"/>
        <n v="121.07"/>
        <n v="121.223"/>
        <n v="121.243"/>
        <n v="121.392"/>
        <n v="121.491"/>
        <n v="121.549"/>
        <n v="121.732"/>
        <n v="121.845"/>
        <n v="121.906"/>
        <n v="121.908"/>
        <n v="121.918"/>
        <n v="121.939"/>
        <n v="121.949"/>
        <n v="121.956"/>
        <n v="121.958"/>
        <n v="121.969"/>
        <n v="121.983"/>
        <n v="121.985"/>
        <n v="121.989"/>
        <n v="121.993"/>
        <n v="121.996"/>
        <n v="122.003"/>
        <n v="122.01"/>
        <n v="122.014"/>
        <n v="122.015"/>
        <n v="122.019"/>
        <n v="122.028"/>
        <n v="122.029"/>
        <n v="122.035"/>
        <n v="122.229"/>
        <n v="122.444"/>
        <n v="122.668"/>
        <n v="122.728"/>
        <n v="122.746"/>
        <n v="122.769"/>
        <n v="122.803"/>
        <n v="122.95"/>
        <n v="122.961"/>
        <n v="122.973"/>
        <n v="122.979"/>
        <n v="122.988"/>
        <n v="122.993"/>
        <n v="123.002"/>
        <n v="123.005"/>
        <n v="123.007"/>
        <n v="123.008"/>
        <n v="123.013"/>
        <n v="123.016"/>
        <n v="123.021"/>
        <n v="123.061"/>
        <n v="123.063"/>
        <n v="123.067"/>
        <n v="123.07"/>
        <n v="123.091"/>
        <n v="123.146"/>
        <n v="123.229"/>
        <n v="123.279"/>
        <n v="123.696"/>
        <n v="123.802"/>
        <n v="123.904"/>
        <n v="123.907"/>
        <n v="123.925"/>
        <n v="123.941"/>
        <n v="123.943"/>
        <n v="123.95"/>
        <n v="123.962"/>
        <n v="123.971"/>
        <n v="123.973"/>
        <n v="123.976"/>
        <n v="123.98"/>
        <n v="123.984"/>
        <n v="123.993"/>
        <n v="123.994"/>
        <n v="123.996"/>
        <n v="124.007"/>
        <n v="124.017"/>
        <n v="124.021"/>
        <n v="124.022"/>
        <n v="124.036"/>
        <n v="124.047"/>
        <n v="124.053"/>
        <n v="124.071"/>
        <n v="124.072"/>
        <n v="124.08"/>
        <n v="124.082"/>
        <n v="124.191"/>
        <n v="124.484"/>
        <n v="124.599"/>
        <n v="124.638"/>
        <n v="124.814"/>
        <n v="124.906"/>
        <n v="124.909"/>
        <n v="124.91"/>
        <n v="124.913"/>
        <n v="124.915"/>
        <n v="124.921"/>
        <n v="124.938"/>
        <n v="124.954"/>
        <n v="124.959"/>
        <n v="124.96"/>
        <n v="124.97"/>
        <n v="124.975"/>
        <n v="124.977"/>
        <n v="124.982"/>
        <n v="124.986"/>
        <n v="124.987"/>
        <n v="124.988"/>
        <n v="124.989"/>
        <n v="124.99"/>
        <n v="124.994"/>
        <n v="124.996"/>
        <n v="124.999"/>
        <n v="125.002"/>
        <n v="125.004"/>
        <n v="125.008"/>
        <n v="125.01"/>
        <n v="125.011"/>
        <n v="125.014"/>
        <n v="125.02"/>
        <n v="125.022"/>
        <n v="125.026"/>
        <n v="125.03"/>
        <n v="125.036"/>
        <n v="125.04"/>
        <n v="125.055"/>
        <n v="125.061"/>
        <n v="125.083"/>
        <n v="125.085"/>
        <n v="125.139"/>
        <n v="125.173"/>
        <n v="125.25"/>
        <n v="125.358"/>
        <n v="125.461"/>
        <n v="125.802"/>
        <n v="125.846"/>
        <n v="125.876"/>
        <n v="125.905"/>
        <n v="125.906"/>
        <n v="125.916"/>
        <n v="125.946"/>
        <n v="125.953"/>
        <n v="125.972"/>
        <n v="125.978"/>
        <n v="125.983"/>
        <n v="125.985"/>
        <n v="125.99"/>
        <n v="125.997"/>
        <n v="125.999"/>
        <n v="126.003"/>
        <n v="126.007"/>
        <n v="126.008"/>
        <n v="126.01"/>
        <n v="126.014"/>
        <n v="126.015"/>
        <n v="126.016"/>
        <n v="126.017"/>
        <n v="126.019"/>
        <n v="126.025"/>
        <n v="126.026"/>
        <n v="126.027"/>
        <n v="126.03"/>
        <n v="126.035"/>
        <n v="126.04"/>
        <n v="126.041"/>
        <n v="126.05"/>
        <n v="126.052"/>
        <n v="126.056"/>
        <n v="126.058"/>
        <n v="126.062"/>
        <n v="126.069"/>
        <n v="126.091"/>
        <n v="126.092"/>
        <n v="126.094"/>
        <n v="126.115"/>
        <n v="126.127"/>
        <n v="126.279"/>
        <n v="126.326"/>
        <n v="126.342"/>
        <n v="126.607"/>
        <n v="126.684"/>
        <n v="126.766"/>
        <n v="126.853"/>
        <n v="126.879"/>
        <n v="126.885"/>
        <n v="126.899"/>
        <n v="126.928"/>
        <n v="126.975"/>
        <n v="126.976"/>
        <n v="126.979"/>
        <n v="126.986"/>
        <n v="126.988"/>
        <n v="126.99"/>
        <n v="126.991"/>
        <n v="127.002"/>
        <n v="127.008"/>
        <n v="127.019"/>
        <n v="127.029"/>
        <n v="127.037"/>
        <n v="127.041"/>
        <n v="127.045"/>
        <n v="127.075"/>
        <n v="127.079"/>
        <n v="127.177"/>
        <n v="127.435"/>
        <n v="127.487"/>
        <n v="127.51"/>
        <n v="127.673"/>
        <n v="127.683"/>
        <n v="127.831"/>
        <n v="127.839"/>
        <n v="127.884"/>
        <n v="127.894"/>
        <n v="127.898"/>
        <n v="127.901"/>
        <n v="127.91"/>
        <n v="127.919"/>
        <n v="127.921"/>
        <n v="127.923"/>
        <n v="127.932"/>
        <n v="127.934"/>
        <n v="127.937"/>
        <n v="127.938"/>
        <n v="127.941"/>
        <n v="127.945"/>
        <n v="127.946"/>
        <n v="127.952"/>
        <n v="127.955"/>
        <n v="127.96"/>
        <n v="127.961"/>
        <n v="127.962"/>
        <n v="127.963"/>
        <n v="127.965"/>
        <n v="127.966"/>
        <n v="127.967"/>
        <n v="127.973"/>
        <n v="127.974"/>
        <n v="127.975"/>
        <n v="127.979"/>
        <n v="127.98"/>
        <n v="127.981"/>
        <n v="127.985"/>
        <n v="127.988"/>
        <n v="127.99"/>
        <n v="127.992"/>
        <n v="127.993"/>
        <n v="127.995"/>
        <n v="127.998"/>
        <n v="127.999"/>
        <n v="128"/>
        <n v="128.001"/>
        <n v="128.002"/>
        <n v="128.003"/>
        <n v="128.005"/>
        <n v="128.006"/>
        <n v="128.008"/>
        <n v="128.009"/>
        <n v="128.011"/>
        <n v="128.012"/>
        <n v="128.013"/>
        <n v="128.014"/>
        <n v="128.015"/>
        <n v="128.016"/>
        <n v="128.019"/>
        <n v="128.024"/>
        <n v="128.027"/>
        <n v="128.035"/>
        <n v="128.04"/>
        <n v="128.044"/>
        <n v="128.045"/>
        <n v="128.06"/>
        <n v="128.062"/>
        <n v="128.07"/>
        <n v="128.074"/>
        <n v="128.077"/>
        <n v="128.108"/>
        <n v="128.29"/>
        <n v="128.429"/>
        <n v="128.593"/>
        <n v="128.658"/>
        <n v="128.93"/>
        <n v="128.945"/>
        <n v="128.954"/>
        <n v="128.98"/>
        <n v="129.003"/>
        <n v="129.005"/>
        <n v="129.006"/>
        <n v="129.007"/>
        <n v="129.014"/>
        <n v="129.016"/>
        <n v="129.023"/>
        <n v="129.024"/>
        <n v="129.026"/>
        <n v="129.042"/>
        <n v="129.054"/>
        <n v="129.055"/>
        <n v="129.078"/>
        <n v="129.221"/>
        <n v="129.297"/>
        <n v="129.352"/>
        <n v="129.37"/>
        <n v="129.491"/>
        <n v="129.884"/>
        <n v="129.885"/>
        <n v="129.911"/>
        <n v="129.923"/>
        <n v="129.925"/>
        <n v="129.94"/>
        <n v="129.944"/>
        <n v="129.954"/>
        <n v="129.956"/>
        <n v="129.959"/>
        <n v="129.962"/>
        <n v="129.963"/>
        <n v="129.964"/>
        <n v="129.965"/>
        <n v="129.967"/>
        <n v="129.973"/>
        <n v="129.983"/>
        <n v="129.988"/>
        <n v="129.992"/>
        <n v="129.994"/>
        <n v="129.996"/>
        <n v="129.998"/>
        <n v="130"/>
        <n v="130.002"/>
        <n v="130.003"/>
        <n v="130.009"/>
        <n v="130.011"/>
        <n v="130.012"/>
        <n v="130.014"/>
        <n v="130.015"/>
        <n v="130.017"/>
        <n v="130.018"/>
        <n v="130.02"/>
        <n v="130.021"/>
        <n v="130.027"/>
        <n v="130.028"/>
        <n v="130.033"/>
        <n v="130.034"/>
        <n v="130.036"/>
        <n v="130.037"/>
        <n v="130.048"/>
        <n v="130.049"/>
        <n v="130.064"/>
        <n v="130.072"/>
        <n v="130.075"/>
        <n v="130.089"/>
        <n v="130.093"/>
        <n v="130.103"/>
        <n v="130.127"/>
        <n v="130.159"/>
        <n v="130.198"/>
        <n v="130.581"/>
        <n v="130.739"/>
        <n v="130.889"/>
        <n v="130.97"/>
        <n v="130.989"/>
        <n v="130.99"/>
        <n v="130.993"/>
        <n v="130.999"/>
        <n v="131.012"/>
        <n v="131.044"/>
        <n v="131.05"/>
        <n v="131.059"/>
        <n v="131.105"/>
        <n v="131.497"/>
        <n v="131.925"/>
        <n v="131.934"/>
        <n v="131.942"/>
        <n v="131.951"/>
        <n v="131.959"/>
        <n v="131.977"/>
        <n v="131.98"/>
        <n v="131.988"/>
        <n v="132.013"/>
        <n v="132.017"/>
        <n v="132.032"/>
        <n v="132.035"/>
        <n v="132.067"/>
        <n v="132.078"/>
        <n v="132.493"/>
        <n v="132.612"/>
        <n v="132.722"/>
        <n v="132.817"/>
        <n v="132.918"/>
        <n v="132.964"/>
        <n v="132.971"/>
        <n v="133.002"/>
        <n v="133.053"/>
        <n v="133.123"/>
        <n v="133.592"/>
        <n v="133.631"/>
        <n v="133.838"/>
        <n v="133.912"/>
        <n v="133.962"/>
        <n v="133.973"/>
        <n v="133.974"/>
        <n v="133.986"/>
        <n v="133.99"/>
        <n v="133.992"/>
        <n v="133.993"/>
        <n v="134.002"/>
        <n v="134.007"/>
        <n v="134.021"/>
        <n v="134.036"/>
        <n v="134.052"/>
        <n v="134.079"/>
        <n v="134.17"/>
        <n v="134.199"/>
        <n v="134.465"/>
        <n v="134.945"/>
        <n v="134.96"/>
        <n v="134.966"/>
        <n v="134.992"/>
        <n v="135.012"/>
        <n v="135.021"/>
        <n v="135.047"/>
        <n v="135.048"/>
        <n v="135.095"/>
        <n v="135.099"/>
        <n v="135.128"/>
        <n v="135.205"/>
        <n v="135.702"/>
        <n v="135.956"/>
        <n v="135.968"/>
        <n v="135.977"/>
        <n v="135.998"/>
        <n v="136.002"/>
        <n v="136.01"/>
        <n v="136.024"/>
        <n v="136.027"/>
        <n v="136.041"/>
        <n v="136.048"/>
        <n v="136.065"/>
        <n v="136.086"/>
        <n v="136.202"/>
        <n v="136.245"/>
        <n v="136.482"/>
        <n v="136.518"/>
        <n v="136.802"/>
        <n v="136.859"/>
        <n v="136.953"/>
        <n v="136.991"/>
        <n v="137.029"/>
        <n v="137.03"/>
        <n v="137.046"/>
        <n v="137.077"/>
        <n v="137.133"/>
        <n v="137.616"/>
        <n v="137.776"/>
        <n v="137.825"/>
        <n v="137.958"/>
        <n v="137.965"/>
        <n v="137.972"/>
        <n v="137.982"/>
        <n v="137.996"/>
        <n v="138.009"/>
        <n v="138.015"/>
        <n v="138.018"/>
        <n v="138.021"/>
        <n v="138.045"/>
        <n v="138.058"/>
        <n v="138.083"/>
        <n v="138.113"/>
        <n v="138.202"/>
        <n v="138.335"/>
        <n v="138.559"/>
        <n v="138.585"/>
        <n v="138.852"/>
        <n v="138.975"/>
        <n v="139"/>
        <n v="139.023"/>
        <n v="139.028"/>
        <n v="139.048"/>
        <n v="139.066"/>
        <n v="139.091"/>
        <n v="139.432"/>
        <n v="139.61"/>
        <n v="139.631"/>
        <n v="139.691"/>
        <n v="139.85"/>
        <n v="139.861"/>
        <n v="139.896"/>
        <n v="139.909"/>
        <n v="139.913"/>
        <n v="139.92"/>
        <n v="139.928"/>
        <n v="139.956"/>
        <n v="139.976"/>
        <n v="139.982"/>
        <n v="139.986"/>
        <n v="139.987"/>
        <n v="139.992"/>
        <n v="139.993"/>
        <n v="139.994"/>
        <n v="140.002"/>
        <n v="140.004"/>
        <n v="140.008"/>
        <n v="140.01"/>
        <n v="140.012"/>
        <n v="140.022"/>
        <n v="140.029"/>
        <n v="140.03"/>
        <n v="140.036"/>
        <n v="140.042"/>
        <n v="140.043"/>
        <n v="140.046"/>
        <n v="140.048"/>
        <n v="140.05"/>
        <n v="140.06"/>
        <n v="140.083"/>
        <n v="140.127"/>
        <n v="140.141"/>
        <n v="140.144"/>
        <n v="140.329"/>
        <n v="140.889"/>
        <n v="140.969"/>
        <n v="140.987"/>
        <n v="141.04"/>
        <n v="141.153"/>
        <n v="141.893"/>
        <n v="141.933"/>
        <n v="141.955"/>
        <n v="141.967"/>
        <n v="141.971"/>
        <n v="141.99"/>
        <n v="142.016"/>
        <n v="142.017"/>
        <n v="142.019"/>
        <n v="142.034"/>
        <n v="142.079"/>
        <n v="142.113"/>
        <n v="142.365"/>
        <n v="142.881"/>
        <n v="142.929"/>
        <n v="143.04"/>
        <n v="143.048"/>
        <n v="143.052"/>
        <n v="143.067"/>
        <n v="143.555"/>
        <n v="143.772"/>
        <n v="143.808"/>
        <n v="143.853"/>
        <n v="143.866"/>
        <n v="143.955"/>
        <n v="143.96"/>
        <n v="143.961"/>
        <n v="143.994"/>
        <n v="144.033"/>
        <n v="144.036"/>
        <n v="144.043"/>
        <n v="144.069"/>
        <n v="144.072"/>
        <n v="144.09"/>
        <n v="144.106"/>
        <n v="144.142"/>
        <n v="144.188"/>
        <n v="144.636"/>
        <n v="144.673"/>
        <n v="144.705"/>
        <n v="144.833"/>
        <n v="144.905"/>
        <n v="144.937"/>
        <n v="144.946"/>
        <n v="144.953"/>
        <n v="144.954"/>
        <n v="144.972"/>
        <n v="144.982"/>
        <n v="144.992"/>
        <n v="145.031"/>
        <n v="145.038"/>
        <n v="145.042"/>
        <n v="145.082"/>
        <n v="145.115"/>
        <n v="145.171"/>
        <n v="145.867"/>
        <n v="145.879"/>
        <n v="145.889"/>
        <n v="145.894"/>
        <n v="145.914"/>
        <n v="145.916"/>
        <n v="145.926"/>
        <n v="145.959"/>
        <n v="145.972"/>
        <n v="145.992"/>
        <n v="145.999"/>
        <n v="146.024"/>
        <n v="146.034"/>
        <n v="146.078"/>
        <n v="146.155"/>
        <n v="146.163"/>
        <n v="146.301"/>
        <n v="146.349"/>
        <n v="146.559"/>
        <n v="146.928"/>
        <n v="146.994"/>
        <n v="147.007"/>
        <n v="147.387"/>
        <n v="147.905"/>
        <n v="147.932"/>
        <n v="147.973"/>
        <n v="147.99"/>
        <n v="147.997"/>
        <n v="148"/>
        <n v="148.005"/>
        <n v="148.015"/>
        <n v="148.021"/>
        <n v="148.062"/>
        <n v="148.075"/>
        <n v="148.095"/>
        <n v="148.113"/>
        <n v="148.127"/>
        <n v="148.726"/>
        <n v="149.28"/>
        <n v="149.33"/>
        <n v="149.882"/>
        <n v="149.908"/>
        <n v="149.934"/>
        <n v="149.937"/>
        <n v="149.953"/>
        <n v="149.965"/>
        <n v="149.967"/>
        <n v="149.976"/>
        <n v="149.998"/>
        <n v="150.002"/>
        <n v="150.005"/>
        <n v="150.01"/>
        <n v="150.017"/>
        <n v="150.018"/>
        <n v="150.024"/>
        <n v="150.028"/>
        <n v="150.034"/>
        <n v="150.053"/>
        <n v="150.06"/>
        <n v="150.062"/>
        <n v="150.071"/>
        <n v="150.073"/>
        <n v="150.1"/>
        <n v="150.154"/>
        <n v="150.231"/>
        <n v="151.181"/>
        <n v="151.486"/>
        <n v="151.518"/>
        <n v="151.551"/>
        <n v="151.684"/>
        <n v="151.891"/>
        <n v="151.894"/>
        <n v="151.95"/>
        <n v="151.957"/>
        <n v="151.99"/>
        <n v="151.994"/>
        <n v="152.034"/>
        <n v="152.037"/>
        <n v="153.067"/>
        <n v="153.071"/>
        <n v="153.398"/>
        <n v="153.649"/>
        <n v="153.848"/>
        <n v="153.972"/>
        <n v="153.992"/>
        <n v="154.07"/>
        <n v="154.514"/>
        <n v="154.837"/>
        <n v="154.943"/>
        <n v="154.983"/>
        <n v="155.008"/>
        <n v="155.096"/>
        <n v="155.165"/>
        <n v="155.788"/>
        <n v="155.826"/>
        <n v="155.827"/>
        <n v="155.974"/>
        <n v="157.036"/>
        <n v="157.147"/>
        <n v="157.469"/>
        <n v="157.596"/>
        <n v="157.92"/>
        <n v="157.98"/>
        <n v="158.009"/>
        <n v="158.108"/>
        <n v="158.777"/>
        <n v="158.842"/>
        <n v="159.145"/>
        <n v="159.738"/>
        <n v="159.779"/>
        <n v="159.801"/>
        <n v="159.803"/>
        <n v="159.814"/>
        <n v="159.841"/>
        <n v="159.873"/>
        <n v="159.963"/>
        <n v="159.966"/>
        <n v="160.014"/>
        <n v="160.015"/>
        <n v="160.019"/>
        <n v="160.022"/>
        <n v="160.025"/>
        <n v="160.028"/>
        <n v="160.041"/>
        <n v="160.067"/>
        <n v="160.078"/>
        <n v="160.108"/>
        <n v="160.139"/>
        <n v="160.517"/>
        <n v="160.895"/>
        <n v="161.109"/>
        <n v="161.905"/>
        <n v="162.084"/>
        <n v="162.131"/>
        <n v="162.152"/>
        <n v="162.161"/>
        <n v="162.519"/>
        <n v="162.831"/>
        <n v="162.958"/>
        <n v="162.991"/>
        <n v="162.994"/>
        <n v="163.118"/>
        <n v="163.142"/>
        <n v="163.153"/>
        <n v="163.826"/>
        <n v="163.944"/>
        <n v="163.953"/>
        <n v="163.961"/>
        <n v="163.971"/>
        <n v="163.983"/>
        <n v="163.99"/>
        <n v="163.993"/>
        <n v="164.007"/>
        <n v="164.02"/>
        <n v="164.054"/>
        <n v="164.062"/>
        <n v="164.986"/>
        <n v="165.09"/>
        <n v="165.182"/>
        <n v="165.508"/>
        <n v="165.98"/>
        <n v="166.01"/>
        <n v="166.104"/>
        <n v="166.996"/>
        <n v="167.046"/>
        <n v="167.078"/>
        <n v="167.879"/>
        <n v="167.88"/>
        <n v="167.939"/>
        <n v="167.953"/>
        <n v="167.998"/>
        <n v="168.001"/>
        <n v="168.004"/>
        <n v="168.005"/>
        <n v="168.073"/>
        <n v="168.112"/>
        <n v="168.189"/>
        <n v="169.021"/>
        <n v="169.131"/>
        <n v="169.152"/>
        <n v="169.533"/>
        <n v="169.561"/>
        <n v="169.799"/>
        <n v="169.951"/>
        <n v="169.961"/>
        <n v="169.977"/>
        <n v="169.994"/>
        <n v="169.999"/>
        <n v="170.037"/>
        <n v="170.142"/>
        <n v="170.16"/>
        <n v="170.216"/>
        <n v="170.229"/>
        <n v="170.661"/>
        <n v="170.918"/>
        <n v="171.355"/>
        <n v="171.447"/>
        <n v="171.609"/>
        <n v="171.79"/>
        <n v="171.812"/>
        <n v="171.853"/>
        <n v="171.917"/>
        <n v="171.993"/>
        <n v="171.999"/>
        <n v="172.049"/>
        <n v="172.094"/>
        <n v="172.155"/>
        <n v="172.247"/>
        <n v="172.302"/>
        <n v="172.656"/>
        <n v="172.872"/>
        <n v="172.976"/>
        <n v="172.977"/>
        <n v="172.984"/>
        <n v="173.585"/>
        <n v="173.906"/>
        <n v="173.948"/>
        <n v="173.968"/>
        <n v="173.992"/>
        <n v="174.001"/>
        <n v="174.028"/>
        <n v="174.084"/>
        <n v="174.117"/>
        <n v="174.915"/>
        <n v="174.983"/>
        <n v="175.001"/>
        <n v="175.015"/>
        <n v="175.017"/>
        <n v="175.788"/>
        <n v="175.813"/>
        <n v="175.868"/>
        <n v="175.943"/>
        <n v="175.957"/>
        <n v="176.042"/>
        <n v="176.044"/>
        <n v="176.051"/>
        <n v="176.052"/>
        <n v="176.169"/>
        <n v="176.667"/>
        <n v="176.985"/>
        <n v="177.008"/>
        <n v="177.833"/>
        <n v="177.87"/>
        <n v="177.894"/>
        <n v="177.928"/>
        <n v="179.642"/>
        <n v="179.911"/>
        <n v="179.92"/>
        <n v="179.968"/>
        <n v="179.974"/>
        <n v="179.984"/>
        <n v="179.999"/>
        <n v="180.042"/>
        <n v="180.114"/>
        <n v="180.184"/>
        <n v="181.04"/>
        <n v="181.982"/>
        <n v="181.994"/>
        <n v="182.032"/>
        <n v="182.12"/>
        <n v="182.571"/>
        <n v="182.862"/>
        <n v="182.99"/>
        <n v="184.009"/>
        <n v="184.086"/>
        <n v="184.682"/>
        <n v="184.819"/>
        <n v="184.981"/>
        <n v="185.406"/>
        <n v="185.888"/>
        <n v="185.934"/>
        <n v="186.048"/>
        <n v="186.054"/>
        <n v="186.113"/>
        <n v="186.249"/>
        <n v="186.394"/>
        <n v="187.961"/>
        <n v="188.115"/>
        <n v="188.899"/>
        <n v="189.857"/>
        <n v="189.868"/>
        <n v="190.05"/>
        <n v="190.097"/>
        <n v="190.151"/>
        <n v="191.863"/>
        <n v="191.944"/>
        <n v="192.082"/>
        <n v="192.205"/>
        <n v="193.437"/>
        <n v="194.169"/>
        <n v="195.685"/>
        <n v="196.093"/>
        <n v="198.065"/>
        <n v="198.075"/>
        <n v="199.764"/>
        <n v="199.935"/>
        <n v="199.958"/>
        <n v="201.8"/>
        <n v="201.936"/>
        <n v="202.015"/>
        <n v="203.862"/>
        <n v="203.911"/>
        <n v="205.57"/>
        <n v="210.851"/>
      </sharedItems>
    </cacheField>
    <cacheField name="genre" numFmtId="0">
      <sharedItems count="59">
        <s v="country"/>
        <s v="country, latin"/>
        <s v="Dance/Electronic"/>
        <s v="easy listening"/>
        <s v="Folk/Acoustic, pop"/>
        <s v="Folk/Acoustic, rock"/>
        <s v="Folk/Acoustic, rock, pop"/>
        <s v="hip hop"/>
        <s v="hip hop, country"/>
        <s v="hip hop, Dance/Electronic"/>
        <s v="hip hop, latin, Dance/Electronic"/>
        <s v="hip hop, pop"/>
        <s v="hip hop, pop, country"/>
        <s v="hip hop, pop, Dance/Electronic"/>
        <s v="hip hop, pop, latin"/>
        <s v="hip hop, pop, R&amp;B"/>
        <s v="hip hop, pop, R&amp;B, Dance/Electronic"/>
        <s v="hip hop, pop, R&amp;B, latin"/>
        <s v="hip hop, pop, rock"/>
        <s v="hip hop, R&amp;B"/>
        <s v="hip hop, rock, pop"/>
        <s v="latin"/>
        <s v="metal"/>
        <s v="pop"/>
        <s v="pop, country"/>
        <s v="pop, Dance/Electronic"/>
        <s v="pop, easy listening, Dance/Electronic"/>
        <s v="pop, easy listening, jazz"/>
        <s v="pop, Folk/Acoustic"/>
        <s v="pop, latin"/>
        <s v="pop, R&amp;B"/>
        <s v="pop, R&amp;B, Dance/Electronic"/>
        <s v="pop, R&amp;B, easy listening"/>
        <s v="pop, rock"/>
        <s v="pop, rock, Dance/Electronic"/>
        <s v="pop, rock, Folk/Acoustic"/>
        <s v="pop, rock, metal"/>
        <s v="R&amp;B"/>
        <s v="rock"/>
        <s v="rock, blues"/>
        <s v="rock, blues, latin"/>
        <s v="rock, classical"/>
        <s v="rock, Dance/Electronic"/>
        <s v="rock, easy listening"/>
        <s v="rock, Folk/Acoustic, easy listening"/>
        <s v="rock, Folk/Acoustic, pop"/>
        <s v="rock, metal"/>
        <s v="rock, pop"/>
        <s v="rock, pop, Dance/Electronic"/>
        <s v="rock, pop, metal"/>
        <s v="rock, pop, metal, Dance/Electronic"/>
        <s v="rock, R&amp;B, Folk/Acoustic, pop"/>
        <s v="set()"/>
        <s v="World/Traditional, Folk/Acoustic"/>
        <s v="World/Traditional, hip hop"/>
        <s v="World/Traditional, pop"/>
        <s v="World/Traditional, pop, Folk/Acoustic"/>
        <s v="World/Traditional, rock"/>
        <s v="World/Traditional, rock, po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2">
  <r>
    <x v="618"/>
    <x v="733"/>
    <x v="3"/>
    <x v="163"/>
    <x v="163"/>
    <x v="0"/>
    <x v="16"/>
    <x v="16"/>
    <x v="0"/>
    <x v="422"/>
    <x v="515"/>
    <x v="0"/>
    <x v="1502"/>
    <x v="707"/>
    <x v="381"/>
    <x v="195"/>
    <x v="267"/>
    <x v="493"/>
    <x v="1"/>
    <x v="1178"/>
    <x v="25"/>
  </r>
  <r>
    <x v="403"/>
    <x v="813"/>
    <x v="4"/>
    <x v="1604"/>
    <x v="1604"/>
    <x v="0"/>
    <x v="15"/>
    <x v="15"/>
    <x v="54"/>
    <x v="430"/>
    <x v="211"/>
    <x v="1"/>
    <x v="565"/>
    <x v="313"/>
    <x v="104"/>
    <x v="340"/>
    <x v="224"/>
    <x v="254"/>
    <x v="0"/>
    <x v="1199"/>
    <x v="11"/>
  </r>
  <r>
    <x v="168"/>
    <x v="673"/>
    <x v="2"/>
    <x v="1275"/>
    <x v="1275"/>
    <x v="0"/>
    <x v="8"/>
    <x v="8"/>
    <x v="44"/>
    <x v="346"/>
    <x v="361"/>
    <x v="0"/>
    <x v="1559"/>
    <x v="684"/>
    <x v="710"/>
    <x v="0"/>
    <x v="45"/>
    <x v="548"/>
    <x v="1"/>
    <x v="376"/>
    <x v="11"/>
  </r>
  <r>
    <x v="668"/>
    <x v="726"/>
    <x v="1604"/>
    <x v="737"/>
    <x v="737"/>
    <x v="1"/>
    <x v="17"/>
    <x v="17"/>
    <x v="69"/>
    <x v="275"/>
    <x v="341"/>
    <x v="0"/>
    <x v="1272"/>
    <x v="32"/>
    <x v="364"/>
    <x v="615"/>
    <x v="471"/>
    <x v="610"/>
    <x v="1"/>
    <x v="820"/>
    <x v="22"/>
  </r>
  <r>
    <x v="34"/>
    <x v="361"/>
    <x v="5"/>
    <x v="485"/>
    <x v="485"/>
    <x v="1"/>
    <x v="4"/>
    <x v="4"/>
    <x v="57"/>
    <x v="394"/>
    <x v="279"/>
    <x v="0"/>
    <x v="885"/>
    <x v="757"/>
    <x v="960"/>
    <x v="0"/>
    <x v="454"/>
    <x v="184"/>
    <x v="0"/>
    <x v="206"/>
    <x v="7"/>
  </r>
  <r>
    <x v="300"/>
    <x v="46"/>
    <x v="6"/>
    <x v="1196"/>
    <x v="1196"/>
    <x v="0"/>
    <x v="10"/>
    <x v="10"/>
    <x v="38"/>
    <x v="271"/>
    <x v="546"/>
    <x v="0"/>
    <x v="1071"/>
    <x v="772"/>
    <x v="857"/>
    <x v="284"/>
    <x v="47"/>
    <x v="703"/>
    <x v="1"/>
    <x v="1079"/>
    <x v="15"/>
  </r>
  <r>
    <x v="248"/>
    <x v="164"/>
    <x v="7"/>
    <x v="431"/>
    <x v="431"/>
    <x v="0"/>
    <x v="7"/>
    <x v="7"/>
    <x v="38"/>
    <x v="551"/>
    <x v="116"/>
    <x v="1"/>
    <x v="26"/>
    <x v="626"/>
    <x v="592"/>
    <x v="527"/>
    <x v="67"/>
    <x v="626"/>
    <x v="1"/>
    <x v="764"/>
    <x v="30"/>
  </r>
  <r>
    <x v="179"/>
    <x v="169"/>
    <x v="699"/>
    <x v="1448"/>
    <x v="1448"/>
    <x v="0"/>
    <x v="17"/>
    <x v="17"/>
    <x v="68"/>
    <x v="130"/>
    <x v="294"/>
    <x v="0"/>
    <x v="452"/>
    <x v="121"/>
    <x v="946"/>
    <x v="166"/>
    <x v="613"/>
    <x v="261"/>
    <x v="0"/>
    <x v="229"/>
    <x v="47"/>
  </r>
  <r>
    <x v="780"/>
    <x v="533"/>
    <x v="9"/>
    <x v="323"/>
    <x v="323"/>
    <x v="0"/>
    <x v="19"/>
    <x v="19"/>
    <x v="51"/>
    <x v="338"/>
    <x v="432"/>
    <x v="0"/>
    <x v="295"/>
    <x v="392"/>
    <x v="126"/>
    <x v="715"/>
    <x v="188"/>
    <x v="500"/>
    <x v="1"/>
    <x v="979"/>
    <x v="25"/>
  </r>
  <r>
    <x v="713"/>
    <x v="321"/>
    <x v="10"/>
    <x v="1206"/>
    <x v="1206"/>
    <x v="0"/>
    <x v="18"/>
    <x v="18"/>
    <x v="49"/>
    <x v="401"/>
    <x v="117"/>
    <x v="1"/>
    <x v="238"/>
    <x v="397"/>
    <x v="1178"/>
    <x v="150"/>
    <x v="594"/>
    <x v="541"/>
    <x v="1"/>
    <x v="149"/>
    <x v="11"/>
  </r>
  <r>
    <x v="283"/>
    <x v="351"/>
    <x v="11"/>
    <x v="1606"/>
    <x v="1606"/>
    <x v="0"/>
    <x v="9"/>
    <x v="9"/>
    <x v="54"/>
    <x v="355"/>
    <x v="269"/>
    <x v="0"/>
    <x v="183"/>
    <x v="18"/>
    <x v="700"/>
    <x v="612"/>
    <x v="249"/>
    <x v="595"/>
    <x v="1"/>
    <x v="996"/>
    <x v="23"/>
  </r>
  <r>
    <x v="610"/>
    <x v="771"/>
    <x v="12"/>
    <x v="967"/>
    <x v="967"/>
    <x v="1"/>
    <x v="16"/>
    <x v="16"/>
    <x v="57"/>
    <x v="377"/>
    <x v="198"/>
    <x v="1"/>
    <x v="246"/>
    <x v="572"/>
    <x v="888"/>
    <x v="0"/>
    <x v="415"/>
    <x v="278"/>
    <x v="0"/>
    <x v="553"/>
    <x v="16"/>
  </r>
  <r>
    <x v="335"/>
    <x v="259"/>
    <x v="280"/>
    <x v="1002"/>
    <x v="1002"/>
    <x v="0"/>
    <x v="17"/>
    <x v="17"/>
    <x v="66"/>
    <x v="55"/>
    <x v="458"/>
    <x v="0"/>
    <x v="1587"/>
    <x v="422"/>
    <x v="202"/>
    <x v="0"/>
    <x v="406"/>
    <x v="399"/>
    <x v="1"/>
    <x v="1760"/>
    <x v="38"/>
  </r>
  <r>
    <x v="697"/>
    <x v="50"/>
    <x v="14"/>
    <x v="194"/>
    <x v="194"/>
    <x v="0"/>
    <x v="20"/>
    <x v="20"/>
    <x v="66"/>
    <x v="332"/>
    <x v="284"/>
    <x v="0"/>
    <x v="1584"/>
    <x v="582"/>
    <x v="550"/>
    <x v="0"/>
    <x v="441"/>
    <x v="439"/>
    <x v="1"/>
    <x v="398"/>
    <x v="25"/>
  </r>
  <r>
    <x v="270"/>
    <x v="311"/>
    <x v="15"/>
    <x v="1750"/>
    <x v="1750"/>
    <x v="0"/>
    <x v="11"/>
    <x v="11"/>
    <x v="59"/>
    <x v="13"/>
    <x v="343"/>
    <x v="0"/>
    <x v="978"/>
    <x v="101"/>
    <x v="628"/>
    <x v="0"/>
    <x v="744"/>
    <x v="263"/>
    <x v="0"/>
    <x v="1636"/>
    <x v="38"/>
  </r>
  <r>
    <x v="190"/>
    <x v="9"/>
    <x v="16"/>
    <x v="920"/>
    <x v="920"/>
    <x v="1"/>
    <x v="5"/>
    <x v="5"/>
    <x v="58"/>
    <x v="281"/>
    <x v="413"/>
    <x v="0"/>
    <x v="1357"/>
    <x v="747"/>
    <x v="1048"/>
    <x v="358"/>
    <x v="52"/>
    <x v="707"/>
    <x v="1"/>
    <x v="282"/>
    <x v="11"/>
  </r>
  <r>
    <x v="134"/>
    <x v="700"/>
    <x v="17"/>
    <x v="1713"/>
    <x v="1713"/>
    <x v="1"/>
    <x v="3"/>
    <x v="3"/>
    <x v="37"/>
    <x v="242"/>
    <x v="239"/>
    <x v="1"/>
    <x v="23"/>
    <x v="700"/>
    <x v="428"/>
    <x v="0"/>
    <x v="428"/>
    <x v="641"/>
    <x v="1"/>
    <x v="1396"/>
    <x v="2"/>
  </r>
  <r>
    <x v="544"/>
    <x v="71"/>
    <x v="18"/>
    <x v="479"/>
    <x v="479"/>
    <x v="1"/>
    <x v="16"/>
    <x v="16"/>
    <x v="0"/>
    <x v="478"/>
    <x v="369"/>
    <x v="0"/>
    <x v="678"/>
    <x v="715"/>
    <x v="389"/>
    <x v="377"/>
    <x v="235"/>
    <x v="460"/>
    <x v="1"/>
    <x v="1107"/>
    <x v="15"/>
  </r>
  <r>
    <x v="438"/>
    <x v="728"/>
    <x v="19"/>
    <x v="1072"/>
    <x v="1072"/>
    <x v="0"/>
    <x v="14"/>
    <x v="14"/>
    <x v="54"/>
    <x v="296"/>
    <x v="330"/>
    <x v="0"/>
    <x v="430"/>
    <x v="120"/>
    <x v="152"/>
    <x v="529"/>
    <x v="68"/>
    <x v="501"/>
    <x v="1"/>
    <x v="605"/>
    <x v="23"/>
  </r>
  <r>
    <x v="650"/>
    <x v="792"/>
    <x v="1299"/>
    <x v="691"/>
    <x v="691"/>
    <x v="0"/>
    <x v="17"/>
    <x v="17"/>
    <x v="66"/>
    <x v="280"/>
    <x v="314"/>
    <x v="0"/>
    <x v="810"/>
    <x v="137"/>
    <x v="321"/>
    <x v="0"/>
    <x v="417"/>
    <x v="404"/>
    <x v="1"/>
    <x v="24"/>
    <x v="38"/>
  </r>
  <r>
    <x v="437"/>
    <x v="189"/>
    <x v="21"/>
    <x v="298"/>
    <x v="298"/>
    <x v="0"/>
    <x v="19"/>
    <x v="19"/>
    <x v="53"/>
    <x v="183"/>
    <x v="252"/>
    <x v="1"/>
    <x v="654"/>
    <x v="319"/>
    <x v="953"/>
    <x v="0"/>
    <x v="524"/>
    <x v="396"/>
    <x v="1"/>
    <x v="1514"/>
    <x v="13"/>
  </r>
  <r>
    <x v="826"/>
    <x v="220"/>
    <x v="22"/>
    <x v="121"/>
    <x v="121"/>
    <x v="0"/>
    <x v="20"/>
    <x v="20"/>
    <x v="64"/>
    <x v="448"/>
    <x v="132"/>
    <x v="1"/>
    <x v="421"/>
    <x v="518"/>
    <x v="954"/>
    <x v="0"/>
    <x v="408"/>
    <x v="689"/>
    <x v="1"/>
    <x v="1597"/>
    <x v="47"/>
  </r>
  <r>
    <x v="597"/>
    <x v="156"/>
    <x v="23"/>
    <x v="1136"/>
    <x v="1136"/>
    <x v="1"/>
    <x v="15"/>
    <x v="15"/>
    <x v="0"/>
    <x v="316"/>
    <x v="90"/>
    <x v="1"/>
    <x v="436"/>
    <x v="738"/>
    <x v="868"/>
    <x v="0"/>
    <x v="237"/>
    <x v="494"/>
    <x v="1"/>
    <x v="125"/>
    <x v="7"/>
  </r>
  <r>
    <x v="30"/>
    <x v="489"/>
    <x v="24"/>
    <x v="226"/>
    <x v="226"/>
    <x v="0"/>
    <x v="11"/>
    <x v="11"/>
    <x v="57"/>
    <x v="388"/>
    <x v="531"/>
    <x v="0"/>
    <x v="986"/>
    <x v="368"/>
    <x v="350"/>
    <x v="618"/>
    <x v="532"/>
    <x v="594"/>
    <x v="1"/>
    <x v="761"/>
    <x v="23"/>
  </r>
  <r>
    <x v="40"/>
    <x v="532"/>
    <x v="25"/>
    <x v="1662"/>
    <x v="1662"/>
    <x v="1"/>
    <x v="3"/>
    <x v="3"/>
    <x v="35"/>
    <x v="562"/>
    <x v="302"/>
    <x v="0"/>
    <x v="247"/>
    <x v="621"/>
    <x v="879"/>
    <x v="542"/>
    <x v="503"/>
    <x v="715"/>
    <x v="1"/>
    <x v="955"/>
    <x v="15"/>
  </r>
  <r>
    <x v="401"/>
    <x v="454"/>
    <x v="26"/>
    <x v="1338"/>
    <x v="1338"/>
    <x v="1"/>
    <x v="13"/>
    <x v="13"/>
    <x v="1"/>
    <x v="39"/>
    <x v="353"/>
    <x v="0"/>
    <x v="786"/>
    <x v="751"/>
    <x v="72"/>
    <x v="0"/>
    <x v="607"/>
    <x v="442"/>
    <x v="1"/>
    <x v="70"/>
    <x v="11"/>
  </r>
  <r>
    <x v="663"/>
    <x v="266"/>
    <x v="27"/>
    <x v="329"/>
    <x v="329"/>
    <x v="1"/>
    <x v="17"/>
    <x v="17"/>
    <x v="60"/>
    <x v="253"/>
    <x v="318"/>
    <x v="0"/>
    <x v="688"/>
    <x v="761"/>
    <x v="167"/>
    <x v="0"/>
    <x v="743"/>
    <x v="439"/>
    <x v="1"/>
    <x v="1808"/>
    <x v="11"/>
  </r>
  <r>
    <x v="55"/>
    <x v="171"/>
    <x v="28"/>
    <x v="1126"/>
    <x v="1126"/>
    <x v="0"/>
    <x v="2"/>
    <x v="2"/>
    <x v="56"/>
    <x v="294"/>
    <x v="412"/>
    <x v="0"/>
    <x v="248"/>
    <x v="226"/>
    <x v="960"/>
    <x v="0"/>
    <x v="373"/>
    <x v="700"/>
    <x v="1"/>
    <x v="130"/>
    <x v="15"/>
  </r>
  <r>
    <x v="599"/>
    <x v="53"/>
    <x v="29"/>
    <x v="129"/>
    <x v="129"/>
    <x v="1"/>
    <x v="21"/>
    <x v="21"/>
    <x v="69"/>
    <x v="412"/>
    <x v="21"/>
    <x v="1"/>
    <x v="28"/>
    <x v="774"/>
    <x v="1149"/>
    <x v="0"/>
    <x v="316"/>
    <x v="184"/>
    <x v="0"/>
    <x v="1459"/>
    <x v="23"/>
  </r>
  <r>
    <x v="720"/>
    <x v="95"/>
    <x v="126"/>
    <x v="291"/>
    <x v="291"/>
    <x v="0"/>
    <x v="21"/>
    <x v="21"/>
    <x v="69"/>
    <x v="336"/>
    <x v="64"/>
    <x v="1"/>
    <x v="25"/>
    <x v="802"/>
    <x v="1033"/>
    <x v="718"/>
    <x v="404"/>
    <x v="401"/>
    <x v="1"/>
    <x v="1372"/>
    <x v="25"/>
  </r>
  <r>
    <x v="183"/>
    <x v="240"/>
    <x v="31"/>
    <x v="613"/>
    <x v="613"/>
    <x v="0"/>
    <x v="4"/>
    <x v="4"/>
    <x v="46"/>
    <x v="232"/>
    <x v="567"/>
    <x v="0"/>
    <x v="606"/>
    <x v="240"/>
    <x v="49"/>
    <x v="732"/>
    <x v="437"/>
    <x v="547"/>
    <x v="1"/>
    <x v="795"/>
    <x v="43"/>
  </r>
  <r>
    <x v="724"/>
    <x v="3"/>
    <x v="32"/>
    <x v="1655"/>
    <x v="1655"/>
    <x v="1"/>
    <x v="20"/>
    <x v="20"/>
    <x v="64"/>
    <x v="469"/>
    <x v="238"/>
    <x v="1"/>
    <x v="227"/>
    <x v="499"/>
    <x v="565"/>
    <x v="525"/>
    <x v="629"/>
    <x v="142"/>
    <x v="0"/>
    <x v="1535"/>
    <x v="7"/>
  </r>
  <r>
    <x v="401"/>
    <x v="454"/>
    <x v="33"/>
    <x v="855"/>
    <x v="855"/>
    <x v="1"/>
    <x v="10"/>
    <x v="10"/>
    <x v="55"/>
    <x v="309"/>
    <x v="296"/>
    <x v="0"/>
    <x v="118"/>
    <x v="731"/>
    <x v="560"/>
    <x v="557"/>
    <x v="496"/>
    <x v="599"/>
    <x v="1"/>
    <x v="1593"/>
    <x v="11"/>
  </r>
  <r>
    <x v="336"/>
    <x v="440"/>
    <x v="34"/>
    <x v="1439"/>
    <x v="1439"/>
    <x v="0"/>
    <x v="9"/>
    <x v="9"/>
    <x v="43"/>
    <x v="10"/>
    <x v="169"/>
    <x v="1"/>
    <x v="1413"/>
    <x v="49"/>
    <x v="1089"/>
    <x v="175"/>
    <x v="435"/>
    <x v="62"/>
    <x v="0"/>
    <x v="9"/>
    <x v="30"/>
  </r>
  <r>
    <x v="64"/>
    <x v="143"/>
    <x v="35"/>
    <x v="1460"/>
    <x v="1460"/>
    <x v="0"/>
    <x v="3"/>
    <x v="3"/>
    <x v="45"/>
    <x v="209"/>
    <x v="292"/>
    <x v="0"/>
    <x v="903"/>
    <x v="97"/>
    <x v="770"/>
    <x v="237"/>
    <x v="453"/>
    <x v="79"/>
    <x v="0"/>
    <x v="263"/>
    <x v="23"/>
  </r>
  <r>
    <x v="179"/>
    <x v="169"/>
    <x v="36"/>
    <x v="1526"/>
    <x v="1526"/>
    <x v="0"/>
    <x v="16"/>
    <x v="16"/>
    <x v="66"/>
    <x v="181"/>
    <x v="276"/>
    <x v="0"/>
    <x v="457"/>
    <x v="27"/>
    <x v="281"/>
    <x v="554"/>
    <x v="511"/>
    <x v="58"/>
    <x v="0"/>
    <x v="1052"/>
    <x v="47"/>
  </r>
  <r>
    <x v="146"/>
    <x v="803"/>
    <x v="37"/>
    <x v="1168"/>
    <x v="1168"/>
    <x v="0"/>
    <x v="4"/>
    <x v="4"/>
    <x v="61"/>
    <x v="195"/>
    <x v="425"/>
    <x v="0"/>
    <x v="1354"/>
    <x v="123"/>
    <x v="1030"/>
    <x v="0"/>
    <x v="465"/>
    <x v="136"/>
    <x v="0"/>
    <x v="336"/>
    <x v="4"/>
  </r>
  <r>
    <x v="532"/>
    <x v="163"/>
    <x v="38"/>
    <x v="1636"/>
    <x v="1636"/>
    <x v="0"/>
    <x v="13"/>
    <x v="13"/>
    <x v="56"/>
    <x v="75"/>
    <x v="55"/>
    <x v="1"/>
    <x v="256"/>
    <x v="16"/>
    <x v="1021"/>
    <x v="508"/>
    <x v="414"/>
    <x v="57"/>
    <x v="0"/>
    <x v="1424"/>
    <x v="23"/>
  </r>
  <r>
    <x v="178"/>
    <x v="37"/>
    <x v="39"/>
    <x v="1717"/>
    <x v="1717"/>
    <x v="0"/>
    <x v="3"/>
    <x v="3"/>
    <x v="38"/>
    <x v="287"/>
    <x v="57"/>
    <x v="1"/>
    <x v="148"/>
    <x v="623"/>
    <x v="1038"/>
    <x v="0"/>
    <x v="149"/>
    <x v="337"/>
    <x v="0"/>
    <x v="31"/>
    <x v="30"/>
  </r>
  <r>
    <x v="718"/>
    <x v="473"/>
    <x v="40"/>
    <x v="91"/>
    <x v="91"/>
    <x v="0"/>
    <x v="19"/>
    <x v="19"/>
    <x v="48"/>
    <x v="368"/>
    <x v="492"/>
    <x v="0"/>
    <x v="1419"/>
    <x v="159"/>
    <x v="554"/>
    <x v="0"/>
    <x v="441"/>
    <x v="508"/>
    <x v="1"/>
    <x v="385"/>
    <x v="29"/>
  </r>
  <r>
    <x v="155"/>
    <x v="716"/>
    <x v="41"/>
    <x v="632"/>
    <x v="632"/>
    <x v="0"/>
    <x v="9"/>
    <x v="9"/>
    <x v="52"/>
    <x v="219"/>
    <x v="300"/>
    <x v="0"/>
    <x v="578"/>
    <x v="122"/>
    <x v="7"/>
    <x v="318"/>
    <x v="705"/>
    <x v="422"/>
    <x v="1"/>
    <x v="121"/>
    <x v="30"/>
  </r>
  <r>
    <x v="371"/>
    <x v="130"/>
    <x v="42"/>
    <x v="1766"/>
    <x v="1766"/>
    <x v="0"/>
    <x v="9"/>
    <x v="9"/>
    <x v="43"/>
    <x v="420"/>
    <x v="408"/>
    <x v="0"/>
    <x v="773"/>
    <x v="249"/>
    <x v="387"/>
    <x v="737"/>
    <x v="62"/>
    <x v="741"/>
    <x v="1"/>
    <x v="1194"/>
    <x v="13"/>
  </r>
  <r>
    <x v="807"/>
    <x v="601"/>
    <x v="43"/>
    <x v="1434"/>
    <x v="1434"/>
    <x v="0"/>
    <x v="21"/>
    <x v="21"/>
    <x v="58"/>
    <x v="402"/>
    <x v="310"/>
    <x v="0"/>
    <x v="1146"/>
    <x v="775"/>
    <x v="1030"/>
    <x v="0"/>
    <x v="222"/>
    <x v="550"/>
    <x v="1"/>
    <x v="1729"/>
    <x v="10"/>
  </r>
  <r>
    <x v="412"/>
    <x v="665"/>
    <x v="44"/>
    <x v="883"/>
    <x v="883"/>
    <x v="1"/>
    <x v="10"/>
    <x v="10"/>
    <x v="55"/>
    <x v="151"/>
    <x v="464"/>
    <x v="0"/>
    <x v="1250"/>
    <x v="85"/>
    <x v="86"/>
    <x v="0"/>
    <x v="395"/>
    <x v="367"/>
    <x v="1"/>
    <x v="1410"/>
    <x v="46"/>
  </r>
  <r>
    <x v="149"/>
    <x v="790"/>
    <x v="45"/>
    <x v="953"/>
    <x v="953"/>
    <x v="1"/>
    <x v="4"/>
    <x v="4"/>
    <x v="44"/>
    <x v="336"/>
    <x v="278"/>
    <x v="0"/>
    <x v="422"/>
    <x v="612"/>
    <x v="733"/>
    <x v="400"/>
    <x v="490"/>
    <x v="221"/>
    <x v="0"/>
    <x v="479"/>
    <x v="30"/>
  </r>
  <r>
    <x v="462"/>
    <x v="386"/>
    <x v="1461"/>
    <x v="396"/>
    <x v="396"/>
    <x v="0"/>
    <x v="17"/>
    <x v="17"/>
    <x v="66"/>
    <x v="289"/>
    <x v="360"/>
    <x v="0"/>
    <x v="1412"/>
    <x v="191"/>
    <x v="755"/>
    <x v="0"/>
    <x v="592"/>
    <x v="259"/>
    <x v="0"/>
    <x v="491"/>
    <x v="23"/>
  </r>
  <r>
    <x v="128"/>
    <x v="439"/>
    <x v="47"/>
    <x v="1063"/>
    <x v="1063"/>
    <x v="0"/>
    <x v="2"/>
    <x v="2"/>
    <x v="54"/>
    <x v="185"/>
    <x v="404"/>
    <x v="0"/>
    <x v="862"/>
    <x v="20"/>
    <x v="391"/>
    <x v="293"/>
    <x v="409"/>
    <x v="614"/>
    <x v="1"/>
    <x v="71"/>
    <x v="47"/>
  </r>
  <r>
    <x v="49"/>
    <x v="497"/>
    <x v="48"/>
    <x v="376"/>
    <x v="376"/>
    <x v="0"/>
    <x v="13"/>
    <x v="13"/>
    <x v="0"/>
    <x v="115"/>
    <x v="128"/>
    <x v="1"/>
    <x v="733"/>
    <x v="63"/>
    <x v="1146"/>
    <x v="0"/>
    <x v="407"/>
    <x v="227"/>
    <x v="0"/>
    <x v="835"/>
    <x v="30"/>
  </r>
  <r>
    <x v="546"/>
    <x v="521"/>
    <x v="49"/>
    <x v="59"/>
    <x v="59"/>
    <x v="0"/>
    <x v="14"/>
    <x v="14"/>
    <x v="0"/>
    <x v="311"/>
    <x v="535"/>
    <x v="0"/>
    <x v="1116"/>
    <x v="395"/>
    <x v="1053"/>
    <x v="0"/>
    <x v="782"/>
    <x v="666"/>
    <x v="1"/>
    <x v="393"/>
    <x v="1"/>
  </r>
  <r>
    <x v="99"/>
    <x v="364"/>
    <x v="50"/>
    <x v="1311"/>
    <x v="1311"/>
    <x v="0"/>
    <x v="3"/>
    <x v="3"/>
    <x v="0"/>
    <x v="342"/>
    <x v="469"/>
    <x v="0"/>
    <x v="1125"/>
    <x v="220"/>
    <x v="846"/>
    <x v="378"/>
    <x v="263"/>
    <x v="455"/>
    <x v="1"/>
    <x v="484"/>
    <x v="15"/>
  </r>
  <r>
    <x v="643"/>
    <x v="762"/>
    <x v="262"/>
    <x v="660"/>
    <x v="660"/>
    <x v="0"/>
    <x v="17"/>
    <x v="17"/>
    <x v="65"/>
    <x v="340"/>
    <x v="369"/>
    <x v="0"/>
    <x v="753"/>
    <x v="167"/>
    <x v="855"/>
    <x v="0"/>
    <x v="409"/>
    <x v="420"/>
    <x v="1"/>
    <x v="690"/>
    <x v="30"/>
  </r>
  <r>
    <x v="56"/>
    <x v="161"/>
    <x v="52"/>
    <x v="1011"/>
    <x v="1011"/>
    <x v="0"/>
    <x v="8"/>
    <x v="8"/>
    <x v="49"/>
    <x v="492"/>
    <x v="343"/>
    <x v="0"/>
    <x v="1056"/>
    <x v="681"/>
    <x v="206"/>
    <x v="632"/>
    <x v="407"/>
    <x v="352"/>
    <x v="1"/>
    <x v="1166"/>
    <x v="23"/>
  </r>
  <r>
    <x v="654"/>
    <x v="264"/>
    <x v="53"/>
    <x v="187"/>
    <x v="187"/>
    <x v="0"/>
    <x v="20"/>
    <x v="20"/>
    <x v="58"/>
    <x v="412"/>
    <x v="172"/>
    <x v="1"/>
    <x v="338"/>
    <x v="59"/>
    <x v="1169"/>
    <x v="414"/>
    <x v="190"/>
    <x v="323"/>
    <x v="0"/>
    <x v="841"/>
    <x v="13"/>
  </r>
  <r>
    <x v="80"/>
    <x v="558"/>
    <x v="54"/>
    <x v="1720"/>
    <x v="1720"/>
    <x v="1"/>
    <x v="4"/>
    <x v="4"/>
    <x v="47"/>
    <x v="417"/>
    <x v="88"/>
    <x v="1"/>
    <x v="54"/>
    <x v="760"/>
    <x v="782"/>
    <x v="0"/>
    <x v="250"/>
    <x v="452"/>
    <x v="1"/>
    <x v="1682"/>
    <x v="15"/>
  </r>
  <r>
    <x v="491"/>
    <x v="73"/>
    <x v="55"/>
    <x v="137"/>
    <x v="137"/>
    <x v="1"/>
    <x v="12"/>
    <x v="12"/>
    <x v="60"/>
    <x v="295"/>
    <x v="467"/>
    <x v="0"/>
    <x v="1198"/>
    <x v="581"/>
    <x v="852"/>
    <x v="0"/>
    <x v="30"/>
    <x v="231"/>
    <x v="0"/>
    <x v="298"/>
    <x v="11"/>
  </r>
  <r>
    <x v="697"/>
    <x v="50"/>
    <x v="56"/>
    <x v="486"/>
    <x v="486"/>
    <x v="1"/>
    <x v="18"/>
    <x v="18"/>
    <x v="43"/>
    <x v="391"/>
    <x v="193"/>
    <x v="1"/>
    <x v="909"/>
    <x v="691"/>
    <x v="763"/>
    <x v="0"/>
    <x v="480"/>
    <x v="635"/>
    <x v="1"/>
    <x v="1546"/>
    <x v="25"/>
  </r>
  <r>
    <x v="436"/>
    <x v="431"/>
    <x v="57"/>
    <x v="1572"/>
    <x v="1572"/>
    <x v="0"/>
    <x v="11"/>
    <x v="11"/>
    <x v="53"/>
    <x v="258"/>
    <x v="393"/>
    <x v="0"/>
    <x v="412"/>
    <x v="203"/>
    <x v="50"/>
    <x v="536"/>
    <x v="656"/>
    <x v="216"/>
    <x v="0"/>
    <x v="470"/>
    <x v="23"/>
  </r>
  <r>
    <x v="606"/>
    <x v="516"/>
    <x v="58"/>
    <x v="203"/>
    <x v="203"/>
    <x v="1"/>
    <x v="17"/>
    <x v="17"/>
    <x v="58"/>
    <x v="440"/>
    <x v="487"/>
    <x v="0"/>
    <x v="1390"/>
    <x v="241"/>
    <x v="659"/>
    <x v="81"/>
    <x v="428"/>
    <x v="750"/>
    <x v="1"/>
    <x v="1357"/>
    <x v="23"/>
  </r>
  <r>
    <x v="727"/>
    <x v="358"/>
    <x v="59"/>
    <x v="66"/>
    <x v="66"/>
    <x v="0"/>
    <x v="21"/>
    <x v="21"/>
    <x v="46"/>
    <x v="220"/>
    <x v="382"/>
    <x v="0"/>
    <x v="1263"/>
    <x v="518"/>
    <x v="995"/>
    <x v="0"/>
    <x v="460"/>
    <x v="362"/>
    <x v="1"/>
    <x v="961"/>
    <x v="13"/>
  </r>
  <r>
    <x v="671"/>
    <x v="514"/>
    <x v="60"/>
    <x v="909"/>
    <x v="909"/>
    <x v="1"/>
    <x v="17"/>
    <x v="17"/>
    <x v="54"/>
    <x v="224"/>
    <x v="259"/>
    <x v="1"/>
    <x v="838"/>
    <x v="665"/>
    <x v="465"/>
    <x v="0"/>
    <x v="422"/>
    <x v="121"/>
    <x v="0"/>
    <x v="51"/>
    <x v="11"/>
  </r>
  <r>
    <x v="268"/>
    <x v="394"/>
    <x v="61"/>
    <x v="899"/>
    <x v="899"/>
    <x v="1"/>
    <x v="6"/>
    <x v="6"/>
    <x v="66"/>
    <x v="292"/>
    <x v="335"/>
    <x v="0"/>
    <x v="1019"/>
    <x v="831"/>
    <x v="887"/>
    <x v="0"/>
    <x v="443"/>
    <x v="281"/>
    <x v="0"/>
    <x v="253"/>
    <x v="7"/>
  </r>
  <r>
    <x v="46"/>
    <x v="355"/>
    <x v="62"/>
    <x v="1764"/>
    <x v="1764"/>
    <x v="0"/>
    <x v="3"/>
    <x v="3"/>
    <x v="51"/>
    <x v="388"/>
    <x v="534"/>
    <x v="0"/>
    <x v="1565"/>
    <x v="427"/>
    <x v="414"/>
    <x v="695"/>
    <x v="432"/>
    <x v="560"/>
    <x v="1"/>
    <x v="768"/>
    <x v="30"/>
  </r>
  <r>
    <x v="489"/>
    <x v="212"/>
    <x v="63"/>
    <x v="1077"/>
    <x v="1077"/>
    <x v="1"/>
    <x v="12"/>
    <x v="12"/>
    <x v="37"/>
    <x v="180"/>
    <x v="381"/>
    <x v="0"/>
    <x v="1425"/>
    <x v="652"/>
    <x v="384"/>
    <x v="0"/>
    <x v="465"/>
    <x v="145"/>
    <x v="0"/>
    <x v="1589"/>
    <x v="11"/>
  </r>
  <r>
    <x v="191"/>
    <x v="90"/>
    <x v="115"/>
    <x v="1289"/>
    <x v="1289"/>
    <x v="0"/>
    <x v="5"/>
    <x v="5"/>
    <x v="49"/>
    <x v="290"/>
    <x v="109"/>
    <x v="1"/>
    <x v="82"/>
    <x v="679"/>
    <x v="769"/>
    <x v="8"/>
    <x v="520"/>
    <x v="616"/>
    <x v="1"/>
    <x v="252"/>
    <x v="30"/>
  </r>
  <r>
    <x v="99"/>
    <x v="364"/>
    <x v="65"/>
    <x v="1407"/>
    <x v="1407"/>
    <x v="0"/>
    <x v="4"/>
    <x v="4"/>
    <x v="46"/>
    <x v="336"/>
    <x v="270"/>
    <x v="0"/>
    <x v="848"/>
    <x v="572"/>
    <x v="996"/>
    <x v="0"/>
    <x v="462"/>
    <x v="292"/>
    <x v="0"/>
    <x v="131"/>
    <x v="15"/>
  </r>
  <r>
    <x v="124"/>
    <x v="531"/>
    <x v="66"/>
    <x v="531"/>
    <x v="531"/>
    <x v="0"/>
    <x v="6"/>
    <x v="6"/>
    <x v="32"/>
    <x v="428"/>
    <x v="519"/>
    <x v="0"/>
    <x v="1552"/>
    <x v="488"/>
    <x v="1061"/>
    <x v="634"/>
    <x v="492"/>
    <x v="749"/>
    <x v="1"/>
    <x v="1358"/>
    <x v="25"/>
  </r>
  <r>
    <x v="541"/>
    <x v="66"/>
    <x v="1731"/>
    <x v="1042"/>
    <x v="1042"/>
    <x v="0"/>
    <x v="17"/>
    <x v="17"/>
    <x v="65"/>
    <x v="214"/>
    <x v="337"/>
    <x v="0"/>
    <x v="1353"/>
    <x v="265"/>
    <x v="1022"/>
    <x v="0"/>
    <x v="500"/>
    <x v="448"/>
    <x v="1"/>
    <x v="1199"/>
    <x v="25"/>
  </r>
  <r>
    <x v="743"/>
    <x v="759"/>
    <x v="68"/>
    <x v="343"/>
    <x v="343"/>
    <x v="0"/>
    <x v="19"/>
    <x v="19"/>
    <x v="59"/>
    <x v="176"/>
    <x v="404"/>
    <x v="0"/>
    <x v="870"/>
    <x v="104"/>
    <x v="219"/>
    <x v="0"/>
    <x v="618"/>
    <x v="348"/>
    <x v="1"/>
    <x v="1520"/>
    <x v="23"/>
  </r>
  <r>
    <x v="432"/>
    <x v="375"/>
    <x v="69"/>
    <x v="1544"/>
    <x v="1544"/>
    <x v="0"/>
    <x v="15"/>
    <x v="15"/>
    <x v="70"/>
    <x v="76"/>
    <x v="8"/>
    <x v="1"/>
    <x v="312"/>
    <x v="70"/>
    <x v="1201"/>
    <x v="0"/>
    <x v="436"/>
    <x v="188"/>
    <x v="0"/>
    <x v="881"/>
    <x v="30"/>
  </r>
  <r>
    <x v="268"/>
    <x v="394"/>
    <x v="70"/>
    <x v="1703"/>
    <x v="1703"/>
    <x v="1"/>
    <x v="12"/>
    <x v="12"/>
    <x v="62"/>
    <x v="170"/>
    <x v="403"/>
    <x v="0"/>
    <x v="1499"/>
    <x v="415"/>
    <x v="754"/>
    <x v="239"/>
    <x v="480"/>
    <x v="99"/>
    <x v="0"/>
    <x v="1483"/>
    <x v="7"/>
  </r>
  <r>
    <x v="191"/>
    <x v="90"/>
    <x v="1016"/>
    <x v="1708"/>
    <x v="1708"/>
    <x v="0"/>
    <x v="5"/>
    <x v="5"/>
    <x v="48"/>
    <x v="385"/>
    <x v="87"/>
    <x v="1"/>
    <x v="87"/>
    <x v="471"/>
    <x v="956"/>
    <x v="275"/>
    <x v="441"/>
    <x v="376"/>
    <x v="1"/>
    <x v="139"/>
    <x v="30"/>
  </r>
  <r>
    <x v="424"/>
    <x v="585"/>
    <x v="72"/>
    <x v="1179"/>
    <x v="1179"/>
    <x v="0"/>
    <x v="11"/>
    <x v="11"/>
    <x v="51"/>
    <x v="168"/>
    <x v="548"/>
    <x v="0"/>
    <x v="1443"/>
    <x v="214"/>
    <x v="985"/>
    <x v="203"/>
    <x v="578"/>
    <x v="483"/>
    <x v="1"/>
    <x v="1538"/>
    <x v="23"/>
  </r>
  <r>
    <x v="172"/>
    <x v="91"/>
    <x v="1142"/>
    <x v="410"/>
    <x v="410"/>
    <x v="0"/>
    <x v="3"/>
    <x v="3"/>
    <x v="31"/>
    <x v="416"/>
    <x v="327"/>
    <x v="0"/>
    <x v="108"/>
    <x v="571"/>
    <x v="808"/>
    <x v="67"/>
    <x v="646"/>
    <x v="609"/>
    <x v="1"/>
    <x v="1559"/>
    <x v="23"/>
  </r>
  <r>
    <x v="538"/>
    <x v="404"/>
    <x v="74"/>
    <x v="1074"/>
    <x v="1074"/>
    <x v="1"/>
    <x v="20"/>
    <x v="20"/>
    <x v="66"/>
    <x v="333"/>
    <x v="235"/>
    <x v="1"/>
    <x v="973"/>
    <x v="325"/>
    <x v="676"/>
    <x v="413"/>
    <x v="352"/>
    <x v="391"/>
    <x v="1"/>
    <x v="404"/>
    <x v="7"/>
  </r>
  <r>
    <x v="194"/>
    <x v="721"/>
    <x v="75"/>
    <x v="688"/>
    <x v="688"/>
    <x v="1"/>
    <x v="22"/>
    <x v="22"/>
    <x v="25"/>
    <x v="166"/>
    <x v="434"/>
    <x v="0"/>
    <x v="675"/>
    <x v="214"/>
    <x v="577"/>
    <x v="610"/>
    <x v="409"/>
    <x v="235"/>
    <x v="0"/>
    <x v="1774"/>
    <x v="23"/>
  </r>
  <r>
    <x v="496"/>
    <x v="761"/>
    <x v="76"/>
    <x v="481"/>
    <x v="481"/>
    <x v="0"/>
    <x v="12"/>
    <x v="12"/>
    <x v="11"/>
    <x v="324"/>
    <x v="218"/>
    <x v="1"/>
    <x v="945"/>
    <x v="295"/>
    <x v="1050"/>
    <x v="0"/>
    <x v="249"/>
    <x v="608"/>
    <x v="1"/>
    <x v="1356"/>
    <x v="25"/>
  </r>
  <r>
    <x v="690"/>
    <x v="378"/>
    <x v="76"/>
    <x v="763"/>
    <x v="763"/>
    <x v="1"/>
    <x v="18"/>
    <x v="18"/>
    <x v="56"/>
    <x v="252"/>
    <x v="173"/>
    <x v="1"/>
    <x v="1233"/>
    <x v="485"/>
    <x v="665"/>
    <x v="0"/>
    <x v="358"/>
    <x v="346"/>
    <x v="1"/>
    <x v="243"/>
    <x v="11"/>
  </r>
  <r>
    <x v="189"/>
    <x v="522"/>
    <x v="77"/>
    <x v="765"/>
    <x v="765"/>
    <x v="0"/>
    <x v="3"/>
    <x v="3"/>
    <x v="46"/>
    <x v="138"/>
    <x v="321"/>
    <x v="0"/>
    <x v="86"/>
    <x v="34"/>
    <x v="241"/>
    <x v="576"/>
    <x v="426"/>
    <x v="485"/>
    <x v="1"/>
    <x v="397"/>
    <x v="28"/>
  </r>
  <r>
    <x v="297"/>
    <x v="120"/>
    <x v="78"/>
    <x v="1027"/>
    <x v="1027"/>
    <x v="0"/>
    <x v="6"/>
    <x v="6"/>
    <x v="28"/>
    <x v="196"/>
    <x v="85"/>
    <x v="1"/>
    <x v="276"/>
    <x v="83"/>
    <x v="1082"/>
    <x v="0"/>
    <x v="410"/>
    <x v="174"/>
    <x v="0"/>
    <x v="53"/>
    <x v="52"/>
  </r>
  <r>
    <x v="674"/>
    <x v="682"/>
    <x v="1495"/>
    <x v="521"/>
    <x v="521"/>
    <x v="0"/>
    <x v="17"/>
    <x v="17"/>
    <x v="64"/>
    <x v="381"/>
    <x v="355"/>
    <x v="0"/>
    <x v="397"/>
    <x v="384"/>
    <x v="394"/>
    <x v="0"/>
    <x v="71"/>
    <x v="574"/>
    <x v="1"/>
    <x v="1567"/>
    <x v="23"/>
  </r>
  <r>
    <x v="469"/>
    <x v="715"/>
    <x v="80"/>
    <x v="501"/>
    <x v="501"/>
    <x v="0"/>
    <x v="12"/>
    <x v="12"/>
    <x v="63"/>
    <x v="424"/>
    <x v="194"/>
    <x v="1"/>
    <x v="80"/>
    <x v="466"/>
    <x v="840"/>
    <x v="558"/>
    <x v="156"/>
    <x v="544"/>
    <x v="1"/>
    <x v="885"/>
    <x v="23"/>
  </r>
  <r>
    <x v="229"/>
    <x v="402"/>
    <x v="81"/>
    <x v="1615"/>
    <x v="1615"/>
    <x v="0"/>
    <x v="11"/>
    <x v="11"/>
    <x v="42"/>
    <x v="5"/>
    <x v="472"/>
    <x v="0"/>
    <x v="1568"/>
    <x v="442"/>
    <x v="952"/>
    <x v="0"/>
    <x v="236"/>
    <x v="160"/>
    <x v="0"/>
    <x v="56"/>
    <x v="30"/>
  </r>
  <r>
    <x v="131"/>
    <x v="344"/>
    <x v="82"/>
    <x v="1294"/>
    <x v="1294"/>
    <x v="1"/>
    <x v="3"/>
    <x v="3"/>
    <x v="59"/>
    <x v="471"/>
    <x v="307"/>
    <x v="0"/>
    <x v="562"/>
    <x v="661"/>
    <x v="944"/>
    <x v="0"/>
    <x v="539"/>
    <x v="656"/>
    <x v="1"/>
    <x v="403"/>
    <x v="15"/>
  </r>
  <r>
    <x v="615"/>
    <x v="568"/>
    <x v="83"/>
    <x v="1308"/>
    <x v="1308"/>
    <x v="0"/>
    <x v="16"/>
    <x v="16"/>
    <x v="62"/>
    <x v="364"/>
    <x v="276"/>
    <x v="0"/>
    <x v="599"/>
    <x v="60"/>
    <x v="913"/>
    <x v="28"/>
    <x v="719"/>
    <x v="604"/>
    <x v="1"/>
    <x v="893"/>
    <x v="11"/>
  </r>
  <r>
    <x v="107"/>
    <x v="162"/>
    <x v="84"/>
    <x v="1054"/>
    <x v="1054"/>
    <x v="0"/>
    <x v="3"/>
    <x v="3"/>
    <x v="46"/>
    <x v="500"/>
    <x v="468"/>
    <x v="0"/>
    <x v="1560"/>
    <x v="585"/>
    <x v="891"/>
    <x v="255"/>
    <x v="781"/>
    <x v="645"/>
    <x v="1"/>
    <x v="637"/>
    <x v="15"/>
  </r>
  <r>
    <x v="251"/>
    <x v="299"/>
    <x v="85"/>
    <x v="1509"/>
    <x v="1509"/>
    <x v="0"/>
    <x v="6"/>
    <x v="6"/>
    <x v="43"/>
    <x v="438"/>
    <x v="355"/>
    <x v="0"/>
    <x v="364"/>
    <x v="138"/>
    <x v="799"/>
    <x v="38"/>
    <x v="421"/>
    <x v="692"/>
    <x v="1"/>
    <x v="1228"/>
    <x v="52"/>
  </r>
  <r>
    <x v="351"/>
    <x v="628"/>
    <x v="86"/>
    <x v="1348"/>
    <x v="1348"/>
    <x v="0"/>
    <x v="8"/>
    <x v="8"/>
    <x v="53"/>
    <x v="97"/>
    <x v="174"/>
    <x v="1"/>
    <x v="965"/>
    <x v="53"/>
    <x v="1012"/>
    <x v="92"/>
    <x v="640"/>
    <x v="50"/>
    <x v="0"/>
    <x v="247"/>
    <x v="47"/>
  </r>
  <r>
    <x v="411"/>
    <x v="251"/>
    <x v="87"/>
    <x v="1634"/>
    <x v="1634"/>
    <x v="1"/>
    <x v="10"/>
    <x v="10"/>
    <x v="64"/>
    <x v="362"/>
    <x v="330"/>
    <x v="0"/>
    <x v="1569"/>
    <x v="768"/>
    <x v="909"/>
    <x v="0"/>
    <x v="191"/>
    <x v="353"/>
    <x v="1"/>
    <x v="838"/>
    <x v="37"/>
  </r>
  <r>
    <x v="270"/>
    <x v="311"/>
    <x v="88"/>
    <x v="106"/>
    <x v="106"/>
    <x v="1"/>
    <x v="6"/>
    <x v="6"/>
    <x v="63"/>
    <x v="50"/>
    <x v="578"/>
    <x v="0"/>
    <x v="1651"/>
    <x v="359"/>
    <x v="2"/>
    <x v="343"/>
    <x v="650"/>
    <x v="596"/>
    <x v="1"/>
    <x v="1800"/>
    <x v="38"/>
  </r>
  <r>
    <x v="30"/>
    <x v="489"/>
    <x v="89"/>
    <x v="1567"/>
    <x v="1567"/>
    <x v="0"/>
    <x v="2"/>
    <x v="2"/>
    <x v="44"/>
    <x v="266"/>
    <x v="335"/>
    <x v="0"/>
    <x v="251"/>
    <x v="105"/>
    <x v="1047"/>
    <x v="0"/>
    <x v="439"/>
    <x v="428"/>
    <x v="1"/>
    <x v="1030"/>
    <x v="23"/>
  </r>
  <r>
    <x v="525"/>
    <x v="566"/>
    <x v="90"/>
    <x v="1465"/>
    <x v="1465"/>
    <x v="1"/>
    <x v="16"/>
    <x v="16"/>
    <x v="52"/>
    <x v="560"/>
    <x v="208"/>
    <x v="1"/>
    <x v="526"/>
    <x v="642"/>
    <x v="708"/>
    <x v="177"/>
    <x v="514"/>
    <x v="479"/>
    <x v="1"/>
    <x v="1272"/>
    <x v="11"/>
  </r>
  <r>
    <x v="221"/>
    <x v="45"/>
    <x v="91"/>
    <x v="786"/>
    <x v="786"/>
    <x v="0"/>
    <x v="5"/>
    <x v="5"/>
    <x v="34"/>
    <x v="273"/>
    <x v="152"/>
    <x v="1"/>
    <x v="361"/>
    <x v="213"/>
    <x v="1117"/>
    <x v="0"/>
    <x v="461"/>
    <x v="208"/>
    <x v="0"/>
    <x v="1492"/>
    <x v="30"/>
  </r>
  <r>
    <x v="504"/>
    <x v="560"/>
    <x v="92"/>
    <x v="630"/>
    <x v="630"/>
    <x v="0"/>
    <x v="12"/>
    <x v="12"/>
    <x v="50"/>
    <x v="122"/>
    <x v="429"/>
    <x v="0"/>
    <x v="741"/>
    <x v="179"/>
    <x v="45"/>
    <x v="0"/>
    <x v="658"/>
    <x v="567"/>
    <x v="1"/>
    <x v="1553"/>
    <x v="47"/>
  </r>
  <r>
    <x v="235"/>
    <x v="503"/>
    <x v="93"/>
    <x v="1047"/>
    <x v="1047"/>
    <x v="0"/>
    <x v="16"/>
    <x v="16"/>
    <x v="65"/>
    <x v="16"/>
    <x v="343"/>
    <x v="0"/>
    <x v="460"/>
    <x v="519"/>
    <x v="24"/>
    <x v="0"/>
    <x v="732"/>
    <x v="185"/>
    <x v="0"/>
    <x v="1807"/>
    <x v="23"/>
  </r>
  <r>
    <x v="576"/>
    <x v="505"/>
    <x v="94"/>
    <x v="104"/>
    <x v="104"/>
    <x v="0"/>
    <x v="15"/>
    <x v="15"/>
    <x v="0"/>
    <x v="228"/>
    <x v="514"/>
    <x v="0"/>
    <x v="813"/>
    <x v="108"/>
    <x v="119"/>
    <x v="744"/>
    <x v="201"/>
    <x v="0"/>
    <x v="0"/>
    <x v="1212"/>
    <x v="25"/>
  </r>
  <r>
    <x v="108"/>
    <x v="646"/>
    <x v="95"/>
    <x v="1791"/>
    <x v="1791"/>
    <x v="0"/>
    <x v="2"/>
    <x v="2"/>
    <x v="36"/>
    <x v="245"/>
    <x v="420"/>
    <x v="0"/>
    <x v="42"/>
    <x v="60"/>
    <x v="28"/>
    <x v="721"/>
    <x v="442"/>
    <x v="296"/>
    <x v="0"/>
    <x v="1196"/>
    <x v="2"/>
  </r>
  <r>
    <x v="191"/>
    <x v="90"/>
    <x v="1094"/>
    <x v="561"/>
    <x v="561"/>
    <x v="0"/>
    <x v="5"/>
    <x v="5"/>
    <x v="49"/>
    <x v="370"/>
    <x v="92"/>
    <x v="1"/>
    <x v="115"/>
    <x v="496"/>
    <x v="967"/>
    <x v="157"/>
    <x v="406"/>
    <x v="476"/>
    <x v="1"/>
    <x v="498"/>
    <x v="30"/>
  </r>
  <r>
    <x v="574"/>
    <x v="776"/>
    <x v="97"/>
    <x v="1282"/>
    <x v="1282"/>
    <x v="1"/>
    <x v="15"/>
    <x v="15"/>
    <x v="74"/>
    <x v="95"/>
    <x v="149"/>
    <x v="1"/>
    <x v="128"/>
    <x v="143"/>
    <x v="1176"/>
    <x v="237"/>
    <x v="367"/>
    <x v="40"/>
    <x v="0"/>
    <x v="986"/>
    <x v="23"/>
  </r>
  <r>
    <x v="409"/>
    <x v="346"/>
    <x v="98"/>
    <x v="1481"/>
    <x v="1481"/>
    <x v="0"/>
    <x v="9"/>
    <x v="9"/>
    <x v="42"/>
    <x v="126"/>
    <x v="365"/>
    <x v="0"/>
    <x v="1220"/>
    <x v="593"/>
    <x v="463"/>
    <x v="267"/>
    <x v="414"/>
    <x v="239"/>
    <x v="0"/>
    <x v="1473"/>
    <x v="39"/>
  </r>
  <r>
    <x v="781"/>
    <x v="82"/>
    <x v="99"/>
    <x v="246"/>
    <x v="246"/>
    <x v="0"/>
    <x v="20"/>
    <x v="20"/>
    <x v="42"/>
    <x v="306"/>
    <x v="434"/>
    <x v="0"/>
    <x v="1329"/>
    <x v="512"/>
    <x v="560"/>
    <x v="0"/>
    <x v="698"/>
    <x v="299"/>
    <x v="0"/>
    <x v="760"/>
    <x v="2"/>
  </r>
  <r>
    <x v="657"/>
    <x v="786"/>
    <x v="100"/>
    <x v="1485"/>
    <x v="1485"/>
    <x v="1"/>
    <x v="17"/>
    <x v="17"/>
    <x v="59"/>
    <x v="348"/>
    <x v="140"/>
    <x v="1"/>
    <x v="932"/>
    <x v="68"/>
    <x v="308"/>
    <x v="393"/>
    <x v="428"/>
    <x v="40"/>
    <x v="0"/>
    <x v="1314"/>
    <x v="9"/>
  </r>
  <r>
    <x v="627"/>
    <x v="232"/>
    <x v="101"/>
    <x v="42"/>
    <x v="42"/>
    <x v="0"/>
    <x v="21"/>
    <x v="21"/>
    <x v="49"/>
    <x v="351"/>
    <x v="423"/>
    <x v="0"/>
    <x v="826"/>
    <x v="234"/>
    <x v="872"/>
    <x v="0"/>
    <x v="644"/>
    <x v="718"/>
    <x v="1"/>
    <x v="1600"/>
    <x v="23"/>
  </r>
  <r>
    <x v="162"/>
    <x v="295"/>
    <x v="102"/>
    <x v="987"/>
    <x v="987"/>
    <x v="0"/>
    <x v="5"/>
    <x v="5"/>
    <x v="39"/>
    <x v="335"/>
    <x v="321"/>
    <x v="0"/>
    <x v="580"/>
    <x v="13"/>
    <x v="1007"/>
    <x v="0"/>
    <x v="289"/>
    <x v="487"/>
    <x v="1"/>
    <x v="673"/>
    <x v="23"/>
  </r>
  <r>
    <x v="666"/>
    <x v="622"/>
    <x v="930"/>
    <x v="978"/>
    <x v="978"/>
    <x v="0"/>
    <x v="17"/>
    <x v="17"/>
    <x v="63"/>
    <x v="148"/>
    <x v="272"/>
    <x v="0"/>
    <x v="696"/>
    <x v="386"/>
    <x v="1019"/>
    <x v="0"/>
    <x v="55"/>
    <x v="389"/>
    <x v="1"/>
    <x v="855"/>
    <x v="23"/>
  </r>
  <r>
    <x v="360"/>
    <x v="770"/>
    <x v="104"/>
    <x v="167"/>
    <x v="167"/>
    <x v="0"/>
    <x v="9"/>
    <x v="9"/>
    <x v="60"/>
    <x v="288"/>
    <x v="207"/>
    <x v="1"/>
    <x v="594"/>
    <x v="26"/>
    <x v="497"/>
    <x v="0"/>
    <x v="386"/>
    <x v="24"/>
    <x v="0"/>
    <x v="851"/>
    <x v="15"/>
  </r>
  <r>
    <x v="649"/>
    <x v="469"/>
    <x v="105"/>
    <x v="13"/>
    <x v="13"/>
    <x v="0"/>
    <x v="16"/>
    <x v="16"/>
    <x v="19"/>
    <x v="410"/>
    <x v="178"/>
    <x v="1"/>
    <x v="49"/>
    <x v="65"/>
    <x v="1105"/>
    <x v="342"/>
    <x v="435"/>
    <x v="261"/>
    <x v="0"/>
    <x v="950"/>
    <x v="25"/>
  </r>
  <r>
    <x v="314"/>
    <x v="774"/>
    <x v="106"/>
    <x v="985"/>
    <x v="985"/>
    <x v="0"/>
    <x v="7"/>
    <x v="7"/>
    <x v="53"/>
    <x v="315"/>
    <x v="470"/>
    <x v="0"/>
    <x v="1149"/>
    <x v="137"/>
    <x v="993"/>
    <x v="0"/>
    <x v="413"/>
    <x v="479"/>
    <x v="1"/>
    <x v="871"/>
    <x v="0"/>
  </r>
  <r>
    <x v="462"/>
    <x v="386"/>
    <x v="107"/>
    <x v="1020"/>
    <x v="1020"/>
    <x v="0"/>
    <x v="14"/>
    <x v="14"/>
    <x v="53"/>
    <x v="206"/>
    <x v="473"/>
    <x v="0"/>
    <x v="1481"/>
    <x v="565"/>
    <x v="762"/>
    <x v="0"/>
    <x v="644"/>
    <x v="448"/>
    <x v="1"/>
    <x v="1431"/>
    <x v="23"/>
  </r>
  <r>
    <x v="364"/>
    <x v="317"/>
    <x v="108"/>
    <x v="867"/>
    <x v="867"/>
    <x v="1"/>
    <x v="13"/>
    <x v="13"/>
    <x v="47"/>
    <x v="351"/>
    <x v="438"/>
    <x v="0"/>
    <x v="1196"/>
    <x v="251"/>
    <x v="874"/>
    <x v="0"/>
    <x v="452"/>
    <x v="479"/>
    <x v="1"/>
    <x v="1290"/>
    <x v="11"/>
  </r>
  <r>
    <x v="6"/>
    <x v="242"/>
    <x v="109"/>
    <x v="1506"/>
    <x v="1506"/>
    <x v="1"/>
    <x v="6"/>
    <x v="6"/>
    <x v="38"/>
    <x v="281"/>
    <x v="396"/>
    <x v="0"/>
    <x v="543"/>
    <x v="798"/>
    <x v="1082"/>
    <x v="0"/>
    <x v="411"/>
    <x v="509"/>
    <x v="1"/>
    <x v="133"/>
    <x v="7"/>
  </r>
  <r>
    <x v="698"/>
    <x v="149"/>
    <x v="110"/>
    <x v="611"/>
    <x v="611"/>
    <x v="0"/>
    <x v="19"/>
    <x v="19"/>
    <x v="0"/>
    <x v="408"/>
    <x v="228"/>
    <x v="1"/>
    <x v="1161"/>
    <x v="174"/>
    <x v="832"/>
    <x v="268"/>
    <x v="291"/>
    <x v="602"/>
    <x v="1"/>
    <x v="526"/>
    <x v="23"/>
  </r>
  <r>
    <x v="286"/>
    <x v="172"/>
    <x v="111"/>
    <x v="65"/>
    <x v="65"/>
    <x v="0"/>
    <x v="7"/>
    <x v="7"/>
    <x v="53"/>
    <x v="490"/>
    <x v="507"/>
    <x v="0"/>
    <x v="1490"/>
    <x v="150"/>
    <x v="1001"/>
    <x v="758"/>
    <x v="154"/>
    <x v="611"/>
    <x v="1"/>
    <x v="1412"/>
    <x v="23"/>
  </r>
  <r>
    <x v="290"/>
    <x v="160"/>
    <x v="112"/>
    <x v="934"/>
    <x v="934"/>
    <x v="1"/>
    <x v="17"/>
    <x v="17"/>
    <x v="57"/>
    <x v="455"/>
    <x v="170"/>
    <x v="1"/>
    <x v="907"/>
    <x v="184"/>
    <x v="566"/>
    <x v="0"/>
    <x v="293"/>
    <x v="515"/>
    <x v="1"/>
    <x v="451"/>
    <x v="15"/>
  </r>
  <r>
    <x v="190"/>
    <x v="9"/>
    <x v="113"/>
    <x v="1331"/>
    <x v="1331"/>
    <x v="1"/>
    <x v="9"/>
    <x v="9"/>
    <x v="53"/>
    <x v="265"/>
    <x v="382"/>
    <x v="0"/>
    <x v="780"/>
    <x v="597"/>
    <x v="772"/>
    <x v="0"/>
    <x v="19"/>
    <x v="265"/>
    <x v="0"/>
    <x v="1465"/>
    <x v="11"/>
  </r>
  <r>
    <x v="173"/>
    <x v="57"/>
    <x v="114"/>
    <x v="1508"/>
    <x v="1508"/>
    <x v="1"/>
    <x v="4"/>
    <x v="4"/>
    <x v="41"/>
    <x v="202"/>
    <x v="184"/>
    <x v="1"/>
    <x v="681"/>
    <x v="682"/>
    <x v="323"/>
    <x v="143"/>
    <x v="20"/>
    <x v="305"/>
    <x v="0"/>
    <x v="1627"/>
    <x v="15"/>
  </r>
  <r>
    <x v="462"/>
    <x v="386"/>
    <x v="114"/>
    <x v="680"/>
    <x v="680"/>
    <x v="0"/>
    <x v="12"/>
    <x v="12"/>
    <x v="67"/>
    <x v="363"/>
    <x v="459"/>
    <x v="0"/>
    <x v="855"/>
    <x v="602"/>
    <x v="568"/>
    <x v="0"/>
    <x v="415"/>
    <x v="375"/>
    <x v="1"/>
    <x v="3"/>
    <x v="23"/>
  </r>
  <r>
    <x v="39"/>
    <x v="117"/>
    <x v="916"/>
    <x v="494"/>
    <x v="494"/>
    <x v="0"/>
    <x v="7"/>
    <x v="7"/>
    <x v="52"/>
    <x v="349"/>
    <x v="203"/>
    <x v="1"/>
    <x v="143"/>
    <x v="507"/>
    <x v="601"/>
    <x v="0"/>
    <x v="153"/>
    <x v="345"/>
    <x v="1"/>
    <x v="112"/>
    <x v="15"/>
  </r>
  <r>
    <x v="39"/>
    <x v="117"/>
    <x v="892"/>
    <x v="1336"/>
    <x v="1336"/>
    <x v="0"/>
    <x v="7"/>
    <x v="7"/>
    <x v="48"/>
    <x v="448"/>
    <x v="263"/>
    <x v="0"/>
    <x v="154"/>
    <x v="661"/>
    <x v="813"/>
    <x v="456"/>
    <x v="328"/>
    <x v="446"/>
    <x v="1"/>
    <x v="1594"/>
    <x v="15"/>
  </r>
  <r>
    <x v="316"/>
    <x v="47"/>
    <x v="117"/>
    <x v="1238"/>
    <x v="1238"/>
    <x v="1"/>
    <x v="8"/>
    <x v="8"/>
    <x v="62"/>
    <x v="62"/>
    <x v="63"/>
    <x v="1"/>
    <x v="4"/>
    <x v="117"/>
    <x v="874"/>
    <x v="250"/>
    <x v="301"/>
    <x v="232"/>
    <x v="0"/>
    <x v="984"/>
    <x v="37"/>
  </r>
  <r>
    <x v="438"/>
    <x v="728"/>
    <x v="118"/>
    <x v="1672"/>
    <x v="1672"/>
    <x v="0"/>
    <x v="12"/>
    <x v="12"/>
    <x v="51"/>
    <x v="168"/>
    <x v="271"/>
    <x v="0"/>
    <x v="1082"/>
    <x v="51"/>
    <x v="859"/>
    <x v="0"/>
    <x v="622"/>
    <x v="153"/>
    <x v="0"/>
    <x v="1472"/>
    <x v="23"/>
  </r>
  <r>
    <x v="589"/>
    <x v="806"/>
    <x v="119"/>
    <x v="1199"/>
    <x v="1199"/>
    <x v="1"/>
    <x v="15"/>
    <x v="15"/>
    <x v="47"/>
    <x v="440"/>
    <x v="303"/>
    <x v="0"/>
    <x v="421"/>
    <x v="436"/>
    <x v="1020"/>
    <x v="0"/>
    <x v="415"/>
    <x v="293"/>
    <x v="0"/>
    <x v="778"/>
    <x v="15"/>
  </r>
  <r>
    <x v="437"/>
    <x v="189"/>
    <x v="120"/>
    <x v="73"/>
    <x v="73"/>
    <x v="0"/>
    <x v="16"/>
    <x v="16"/>
    <x v="31"/>
    <x v="249"/>
    <x v="568"/>
    <x v="0"/>
    <x v="1330"/>
    <x v="509"/>
    <x v="110"/>
    <x v="664"/>
    <x v="616"/>
    <x v="260"/>
    <x v="0"/>
    <x v="1184"/>
    <x v="13"/>
  </r>
  <r>
    <x v="686"/>
    <x v="289"/>
    <x v="1015"/>
    <x v="1370"/>
    <x v="1370"/>
    <x v="1"/>
    <x v="17"/>
    <x v="17"/>
    <x v="63"/>
    <x v="391"/>
    <x v="275"/>
    <x v="0"/>
    <x v="442"/>
    <x v="545"/>
    <x v="422"/>
    <x v="0"/>
    <x v="462"/>
    <x v="242"/>
    <x v="0"/>
    <x v="745"/>
    <x v="11"/>
  </r>
  <r>
    <x v="785"/>
    <x v="319"/>
    <x v="122"/>
    <x v="144"/>
    <x v="144"/>
    <x v="0"/>
    <x v="19"/>
    <x v="19"/>
    <x v="58"/>
    <x v="310"/>
    <x v="352"/>
    <x v="0"/>
    <x v="1441"/>
    <x v="44"/>
    <x v="675"/>
    <x v="0"/>
    <x v="324"/>
    <x v="447"/>
    <x v="1"/>
    <x v="854"/>
    <x v="25"/>
  </r>
  <r>
    <x v="438"/>
    <x v="728"/>
    <x v="123"/>
    <x v="621"/>
    <x v="621"/>
    <x v="0"/>
    <x v="16"/>
    <x v="16"/>
    <x v="40"/>
    <x v="281"/>
    <x v="394"/>
    <x v="0"/>
    <x v="562"/>
    <x v="653"/>
    <x v="800"/>
    <x v="154"/>
    <x v="503"/>
    <x v="154"/>
    <x v="0"/>
    <x v="1718"/>
    <x v="23"/>
  </r>
  <r>
    <x v="438"/>
    <x v="728"/>
    <x v="123"/>
    <x v="388"/>
    <x v="388"/>
    <x v="0"/>
    <x v="17"/>
    <x v="17"/>
    <x v="56"/>
    <x v="289"/>
    <x v="256"/>
    <x v="1"/>
    <x v="265"/>
    <x v="571"/>
    <x v="499"/>
    <x v="0"/>
    <x v="443"/>
    <x v="99"/>
    <x v="0"/>
    <x v="1717"/>
    <x v="23"/>
  </r>
  <r>
    <x v="425"/>
    <x v="34"/>
    <x v="124"/>
    <x v="516"/>
    <x v="516"/>
    <x v="0"/>
    <x v="11"/>
    <x v="11"/>
    <x v="43"/>
    <x v="305"/>
    <x v="466"/>
    <x v="0"/>
    <x v="1406"/>
    <x v="275"/>
    <x v="364"/>
    <x v="0"/>
    <x v="641"/>
    <x v="469"/>
    <x v="1"/>
    <x v="1453"/>
    <x v="23"/>
  </r>
  <r>
    <x v="285"/>
    <x v="182"/>
    <x v="125"/>
    <x v="1096"/>
    <x v="1096"/>
    <x v="0"/>
    <x v="7"/>
    <x v="7"/>
    <x v="60"/>
    <x v="234"/>
    <x v="385"/>
    <x v="0"/>
    <x v="1300"/>
    <x v="57"/>
    <x v="1099"/>
    <x v="581"/>
    <x v="455"/>
    <x v="361"/>
    <x v="1"/>
    <x v="1458"/>
    <x v="23"/>
  </r>
  <r>
    <x v="375"/>
    <x v="77"/>
    <x v="1629"/>
    <x v="1756"/>
    <x v="1756"/>
    <x v="1"/>
    <x v="8"/>
    <x v="8"/>
    <x v="45"/>
    <x v="507"/>
    <x v="74"/>
    <x v="1"/>
    <x v="237"/>
    <x v="707"/>
    <x v="390"/>
    <x v="0"/>
    <x v="335"/>
    <x v="544"/>
    <x v="1"/>
    <x v="227"/>
    <x v="11"/>
  </r>
  <r>
    <x v="436"/>
    <x v="431"/>
    <x v="127"/>
    <x v="1677"/>
    <x v="1677"/>
    <x v="1"/>
    <x v="11"/>
    <x v="11"/>
    <x v="66"/>
    <x v="331"/>
    <x v="521"/>
    <x v="0"/>
    <x v="1379"/>
    <x v="108"/>
    <x v="188"/>
    <x v="308"/>
    <x v="286"/>
    <x v="544"/>
    <x v="1"/>
    <x v="866"/>
    <x v="23"/>
  </r>
  <r>
    <x v="444"/>
    <x v="365"/>
    <x v="1188"/>
    <x v="1185"/>
    <x v="1185"/>
    <x v="0"/>
    <x v="17"/>
    <x v="17"/>
    <x v="63"/>
    <x v="73"/>
    <x v="325"/>
    <x v="0"/>
    <x v="1391"/>
    <x v="548"/>
    <x v="948"/>
    <x v="0"/>
    <x v="416"/>
    <x v="440"/>
    <x v="1"/>
    <x v="59"/>
    <x v="15"/>
  </r>
  <r>
    <x v="72"/>
    <x v="250"/>
    <x v="129"/>
    <x v="1778"/>
    <x v="1778"/>
    <x v="0"/>
    <x v="2"/>
    <x v="2"/>
    <x v="40"/>
    <x v="359"/>
    <x v="60"/>
    <x v="1"/>
    <x v="92"/>
    <x v="490"/>
    <x v="1058"/>
    <x v="0"/>
    <x v="385"/>
    <x v="416"/>
    <x v="1"/>
    <x v="1592"/>
    <x v="19"/>
  </r>
  <r>
    <x v="37"/>
    <x v="245"/>
    <x v="130"/>
    <x v="1269"/>
    <x v="1269"/>
    <x v="0"/>
    <x v="16"/>
    <x v="16"/>
    <x v="52"/>
    <x v="353"/>
    <x v="392"/>
    <x v="0"/>
    <x v="1447"/>
    <x v="570"/>
    <x v="603"/>
    <x v="101"/>
    <x v="40"/>
    <x v="749"/>
    <x v="1"/>
    <x v="248"/>
    <x v="29"/>
  </r>
  <r>
    <x v="244"/>
    <x v="24"/>
    <x v="131"/>
    <x v="1188"/>
    <x v="1188"/>
    <x v="0"/>
    <x v="6"/>
    <x v="6"/>
    <x v="16"/>
    <x v="505"/>
    <x v="300"/>
    <x v="0"/>
    <x v="633"/>
    <x v="597"/>
    <x v="531"/>
    <x v="96"/>
    <x v="772"/>
    <x v="499"/>
    <x v="1"/>
    <x v="625"/>
    <x v="23"/>
  </r>
  <r>
    <x v="514"/>
    <x v="367"/>
    <x v="132"/>
    <x v="372"/>
    <x v="372"/>
    <x v="0"/>
    <x v="16"/>
    <x v="16"/>
    <x v="63"/>
    <x v="341"/>
    <x v="386"/>
    <x v="0"/>
    <x v="1472"/>
    <x v="526"/>
    <x v="987"/>
    <x v="0"/>
    <x v="660"/>
    <x v="579"/>
    <x v="1"/>
    <x v="1582"/>
    <x v="11"/>
  </r>
  <r>
    <x v="437"/>
    <x v="189"/>
    <x v="133"/>
    <x v="279"/>
    <x v="279"/>
    <x v="0"/>
    <x v="17"/>
    <x v="17"/>
    <x v="33"/>
    <x v="234"/>
    <x v="469"/>
    <x v="0"/>
    <x v="1398"/>
    <x v="463"/>
    <x v="632"/>
    <x v="623"/>
    <x v="407"/>
    <x v="430"/>
    <x v="1"/>
    <x v="697"/>
    <x v="13"/>
  </r>
  <r>
    <x v="537"/>
    <x v="697"/>
    <x v="134"/>
    <x v="712"/>
    <x v="712"/>
    <x v="1"/>
    <x v="13"/>
    <x v="13"/>
    <x v="56"/>
    <x v="351"/>
    <x v="568"/>
    <x v="0"/>
    <x v="1637"/>
    <x v="659"/>
    <x v="389"/>
    <x v="273"/>
    <x v="606"/>
    <x v="414"/>
    <x v="1"/>
    <x v="721"/>
    <x v="13"/>
  </r>
  <r>
    <x v="724"/>
    <x v="3"/>
    <x v="135"/>
    <x v="820"/>
    <x v="820"/>
    <x v="1"/>
    <x v="19"/>
    <x v="19"/>
    <x v="60"/>
    <x v="510"/>
    <x v="31"/>
    <x v="1"/>
    <x v="157"/>
    <x v="785"/>
    <x v="393"/>
    <x v="168"/>
    <x v="310"/>
    <x v="230"/>
    <x v="0"/>
    <x v="26"/>
    <x v="7"/>
  </r>
  <r>
    <x v="474"/>
    <x v="225"/>
    <x v="136"/>
    <x v="325"/>
    <x v="325"/>
    <x v="0"/>
    <x v="12"/>
    <x v="12"/>
    <x v="32"/>
    <x v="404"/>
    <x v="522"/>
    <x v="0"/>
    <x v="1653"/>
    <x v="573"/>
    <x v="92"/>
    <x v="730"/>
    <x v="531"/>
    <x v="347"/>
    <x v="1"/>
    <x v="1183"/>
    <x v="2"/>
  </r>
  <r>
    <x v="309"/>
    <x v="720"/>
    <x v="137"/>
    <x v="1198"/>
    <x v="1198"/>
    <x v="1"/>
    <x v="9"/>
    <x v="9"/>
    <x v="3"/>
    <x v="310"/>
    <x v="47"/>
    <x v="1"/>
    <x v="127"/>
    <x v="598"/>
    <x v="679"/>
    <x v="0"/>
    <x v="514"/>
    <x v="255"/>
    <x v="0"/>
    <x v="632"/>
    <x v="15"/>
  </r>
  <r>
    <x v="557"/>
    <x v="315"/>
    <x v="138"/>
    <x v="1349"/>
    <x v="1349"/>
    <x v="0"/>
    <x v="14"/>
    <x v="14"/>
    <x v="0"/>
    <x v="245"/>
    <x v="463"/>
    <x v="0"/>
    <x v="1614"/>
    <x v="666"/>
    <x v="923"/>
    <x v="0"/>
    <x v="386"/>
    <x v="349"/>
    <x v="1"/>
    <x v="142"/>
    <x v="23"/>
  </r>
  <r>
    <x v="426"/>
    <x v="381"/>
    <x v="139"/>
    <x v="1246"/>
    <x v="1246"/>
    <x v="0"/>
    <x v="11"/>
    <x v="11"/>
    <x v="43"/>
    <x v="248"/>
    <x v="236"/>
    <x v="1"/>
    <x v="1460"/>
    <x v="86"/>
    <x v="417"/>
    <x v="0"/>
    <x v="148"/>
    <x v="224"/>
    <x v="0"/>
    <x v="1516"/>
    <x v="30"/>
  </r>
  <r>
    <x v="775"/>
    <x v="192"/>
    <x v="140"/>
    <x v="321"/>
    <x v="321"/>
    <x v="1"/>
    <x v="20"/>
    <x v="20"/>
    <x v="65"/>
    <x v="188"/>
    <x v="190"/>
    <x v="1"/>
    <x v="497"/>
    <x v="107"/>
    <x v="1177"/>
    <x v="0"/>
    <x v="263"/>
    <x v="289"/>
    <x v="0"/>
    <x v="1131"/>
    <x v="23"/>
  </r>
  <r>
    <x v="210"/>
    <x v="262"/>
    <x v="141"/>
    <x v="50"/>
    <x v="50"/>
    <x v="1"/>
    <x v="11"/>
    <x v="11"/>
    <x v="35"/>
    <x v="284"/>
    <x v="314"/>
    <x v="0"/>
    <x v="451"/>
    <x v="743"/>
    <x v="82"/>
    <x v="0"/>
    <x v="607"/>
    <x v="463"/>
    <x v="1"/>
    <x v="558"/>
    <x v="7"/>
  </r>
  <r>
    <x v="37"/>
    <x v="245"/>
    <x v="142"/>
    <x v="800"/>
    <x v="800"/>
    <x v="0"/>
    <x v="1"/>
    <x v="1"/>
    <x v="40"/>
    <x v="318"/>
    <x v="466"/>
    <x v="0"/>
    <x v="782"/>
    <x v="76"/>
    <x v="565"/>
    <x v="542"/>
    <x v="69"/>
    <x v="381"/>
    <x v="1"/>
    <x v="972"/>
    <x v="29"/>
  </r>
  <r>
    <x v="88"/>
    <x v="508"/>
    <x v="143"/>
    <x v="1313"/>
    <x v="1313"/>
    <x v="1"/>
    <x v="7"/>
    <x v="7"/>
    <x v="55"/>
    <x v="361"/>
    <x v="301"/>
    <x v="0"/>
    <x v="640"/>
    <x v="564"/>
    <x v="726"/>
    <x v="0"/>
    <x v="557"/>
    <x v="506"/>
    <x v="1"/>
    <x v="1545"/>
    <x v="30"/>
  </r>
  <r>
    <x v="451"/>
    <x v="371"/>
    <x v="144"/>
    <x v="327"/>
    <x v="327"/>
    <x v="0"/>
    <x v="11"/>
    <x v="11"/>
    <x v="0"/>
    <x v="519"/>
    <x v="530"/>
    <x v="0"/>
    <x v="1109"/>
    <x v="411"/>
    <x v="538"/>
    <x v="0"/>
    <x v="229"/>
    <x v="756"/>
    <x v="1"/>
    <x v="919"/>
    <x v="23"/>
  </r>
  <r>
    <x v="215"/>
    <x v="698"/>
    <x v="145"/>
    <x v="1701"/>
    <x v="1701"/>
    <x v="1"/>
    <x v="7"/>
    <x v="7"/>
    <x v="53"/>
    <x v="518"/>
    <x v="341"/>
    <x v="0"/>
    <x v="980"/>
    <x v="597"/>
    <x v="1016"/>
    <x v="0"/>
    <x v="316"/>
    <x v="752"/>
    <x v="1"/>
    <x v="556"/>
    <x v="11"/>
  </r>
  <r>
    <x v="244"/>
    <x v="24"/>
    <x v="145"/>
    <x v="1734"/>
    <x v="1734"/>
    <x v="0"/>
    <x v="10"/>
    <x v="10"/>
    <x v="51"/>
    <x v="375"/>
    <x v="545"/>
    <x v="0"/>
    <x v="1159"/>
    <x v="513"/>
    <x v="864"/>
    <x v="0"/>
    <x v="416"/>
    <x v="463"/>
    <x v="1"/>
    <x v="1282"/>
    <x v="23"/>
  </r>
  <r>
    <x v="386"/>
    <x v="672"/>
    <x v="146"/>
    <x v="935"/>
    <x v="935"/>
    <x v="0"/>
    <x v="9"/>
    <x v="9"/>
    <x v="64"/>
    <x v="397"/>
    <x v="262"/>
    <x v="0"/>
    <x v="574"/>
    <x v="390"/>
    <x v="888"/>
    <x v="0"/>
    <x v="551"/>
    <x v="596"/>
    <x v="1"/>
    <x v="1278"/>
    <x v="15"/>
  </r>
  <r>
    <x v="191"/>
    <x v="90"/>
    <x v="147"/>
    <x v="379"/>
    <x v="379"/>
    <x v="0"/>
    <x v="9"/>
    <x v="9"/>
    <x v="50"/>
    <x v="399"/>
    <x v="352"/>
    <x v="0"/>
    <x v="1385"/>
    <x v="402"/>
    <x v="267"/>
    <x v="426"/>
    <x v="468"/>
    <x v="265"/>
    <x v="0"/>
    <x v="267"/>
    <x v="30"/>
  </r>
  <r>
    <x v="342"/>
    <x v="557"/>
    <x v="148"/>
    <x v="1371"/>
    <x v="1371"/>
    <x v="0"/>
    <x v="12"/>
    <x v="12"/>
    <x v="43"/>
    <x v="343"/>
    <x v="371"/>
    <x v="0"/>
    <x v="330"/>
    <x v="596"/>
    <x v="945"/>
    <x v="142"/>
    <x v="572"/>
    <x v="336"/>
    <x v="0"/>
    <x v="1210"/>
    <x v="30"/>
  </r>
  <r>
    <x v="290"/>
    <x v="160"/>
    <x v="149"/>
    <x v="941"/>
    <x v="941"/>
    <x v="0"/>
    <x v="21"/>
    <x v="21"/>
    <x v="39"/>
    <x v="70"/>
    <x v="375"/>
    <x v="0"/>
    <x v="480"/>
    <x v="626"/>
    <x v="703"/>
    <x v="594"/>
    <x v="287"/>
    <x v="376"/>
    <x v="1"/>
    <x v="1164"/>
    <x v="15"/>
  </r>
  <r>
    <x v="462"/>
    <x v="386"/>
    <x v="150"/>
    <x v="993"/>
    <x v="993"/>
    <x v="0"/>
    <x v="14"/>
    <x v="14"/>
    <x v="59"/>
    <x v="237"/>
    <x v="443"/>
    <x v="0"/>
    <x v="1020"/>
    <x v="321"/>
    <x v="71"/>
    <x v="309"/>
    <x v="176"/>
    <x v="366"/>
    <x v="1"/>
    <x v="1203"/>
    <x v="23"/>
  </r>
  <r>
    <x v="121"/>
    <x v="20"/>
    <x v="151"/>
    <x v="345"/>
    <x v="345"/>
    <x v="1"/>
    <x v="3"/>
    <x v="3"/>
    <x v="54"/>
    <x v="435"/>
    <x v="29"/>
    <x v="1"/>
    <x v="124"/>
    <x v="832"/>
    <x v="907"/>
    <x v="0"/>
    <x v="243"/>
    <x v="665"/>
    <x v="1"/>
    <x v="1688"/>
    <x v="7"/>
  </r>
  <r>
    <x v="229"/>
    <x v="402"/>
    <x v="152"/>
    <x v="804"/>
    <x v="804"/>
    <x v="0"/>
    <x v="6"/>
    <x v="6"/>
    <x v="57"/>
    <x v="222"/>
    <x v="187"/>
    <x v="1"/>
    <x v="840"/>
    <x v="61"/>
    <x v="975"/>
    <x v="0"/>
    <x v="428"/>
    <x v="51"/>
    <x v="0"/>
    <x v="1437"/>
    <x v="30"/>
  </r>
  <r>
    <x v="342"/>
    <x v="557"/>
    <x v="152"/>
    <x v="1516"/>
    <x v="1516"/>
    <x v="0"/>
    <x v="9"/>
    <x v="9"/>
    <x v="60"/>
    <x v="443"/>
    <x v="150"/>
    <x v="1"/>
    <x v="673"/>
    <x v="102"/>
    <x v="1126"/>
    <x v="0"/>
    <x v="373"/>
    <x v="649"/>
    <x v="1"/>
    <x v="709"/>
    <x v="30"/>
  </r>
  <r>
    <x v="395"/>
    <x v="343"/>
    <x v="153"/>
    <x v="1580"/>
    <x v="1580"/>
    <x v="0"/>
    <x v="9"/>
    <x v="9"/>
    <x v="50"/>
    <x v="319"/>
    <x v="209"/>
    <x v="1"/>
    <x v="287"/>
    <x v="242"/>
    <x v="908"/>
    <x v="0"/>
    <x v="115"/>
    <x v="553"/>
    <x v="1"/>
    <x v="1165"/>
    <x v="16"/>
  </r>
  <r>
    <x v="525"/>
    <x v="566"/>
    <x v="154"/>
    <x v="1547"/>
    <x v="1547"/>
    <x v="1"/>
    <x v="16"/>
    <x v="16"/>
    <x v="39"/>
    <x v="351"/>
    <x v="271"/>
    <x v="0"/>
    <x v="674"/>
    <x v="657"/>
    <x v="978"/>
    <x v="0"/>
    <x v="413"/>
    <x v="36"/>
    <x v="0"/>
    <x v="171"/>
    <x v="11"/>
  </r>
  <r>
    <x v="499"/>
    <x v="825"/>
    <x v="155"/>
    <x v="1652"/>
    <x v="1652"/>
    <x v="1"/>
    <x v="11"/>
    <x v="11"/>
    <x v="57"/>
    <x v="368"/>
    <x v="265"/>
    <x v="0"/>
    <x v="539"/>
    <x v="743"/>
    <x v="844"/>
    <x v="0"/>
    <x v="493"/>
    <x v="396"/>
    <x v="1"/>
    <x v="1556"/>
    <x v="11"/>
  </r>
  <r>
    <x v="284"/>
    <x v="746"/>
    <x v="156"/>
    <x v="1017"/>
    <x v="1017"/>
    <x v="0"/>
    <x v="7"/>
    <x v="7"/>
    <x v="43"/>
    <x v="550"/>
    <x v="336"/>
    <x v="0"/>
    <x v="477"/>
    <x v="176"/>
    <x v="341"/>
    <x v="0"/>
    <x v="403"/>
    <x v="389"/>
    <x v="1"/>
    <x v="600"/>
    <x v="30"/>
  </r>
  <r>
    <x v="387"/>
    <x v="138"/>
    <x v="157"/>
    <x v="382"/>
    <x v="382"/>
    <x v="0"/>
    <x v="7"/>
    <x v="7"/>
    <x v="62"/>
    <x v="158"/>
    <x v="350"/>
    <x v="0"/>
    <x v="1492"/>
    <x v="148"/>
    <x v="996"/>
    <x v="0"/>
    <x v="423"/>
    <x v="157"/>
    <x v="0"/>
    <x v="1550"/>
    <x v="24"/>
  </r>
  <r>
    <x v="399"/>
    <x v="487"/>
    <x v="158"/>
    <x v="733"/>
    <x v="733"/>
    <x v="0"/>
    <x v="9"/>
    <x v="9"/>
    <x v="56"/>
    <x v="350"/>
    <x v="400"/>
    <x v="0"/>
    <x v="887"/>
    <x v="301"/>
    <x v="484"/>
    <x v="0"/>
    <x v="154"/>
    <x v="291"/>
    <x v="0"/>
    <x v="1241"/>
    <x v="11"/>
  </r>
  <r>
    <x v="23"/>
    <x v="459"/>
    <x v="159"/>
    <x v="1548"/>
    <x v="1548"/>
    <x v="0"/>
    <x v="5"/>
    <x v="5"/>
    <x v="56"/>
    <x v="230"/>
    <x v="110"/>
    <x v="1"/>
    <x v="403"/>
    <x v="20"/>
    <x v="1113"/>
    <x v="0"/>
    <x v="423"/>
    <x v="17"/>
    <x v="0"/>
    <x v="940"/>
    <x v="22"/>
  </r>
  <r>
    <x v="229"/>
    <x v="402"/>
    <x v="160"/>
    <x v="364"/>
    <x v="364"/>
    <x v="0"/>
    <x v="6"/>
    <x v="6"/>
    <x v="45"/>
    <x v="183"/>
    <x v="489"/>
    <x v="0"/>
    <x v="1072"/>
    <x v="126"/>
    <x v="130"/>
    <x v="516"/>
    <x v="499"/>
    <x v="272"/>
    <x v="0"/>
    <x v="235"/>
    <x v="30"/>
  </r>
  <r>
    <x v="559"/>
    <x v="584"/>
    <x v="1218"/>
    <x v="1037"/>
    <x v="1037"/>
    <x v="0"/>
    <x v="17"/>
    <x v="17"/>
    <x v="63"/>
    <x v="282"/>
    <x v="423"/>
    <x v="0"/>
    <x v="858"/>
    <x v="445"/>
    <x v="672"/>
    <x v="0"/>
    <x v="423"/>
    <x v="249"/>
    <x v="0"/>
    <x v="490"/>
    <x v="23"/>
  </r>
  <r>
    <x v="74"/>
    <x v="510"/>
    <x v="162"/>
    <x v="1426"/>
    <x v="1426"/>
    <x v="0"/>
    <x v="2"/>
    <x v="2"/>
    <x v="40"/>
    <x v="157"/>
    <x v="430"/>
    <x v="0"/>
    <x v="371"/>
    <x v="130"/>
    <x v="571"/>
    <x v="107"/>
    <x v="656"/>
    <x v="367"/>
    <x v="1"/>
    <x v="370"/>
    <x v="33"/>
  </r>
  <r>
    <x v="6"/>
    <x v="242"/>
    <x v="163"/>
    <x v="1196"/>
    <x v="1196"/>
    <x v="1"/>
    <x v="15"/>
    <x v="15"/>
    <x v="52"/>
    <x v="374"/>
    <x v="472"/>
    <x v="0"/>
    <x v="1283"/>
    <x v="773"/>
    <x v="448"/>
    <x v="0"/>
    <x v="555"/>
    <x v="517"/>
    <x v="1"/>
    <x v="364"/>
    <x v="7"/>
  </r>
  <r>
    <x v="454"/>
    <x v="223"/>
    <x v="164"/>
    <x v="1453"/>
    <x v="1453"/>
    <x v="1"/>
    <x v="12"/>
    <x v="12"/>
    <x v="40"/>
    <x v="82"/>
    <x v="494"/>
    <x v="0"/>
    <x v="1610"/>
    <x v="770"/>
    <x v="825"/>
    <x v="0"/>
    <x v="491"/>
    <x v="441"/>
    <x v="1"/>
    <x v="1662"/>
    <x v="15"/>
  </r>
  <r>
    <x v="315"/>
    <x v="278"/>
    <x v="165"/>
    <x v="1421"/>
    <x v="1421"/>
    <x v="0"/>
    <x v="7"/>
    <x v="7"/>
    <x v="62"/>
    <x v="40"/>
    <x v="540"/>
    <x v="0"/>
    <x v="896"/>
    <x v="398"/>
    <x v="81"/>
    <x v="359"/>
    <x v="491"/>
    <x v="223"/>
    <x v="0"/>
    <x v="1303"/>
    <x v="46"/>
  </r>
  <r>
    <x v="559"/>
    <x v="584"/>
    <x v="166"/>
    <x v="388"/>
    <x v="388"/>
    <x v="0"/>
    <x v="15"/>
    <x v="15"/>
    <x v="62"/>
    <x v="287"/>
    <x v="477"/>
    <x v="0"/>
    <x v="1570"/>
    <x v="206"/>
    <x v="454"/>
    <x v="0"/>
    <x v="249"/>
    <x v="329"/>
    <x v="0"/>
    <x v="857"/>
    <x v="23"/>
  </r>
  <r>
    <x v="191"/>
    <x v="90"/>
    <x v="167"/>
    <x v="1400"/>
    <x v="1400"/>
    <x v="0"/>
    <x v="13"/>
    <x v="13"/>
    <x v="55"/>
    <x v="181"/>
    <x v="251"/>
    <x v="1"/>
    <x v="1281"/>
    <x v="72"/>
    <x v="882"/>
    <x v="234"/>
    <x v="325"/>
    <x v="163"/>
    <x v="0"/>
    <x v="477"/>
    <x v="30"/>
  </r>
  <r>
    <x v="791"/>
    <x v="412"/>
    <x v="168"/>
    <x v="1018"/>
    <x v="1018"/>
    <x v="0"/>
    <x v="20"/>
    <x v="20"/>
    <x v="56"/>
    <x v="92"/>
    <x v="189"/>
    <x v="1"/>
    <x v="36"/>
    <x v="548"/>
    <x v="835"/>
    <x v="742"/>
    <x v="444"/>
    <x v="32"/>
    <x v="0"/>
    <x v="425"/>
    <x v="30"/>
  </r>
  <r>
    <x v="336"/>
    <x v="440"/>
    <x v="169"/>
    <x v="1111"/>
    <x v="1111"/>
    <x v="0"/>
    <x v="9"/>
    <x v="9"/>
    <x v="53"/>
    <x v="219"/>
    <x v="301"/>
    <x v="0"/>
    <x v="1212"/>
    <x v="244"/>
    <x v="1120"/>
    <x v="258"/>
    <x v="434"/>
    <x v="388"/>
    <x v="1"/>
    <x v="1673"/>
    <x v="30"/>
  </r>
  <r>
    <x v="745"/>
    <x v="617"/>
    <x v="170"/>
    <x v="1056"/>
    <x v="1056"/>
    <x v="1"/>
    <x v="20"/>
    <x v="20"/>
    <x v="66"/>
    <x v="315"/>
    <x v="182"/>
    <x v="1"/>
    <x v="660"/>
    <x v="143"/>
    <x v="1036"/>
    <x v="0"/>
    <x v="439"/>
    <x v="197"/>
    <x v="0"/>
    <x v="1522"/>
    <x v="7"/>
  </r>
  <r>
    <x v="17"/>
    <x v="36"/>
    <x v="171"/>
    <x v="701"/>
    <x v="701"/>
    <x v="0"/>
    <x v="2"/>
    <x v="2"/>
    <x v="59"/>
    <x v="306"/>
    <x v="480"/>
    <x v="0"/>
    <x v="544"/>
    <x v="286"/>
    <x v="139"/>
    <x v="757"/>
    <x v="580"/>
    <x v="607"/>
    <x v="1"/>
    <x v="1393"/>
    <x v="23"/>
  </r>
  <r>
    <x v="344"/>
    <x v="322"/>
    <x v="172"/>
    <x v="900"/>
    <x v="900"/>
    <x v="0"/>
    <x v="21"/>
    <x v="21"/>
    <x v="17"/>
    <x v="101"/>
    <x v="283"/>
    <x v="0"/>
    <x v="834"/>
    <x v="38"/>
    <x v="941"/>
    <x v="0"/>
    <x v="479"/>
    <x v="123"/>
    <x v="0"/>
    <x v="1436"/>
    <x v="36"/>
  </r>
  <r>
    <x v="776"/>
    <x v="820"/>
    <x v="173"/>
    <x v="1163"/>
    <x v="1163"/>
    <x v="1"/>
    <x v="20"/>
    <x v="20"/>
    <x v="54"/>
    <x v="380"/>
    <x v="30"/>
    <x v="1"/>
    <x v="219"/>
    <x v="771"/>
    <x v="266"/>
    <x v="0"/>
    <x v="316"/>
    <x v="30"/>
    <x v="0"/>
    <x v="1828"/>
    <x v="11"/>
  </r>
  <r>
    <x v="331"/>
    <x v="265"/>
    <x v="174"/>
    <x v="1529"/>
    <x v="1529"/>
    <x v="0"/>
    <x v="8"/>
    <x v="8"/>
    <x v="62"/>
    <x v="343"/>
    <x v="243"/>
    <x v="1"/>
    <x v="1194"/>
    <x v="82"/>
    <x v="941"/>
    <x v="0"/>
    <x v="368"/>
    <x v="122"/>
    <x v="0"/>
    <x v="765"/>
    <x v="30"/>
  </r>
  <r>
    <x v="464"/>
    <x v="356"/>
    <x v="175"/>
    <x v="466"/>
    <x v="466"/>
    <x v="0"/>
    <x v="11"/>
    <x v="11"/>
    <x v="36"/>
    <x v="251"/>
    <x v="199"/>
    <x v="1"/>
    <x v="940"/>
    <x v="37"/>
    <x v="1166"/>
    <x v="0"/>
    <x v="518"/>
    <x v="417"/>
    <x v="1"/>
    <x v="1398"/>
    <x v="0"/>
  </r>
  <r>
    <x v="34"/>
    <x v="361"/>
    <x v="176"/>
    <x v="1621"/>
    <x v="1621"/>
    <x v="1"/>
    <x v="1"/>
    <x v="1"/>
    <x v="55"/>
    <x v="507"/>
    <x v="414"/>
    <x v="0"/>
    <x v="500"/>
    <x v="605"/>
    <x v="906"/>
    <x v="614"/>
    <x v="117"/>
    <x v="741"/>
    <x v="1"/>
    <x v="1414"/>
    <x v="7"/>
  </r>
  <r>
    <x v="192"/>
    <x v="170"/>
    <x v="177"/>
    <x v="936"/>
    <x v="936"/>
    <x v="0"/>
    <x v="5"/>
    <x v="5"/>
    <x v="36"/>
    <x v="304"/>
    <x v="473"/>
    <x v="0"/>
    <x v="1190"/>
    <x v="233"/>
    <x v="149"/>
    <x v="0"/>
    <x v="441"/>
    <x v="648"/>
    <x v="1"/>
    <x v="194"/>
    <x v="47"/>
  </r>
  <r>
    <x v="501"/>
    <x v="784"/>
    <x v="178"/>
    <x v="606"/>
    <x v="606"/>
    <x v="1"/>
    <x v="12"/>
    <x v="12"/>
    <x v="58"/>
    <x v="268"/>
    <x v="274"/>
    <x v="0"/>
    <x v="474"/>
    <x v="715"/>
    <x v="1014"/>
    <x v="0"/>
    <x v="508"/>
    <x v="492"/>
    <x v="1"/>
    <x v="179"/>
    <x v="11"/>
  </r>
  <r>
    <x v="444"/>
    <x v="365"/>
    <x v="179"/>
    <x v="954"/>
    <x v="954"/>
    <x v="0"/>
    <x v="11"/>
    <x v="11"/>
    <x v="53"/>
    <x v="312"/>
    <x v="137"/>
    <x v="1"/>
    <x v="731"/>
    <x v="181"/>
    <x v="1012"/>
    <x v="0"/>
    <x v="454"/>
    <x v="292"/>
    <x v="0"/>
    <x v="0"/>
    <x v="15"/>
  </r>
  <r>
    <x v="179"/>
    <x v="169"/>
    <x v="46"/>
    <x v="1495"/>
    <x v="1495"/>
    <x v="0"/>
    <x v="17"/>
    <x v="17"/>
    <x v="62"/>
    <x v="273"/>
    <x v="524"/>
    <x v="0"/>
    <x v="1344"/>
    <x v="105"/>
    <x v="150"/>
    <x v="404"/>
    <x v="453"/>
    <x v="370"/>
    <x v="1"/>
    <x v="745"/>
    <x v="47"/>
  </r>
  <r>
    <x v="420"/>
    <x v="659"/>
    <x v="181"/>
    <x v="631"/>
    <x v="631"/>
    <x v="0"/>
    <x v="10"/>
    <x v="10"/>
    <x v="39"/>
    <x v="51"/>
    <x v="304"/>
    <x v="0"/>
    <x v="717"/>
    <x v="446"/>
    <x v="106"/>
    <x v="257"/>
    <x v="416"/>
    <x v="267"/>
    <x v="0"/>
    <x v="1376"/>
    <x v="25"/>
  </r>
  <r>
    <x v="511"/>
    <x v="815"/>
    <x v="182"/>
    <x v="764"/>
    <x v="764"/>
    <x v="1"/>
    <x v="13"/>
    <x v="13"/>
    <x v="61"/>
    <x v="319"/>
    <x v="434"/>
    <x v="0"/>
    <x v="1126"/>
    <x v="383"/>
    <x v="696"/>
    <x v="0"/>
    <x v="566"/>
    <x v="378"/>
    <x v="1"/>
    <x v="1680"/>
    <x v="11"/>
  </r>
  <r>
    <x v="645"/>
    <x v="624"/>
    <x v="183"/>
    <x v="1667"/>
    <x v="1667"/>
    <x v="1"/>
    <x v="18"/>
    <x v="18"/>
    <x v="61"/>
    <x v="427"/>
    <x v="234"/>
    <x v="1"/>
    <x v="539"/>
    <x v="367"/>
    <x v="881"/>
    <x v="0"/>
    <x v="432"/>
    <x v="211"/>
    <x v="0"/>
    <x v="1533"/>
    <x v="11"/>
  </r>
  <r>
    <x v="250"/>
    <x v="706"/>
    <x v="184"/>
    <x v="499"/>
    <x v="499"/>
    <x v="0"/>
    <x v="6"/>
    <x v="6"/>
    <x v="49"/>
    <x v="197"/>
    <x v="465"/>
    <x v="0"/>
    <x v="456"/>
    <x v="532"/>
    <x v="1"/>
    <x v="751"/>
    <x v="519"/>
    <x v="206"/>
    <x v="0"/>
    <x v="1031"/>
    <x v="38"/>
  </r>
  <r>
    <x v="312"/>
    <x v="424"/>
    <x v="185"/>
    <x v="82"/>
    <x v="82"/>
    <x v="0"/>
    <x v="7"/>
    <x v="7"/>
    <x v="50"/>
    <x v="383"/>
    <x v="386"/>
    <x v="0"/>
    <x v="202"/>
    <x v="361"/>
    <x v="1033"/>
    <x v="0"/>
    <x v="627"/>
    <x v="721"/>
    <x v="1"/>
    <x v="624"/>
    <x v="56"/>
  </r>
  <r>
    <x v="371"/>
    <x v="130"/>
    <x v="684"/>
    <x v="639"/>
    <x v="639"/>
    <x v="0"/>
    <x v="17"/>
    <x v="17"/>
    <x v="62"/>
    <x v="373"/>
    <x v="468"/>
    <x v="0"/>
    <x v="1173"/>
    <x v="423"/>
    <x v="563"/>
    <x v="546"/>
    <x v="666"/>
    <x v="192"/>
    <x v="0"/>
    <x v="973"/>
    <x v="13"/>
  </r>
  <r>
    <x v="268"/>
    <x v="394"/>
    <x v="187"/>
    <x v="207"/>
    <x v="207"/>
    <x v="1"/>
    <x v="15"/>
    <x v="15"/>
    <x v="0"/>
    <x v="213"/>
    <x v="425"/>
    <x v="0"/>
    <x v="561"/>
    <x v="765"/>
    <x v="97"/>
    <x v="0"/>
    <x v="480"/>
    <x v="150"/>
    <x v="0"/>
    <x v="1298"/>
    <x v="7"/>
  </r>
  <r>
    <x v="601"/>
    <x v="333"/>
    <x v="188"/>
    <x v="573"/>
    <x v="573"/>
    <x v="1"/>
    <x v="16"/>
    <x v="16"/>
    <x v="53"/>
    <x v="378"/>
    <x v="321"/>
    <x v="0"/>
    <x v="1380"/>
    <x v="589"/>
    <x v="929"/>
    <x v="453"/>
    <x v="413"/>
    <x v="360"/>
    <x v="1"/>
    <x v="1677"/>
    <x v="11"/>
  </r>
  <r>
    <x v="470"/>
    <x v="407"/>
    <x v="189"/>
    <x v="80"/>
    <x v="80"/>
    <x v="1"/>
    <x v="12"/>
    <x v="12"/>
    <x v="47"/>
    <x v="387"/>
    <x v="436"/>
    <x v="0"/>
    <x v="1521"/>
    <x v="580"/>
    <x v="779"/>
    <x v="460"/>
    <x v="687"/>
    <x v="360"/>
    <x v="1"/>
    <x v="910"/>
    <x v="25"/>
  </r>
  <r>
    <x v="371"/>
    <x v="130"/>
    <x v="190"/>
    <x v="644"/>
    <x v="644"/>
    <x v="0"/>
    <x v="16"/>
    <x v="16"/>
    <x v="61"/>
    <x v="69"/>
    <x v="457"/>
    <x v="0"/>
    <x v="1275"/>
    <x v="475"/>
    <x v="494"/>
    <x v="609"/>
    <x v="630"/>
    <x v="204"/>
    <x v="0"/>
    <x v="1215"/>
    <x v="13"/>
  </r>
  <r>
    <x v="463"/>
    <x v="353"/>
    <x v="191"/>
    <x v="1663"/>
    <x v="1663"/>
    <x v="1"/>
    <x v="10"/>
    <x v="10"/>
    <x v="51"/>
    <x v="308"/>
    <x v="217"/>
    <x v="1"/>
    <x v="788"/>
    <x v="568"/>
    <x v="752"/>
    <x v="0"/>
    <x v="443"/>
    <x v="218"/>
    <x v="0"/>
    <x v="1763"/>
    <x v="15"/>
  </r>
  <r>
    <x v="438"/>
    <x v="728"/>
    <x v="192"/>
    <x v="1065"/>
    <x v="1065"/>
    <x v="0"/>
    <x v="16"/>
    <x v="16"/>
    <x v="68"/>
    <x v="395"/>
    <x v="304"/>
    <x v="0"/>
    <x v="793"/>
    <x v="277"/>
    <x v="845"/>
    <x v="0"/>
    <x v="341"/>
    <x v="408"/>
    <x v="1"/>
    <x v="387"/>
    <x v="23"/>
  </r>
  <r>
    <x v="19"/>
    <x v="460"/>
    <x v="193"/>
    <x v="56"/>
    <x v="56"/>
    <x v="1"/>
    <x v="9"/>
    <x v="9"/>
    <x v="59"/>
    <x v="168"/>
    <x v="564"/>
    <x v="0"/>
    <x v="1417"/>
    <x v="246"/>
    <x v="856"/>
    <x v="0"/>
    <x v="738"/>
    <x v="433"/>
    <x v="1"/>
    <x v="1463"/>
    <x v="46"/>
  </r>
  <r>
    <x v="336"/>
    <x v="440"/>
    <x v="194"/>
    <x v="1482"/>
    <x v="1482"/>
    <x v="0"/>
    <x v="9"/>
    <x v="9"/>
    <x v="61"/>
    <x v="273"/>
    <x v="257"/>
    <x v="1"/>
    <x v="637"/>
    <x v="103"/>
    <x v="925"/>
    <x v="0"/>
    <x v="450"/>
    <x v="101"/>
    <x v="0"/>
    <x v="616"/>
    <x v="30"/>
  </r>
  <r>
    <x v="522"/>
    <x v="150"/>
    <x v="195"/>
    <x v="1097"/>
    <x v="1097"/>
    <x v="0"/>
    <x v="13"/>
    <x v="13"/>
    <x v="46"/>
    <x v="100"/>
    <x v="446"/>
    <x v="0"/>
    <x v="1062"/>
    <x v="212"/>
    <x v="258"/>
    <x v="0"/>
    <x v="527"/>
    <x v="254"/>
    <x v="0"/>
    <x v="1456"/>
    <x v="2"/>
  </r>
  <r>
    <x v="470"/>
    <x v="407"/>
    <x v="196"/>
    <x v="814"/>
    <x v="814"/>
    <x v="0"/>
    <x v="12"/>
    <x v="12"/>
    <x v="55"/>
    <x v="388"/>
    <x v="330"/>
    <x v="0"/>
    <x v="1354"/>
    <x v="136"/>
    <x v="192"/>
    <x v="311"/>
    <x v="212"/>
    <x v="636"/>
    <x v="1"/>
    <x v="916"/>
    <x v="25"/>
  </r>
  <r>
    <x v="387"/>
    <x v="138"/>
    <x v="197"/>
    <x v="1221"/>
    <x v="1221"/>
    <x v="0"/>
    <x v="14"/>
    <x v="14"/>
    <x v="49"/>
    <x v="170"/>
    <x v="443"/>
    <x v="0"/>
    <x v="1619"/>
    <x v="171"/>
    <x v="810"/>
    <x v="0"/>
    <x v="6"/>
    <x v="245"/>
    <x v="0"/>
    <x v="1394"/>
    <x v="24"/>
  </r>
  <r>
    <x v="569"/>
    <x v="644"/>
    <x v="198"/>
    <x v="1487"/>
    <x v="1487"/>
    <x v="0"/>
    <x v="15"/>
    <x v="15"/>
    <x v="41"/>
    <x v="491"/>
    <x v="120"/>
    <x v="1"/>
    <x v="220"/>
    <x v="228"/>
    <x v="221"/>
    <x v="243"/>
    <x v="243"/>
    <x v="693"/>
    <x v="1"/>
    <x v="908"/>
    <x v="30"/>
  </r>
  <r>
    <x v="186"/>
    <x v="621"/>
    <x v="199"/>
    <x v="1719"/>
    <x v="1719"/>
    <x v="0"/>
    <x v="3"/>
    <x v="3"/>
    <x v="50"/>
    <x v="83"/>
    <x v="536"/>
    <x v="0"/>
    <x v="1122"/>
    <x v="294"/>
    <x v="299"/>
    <x v="0"/>
    <x v="444"/>
    <x v="341"/>
    <x v="0"/>
    <x v="1626"/>
    <x v="46"/>
  </r>
  <r>
    <x v="419"/>
    <x v="810"/>
    <x v="200"/>
    <x v="115"/>
    <x v="115"/>
    <x v="1"/>
    <x v="21"/>
    <x v="21"/>
    <x v="50"/>
    <x v="513"/>
    <x v="365"/>
    <x v="0"/>
    <x v="868"/>
    <x v="379"/>
    <x v="334"/>
    <x v="500"/>
    <x v="335"/>
    <x v="301"/>
    <x v="0"/>
    <x v="584"/>
    <x v="9"/>
  </r>
  <r>
    <x v="646"/>
    <x v="643"/>
    <x v="1518"/>
    <x v="790"/>
    <x v="790"/>
    <x v="0"/>
    <x v="17"/>
    <x v="17"/>
    <x v="62"/>
    <x v="271"/>
    <x v="415"/>
    <x v="0"/>
    <x v="905"/>
    <x v="310"/>
    <x v="423"/>
    <x v="0"/>
    <x v="467"/>
    <x v="469"/>
    <x v="1"/>
    <x v="1002"/>
    <x v="25"/>
  </r>
  <r>
    <x v="672"/>
    <x v="92"/>
    <x v="707"/>
    <x v="1632"/>
    <x v="1632"/>
    <x v="1"/>
    <x v="17"/>
    <x v="17"/>
    <x v="61"/>
    <x v="456"/>
    <x v="334"/>
    <x v="0"/>
    <x v="765"/>
    <x v="336"/>
    <x v="541"/>
    <x v="0"/>
    <x v="613"/>
    <x v="248"/>
    <x v="0"/>
    <x v="434"/>
    <x v="11"/>
  </r>
  <r>
    <x v="769"/>
    <x v="470"/>
    <x v="202"/>
    <x v="47"/>
    <x v="47"/>
    <x v="0"/>
    <x v="19"/>
    <x v="19"/>
    <x v="0"/>
    <x v="387"/>
    <x v="364"/>
    <x v="0"/>
    <x v="1168"/>
    <x v="124"/>
    <x v="606"/>
    <x v="361"/>
    <x v="96"/>
    <x v="419"/>
    <x v="1"/>
    <x v="966"/>
    <x v="25"/>
  </r>
  <r>
    <x v="248"/>
    <x v="164"/>
    <x v="203"/>
    <x v="1107"/>
    <x v="1107"/>
    <x v="0"/>
    <x v="15"/>
    <x v="15"/>
    <x v="50"/>
    <x v="212"/>
    <x v="180"/>
    <x v="1"/>
    <x v="503"/>
    <x v="295"/>
    <x v="387"/>
    <x v="0"/>
    <x v="735"/>
    <x v="34"/>
    <x v="0"/>
    <x v="1347"/>
    <x v="30"/>
  </r>
  <r>
    <x v="283"/>
    <x v="351"/>
    <x v="204"/>
    <x v="1179"/>
    <x v="1179"/>
    <x v="0"/>
    <x v="15"/>
    <x v="15"/>
    <x v="0"/>
    <x v="210"/>
    <x v="421"/>
    <x v="0"/>
    <x v="700"/>
    <x v="265"/>
    <x v="919"/>
    <x v="0"/>
    <x v="428"/>
    <x v="295"/>
    <x v="0"/>
    <x v="852"/>
    <x v="23"/>
  </r>
  <r>
    <x v="407"/>
    <x v="209"/>
    <x v="205"/>
    <x v="119"/>
    <x v="119"/>
    <x v="0"/>
    <x v="13"/>
    <x v="13"/>
    <x v="24"/>
    <x v="259"/>
    <x v="571"/>
    <x v="0"/>
    <x v="1489"/>
    <x v="679"/>
    <x v="279"/>
    <x v="0"/>
    <x v="549"/>
    <x v="568"/>
    <x v="1"/>
    <x v="1126"/>
    <x v="13"/>
  </r>
  <r>
    <x v="193"/>
    <x v="98"/>
    <x v="206"/>
    <x v="1369"/>
    <x v="1369"/>
    <x v="1"/>
    <x v="11"/>
    <x v="11"/>
    <x v="54"/>
    <x v="496"/>
    <x v="457"/>
    <x v="0"/>
    <x v="635"/>
    <x v="375"/>
    <x v="870"/>
    <x v="547"/>
    <x v="434"/>
    <x v="254"/>
    <x v="0"/>
    <x v="1293"/>
    <x v="11"/>
  </r>
  <r>
    <x v="630"/>
    <x v="148"/>
    <x v="207"/>
    <x v="70"/>
    <x v="70"/>
    <x v="0"/>
    <x v="16"/>
    <x v="16"/>
    <x v="35"/>
    <x v="294"/>
    <x v="511"/>
    <x v="0"/>
    <x v="1639"/>
    <x v="461"/>
    <x v="892"/>
    <x v="440"/>
    <x v="493"/>
    <x v="414"/>
    <x v="1"/>
    <x v="270"/>
    <x v="25"/>
  </r>
  <r>
    <x v="8"/>
    <x v="201"/>
    <x v="208"/>
    <x v="545"/>
    <x v="545"/>
    <x v="0"/>
    <x v="3"/>
    <x v="3"/>
    <x v="50"/>
    <x v="472"/>
    <x v="435"/>
    <x v="0"/>
    <x v="1170"/>
    <x v="728"/>
    <x v="177"/>
    <x v="6"/>
    <x v="456"/>
    <x v="470"/>
    <x v="1"/>
    <x v="597"/>
    <x v="30"/>
  </r>
  <r>
    <x v="720"/>
    <x v="95"/>
    <x v="209"/>
    <x v="141"/>
    <x v="141"/>
    <x v="0"/>
    <x v="19"/>
    <x v="19"/>
    <x v="70"/>
    <x v="249"/>
    <x v="22"/>
    <x v="1"/>
    <x v="14"/>
    <x v="218"/>
    <x v="1200"/>
    <x v="561"/>
    <x v="253"/>
    <x v="30"/>
    <x v="0"/>
    <x v="889"/>
    <x v="25"/>
  </r>
  <r>
    <x v="436"/>
    <x v="431"/>
    <x v="210"/>
    <x v="1466"/>
    <x v="1466"/>
    <x v="0"/>
    <x v="13"/>
    <x v="13"/>
    <x v="58"/>
    <x v="222"/>
    <x v="428"/>
    <x v="0"/>
    <x v="902"/>
    <x v="626"/>
    <x v="190"/>
    <x v="0"/>
    <x v="619"/>
    <x v="336"/>
    <x v="0"/>
    <x v="1012"/>
    <x v="23"/>
  </r>
  <r>
    <x v="560"/>
    <x v="432"/>
    <x v="211"/>
    <x v="1646"/>
    <x v="1646"/>
    <x v="0"/>
    <x v="14"/>
    <x v="14"/>
    <x v="39"/>
    <x v="3"/>
    <x v="238"/>
    <x v="1"/>
    <x v="422"/>
    <x v="181"/>
    <x v="945"/>
    <x v="387"/>
    <x v="517"/>
    <x v="243"/>
    <x v="0"/>
    <x v="32"/>
    <x v="23"/>
  </r>
  <r>
    <x v="774"/>
    <x v="105"/>
    <x v="939"/>
    <x v="143"/>
    <x v="143"/>
    <x v="1"/>
    <x v="20"/>
    <x v="20"/>
    <x v="59"/>
    <x v="541"/>
    <x v="185"/>
    <x v="1"/>
    <x v="249"/>
    <x v="724"/>
    <x v="100"/>
    <x v="315"/>
    <x v="409"/>
    <x v="432"/>
    <x v="1"/>
    <x v="1452"/>
    <x v="11"/>
  </r>
  <r>
    <x v="177"/>
    <x v="195"/>
    <x v="213"/>
    <x v="1368"/>
    <x v="1368"/>
    <x v="0"/>
    <x v="5"/>
    <x v="5"/>
    <x v="40"/>
    <x v="179"/>
    <x v="193"/>
    <x v="1"/>
    <x v="372"/>
    <x v="32"/>
    <x v="973"/>
    <x v="0"/>
    <x v="491"/>
    <x v="192"/>
    <x v="0"/>
    <x v="1344"/>
    <x v="23"/>
  </r>
  <r>
    <x v="249"/>
    <x v="401"/>
    <x v="214"/>
    <x v="1571"/>
    <x v="1571"/>
    <x v="0"/>
    <x v="8"/>
    <x v="8"/>
    <x v="36"/>
    <x v="528"/>
    <x v="235"/>
    <x v="1"/>
    <x v="824"/>
    <x v="653"/>
    <x v="23"/>
    <x v="187"/>
    <x v="115"/>
    <x v="604"/>
    <x v="1"/>
    <x v="145"/>
    <x v="31"/>
  </r>
  <r>
    <x v="423"/>
    <x v="787"/>
    <x v="215"/>
    <x v="1250"/>
    <x v="1250"/>
    <x v="1"/>
    <x v="12"/>
    <x v="12"/>
    <x v="0"/>
    <x v="476"/>
    <x v="204"/>
    <x v="1"/>
    <x v="841"/>
    <x v="626"/>
    <x v="440"/>
    <x v="0"/>
    <x v="664"/>
    <x v="186"/>
    <x v="0"/>
    <x v="21"/>
    <x v="15"/>
  </r>
  <r>
    <x v="270"/>
    <x v="311"/>
    <x v="216"/>
    <x v="1472"/>
    <x v="1472"/>
    <x v="1"/>
    <x v="6"/>
    <x v="6"/>
    <x v="58"/>
    <x v="129"/>
    <x v="280"/>
    <x v="0"/>
    <x v="1408"/>
    <x v="57"/>
    <x v="214"/>
    <x v="233"/>
    <x v="33"/>
    <x v="347"/>
    <x v="1"/>
    <x v="1691"/>
    <x v="38"/>
  </r>
  <r>
    <x v="371"/>
    <x v="130"/>
    <x v="217"/>
    <x v="866"/>
    <x v="866"/>
    <x v="0"/>
    <x v="14"/>
    <x v="14"/>
    <x v="48"/>
    <x v="413"/>
    <x v="560"/>
    <x v="0"/>
    <x v="1649"/>
    <x v="142"/>
    <x v="524"/>
    <x v="748"/>
    <x v="756"/>
    <x v="586"/>
    <x v="1"/>
    <x v="1174"/>
    <x v="13"/>
  </r>
  <r>
    <x v="672"/>
    <x v="92"/>
    <x v="218"/>
    <x v="870"/>
    <x v="870"/>
    <x v="1"/>
    <x v="19"/>
    <x v="19"/>
    <x v="57"/>
    <x v="414"/>
    <x v="179"/>
    <x v="1"/>
    <x v="724"/>
    <x v="604"/>
    <x v="848"/>
    <x v="0"/>
    <x v="433"/>
    <x v="141"/>
    <x v="0"/>
    <x v="102"/>
    <x v="11"/>
  </r>
  <r>
    <x v="0"/>
    <x v="122"/>
    <x v="778"/>
    <x v="742"/>
    <x v="742"/>
    <x v="0"/>
    <x v="10"/>
    <x v="10"/>
    <x v="55"/>
    <x v="352"/>
    <x v="191"/>
    <x v="1"/>
    <x v="282"/>
    <x v="86"/>
    <x v="429"/>
    <x v="0"/>
    <x v="85"/>
    <x v="383"/>
    <x v="1"/>
    <x v="1260"/>
    <x v="23"/>
  </r>
  <r>
    <x v="402"/>
    <x v="84"/>
    <x v="64"/>
    <x v="107"/>
    <x v="107"/>
    <x v="0"/>
    <x v="10"/>
    <x v="10"/>
    <x v="51"/>
    <x v="280"/>
    <x v="576"/>
    <x v="0"/>
    <x v="318"/>
    <x v="246"/>
    <x v="902"/>
    <x v="620"/>
    <x v="468"/>
    <x v="392"/>
    <x v="1"/>
    <x v="1517"/>
    <x v="23"/>
  </r>
  <r>
    <x v="462"/>
    <x v="386"/>
    <x v="221"/>
    <x v="77"/>
    <x v="77"/>
    <x v="0"/>
    <x v="14"/>
    <x v="14"/>
    <x v="49"/>
    <x v="352"/>
    <x v="159"/>
    <x v="1"/>
    <x v="593"/>
    <x v="257"/>
    <x v="539"/>
    <x v="555"/>
    <x v="430"/>
    <x v="188"/>
    <x v="0"/>
    <x v="411"/>
    <x v="23"/>
  </r>
  <r>
    <x v="599"/>
    <x v="53"/>
    <x v="222"/>
    <x v="185"/>
    <x v="185"/>
    <x v="1"/>
    <x v="21"/>
    <x v="21"/>
    <x v="63"/>
    <x v="60"/>
    <x v="395"/>
    <x v="0"/>
    <x v="1387"/>
    <x v="824"/>
    <x v="861"/>
    <x v="0"/>
    <x v="463"/>
    <x v="534"/>
    <x v="1"/>
    <x v="1809"/>
    <x v="23"/>
  </r>
  <r>
    <x v="599"/>
    <x v="53"/>
    <x v="223"/>
    <x v="698"/>
    <x v="698"/>
    <x v="0"/>
    <x v="16"/>
    <x v="16"/>
    <x v="0"/>
    <x v="322"/>
    <x v="303"/>
    <x v="0"/>
    <x v="822"/>
    <x v="196"/>
    <x v="285"/>
    <x v="294"/>
    <x v="506"/>
    <x v="151"/>
    <x v="0"/>
    <x v="1261"/>
    <x v="23"/>
  </r>
  <r>
    <x v="39"/>
    <x v="117"/>
    <x v="1192"/>
    <x v="1184"/>
    <x v="1184"/>
    <x v="0"/>
    <x v="8"/>
    <x v="8"/>
    <x v="43"/>
    <x v="406"/>
    <x v="194"/>
    <x v="1"/>
    <x v="339"/>
    <x v="646"/>
    <x v="814"/>
    <x v="0"/>
    <x v="405"/>
    <x v="571"/>
    <x v="1"/>
    <x v="143"/>
    <x v="15"/>
  </r>
  <r>
    <x v="281"/>
    <x v="500"/>
    <x v="225"/>
    <x v="1342"/>
    <x v="1342"/>
    <x v="1"/>
    <x v="11"/>
    <x v="11"/>
    <x v="37"/>
    <x v="90"/>
    <x v="131"/>
    <x v="1"/>
    <x v="272"/>
    <x v="796"/>
    <x v="1091"/>
    <x v="0"/>
    <x v="477"/>
    <x v="319"/>
    <x v="0"/>
    <x v="17"/>
    <x v="30"/>
  </r>
  <r>
    <x v="599"/>
    <x v="53"/>
    <x v="226"/>
    <x v="239"/>
    <x v="239"/>
    <x v="1"/>
    <x v="21"/>
    <x v="21"/>
    <x v="62"/>
    <x v="361"/>
    <x v="163"/>
    <x v="1"/>
    <x v="837"/>
    <x v="531"/>
    <x v="580"/>
    <x v="0"/>
    <x v="410"/>
    <x v="191"/>
    <x v="0"/>
    <x v="1714"/>
    <x v="23"/>
  </r>
  <r>
    <x v="471"/>
    <x v="724"/>
    <x v="227"/>
    <x v="414"/>
    <x v="414"/>
    <x v="0"/>
    <x v="12"/>
    <x v="12"/>
    <x v="60"/>
    <x v="242"/>
    <x v="534"/>
    <x v="0"/>
    <x v="1225"/>
    <x v="62"/>
    <x v="518"/>
    <x v="0"/>
    <x v="337"/>
    <x v="406"/>
    <x v="1"/>
    <x v="974"/>
    <x v="11"/>
  </r>
  <r>
    <x v="19"/>
    <x v="460"/>
    <x v="228"/>
    <x v="331"/>
    <x v="331"/>
    <x v="0"/>
    <x v="5"/>
    <x v="5"/>
    <x v="54"/>
    <x v="214"/>
    <x v="449"/>
    <x v="0"/>
    <x v="862"/>
    <x v="51"/>
    <x v="850"/>
    <x v="0"/>
    <x v="337"/>
    <x v="418"/>
    <x v="1"/>
    <x v="520"/>
    <x v="46"/>
  </r>
  <r>
    <x v="2"/>
    <x v="257"/>
    <x v="229"/>
    <x v="1356"/>
    <x v="1356"/>
    <x v="0"/>
    <x v="1"/>
    <x v="1"/>
    <x v="52"/>
    <x v="168"/>
    <x v="114"/>
    <x v="1"/>
    <x v="89"/>
    <x v="38"/>
    <x v="911"/>
    <x v="0"/>
    <x v="547"/>
    <x v="146"/>
    <x v="0"/>
    <x v="1392"/>
    <x v="24"/>
  </r>
  <r>
    <x v="655"/>
    <x v="294"/>
    <x v="1342"/>
    <x v="969"/>
    <x v="969"/>
    <x v="0"/>
    <x v="17"/>
    <x v="17"/>
    <x v="60"/>
    <x v="145"/>
    <x v="405"/>
    <x v="0"/>
    <x v="1260"/>
    <x v="210"/>
    <x v="301"/>
    <x v="553"/>
    <x v="297"/>
    <x v="237"/>
    <x v="0"/>
    <x v="1102"/>
    <x v="25"/>
  </r>
  <r>
    <x v="77"/>
    <x v="735"/>
    <x v="230"/>
    <x v="534"/>
    <x v="534"/>
    <x v="0"/>
    <x v="2"/>
    <x v="2"/>
    <x v="54"/>
    <x v="242"/>
    <x v="420"/>
    <x v="0"/>
    <x v="209"/>
    <x v="325"/>
    <x v="641"/>
    <x v="331"/>
    <x v="564"/>
    <x v="595"/>
    <x v="1"/>
    <x v="1142"/>
    <x v="28"/>
  </r>
  <r>
    <x v="563"/>
    <x v="43"/>
    <x v="231"/>
    <x v="970"/>
    <x v="970"/>
    <x v="0"/>
    <x v="14"/>
    <x v="14"/>
    <x v="57"/>
    <x v="251"/>
    <x v="257"/>
    <x v="1"/>
    <x v="281"/>
    <x v="91"/>
    <x v="829"/>
    <x v="501"/>
    <x v="507"/>
    <x v="153"/>
    <x v="0"/>
    <x v="1587"/>
    <x v="38"/>
  </r>
  <r>
    <x v="307"/>
    <x v="52"/>
    <x v="232"/>
    <x v="86"/>
    <x v="86"/>
    <x v="0"/>
    <x v="9"/>
    <x v="9"/>
    <x v="53"/>
    <x v="74"/>
    <x v="569"/>
    <x v="0"/>
    <x v="1064"/>
    <x v="654"/>
    <x v="10"/>
    <x v="538"/>
    <x v="310"/>
    <x v="308"/>
    <x v="0"/>
    <x v="1685"/>
    <x v="38"/>
  </r>
  <r>
    <x v="259"/>
    <x v="722"/>
    <x v="233"/>
    <x v="746"/>
    <x v="746"/>
    <x v="1"/>
    <x v="6"/>
    <x v="6"/>
    <x v="49"/>
    <x v="394"/>
    <x v="491"/>
    <x v="0"/>
    <x v="1571"/>
    <x v="714"/>
    <x v="503"/>
    <x v="0"/>
    <x v="445"/>
    <x v="424"/>
    <x v="1"/>
    <x v="463"/>
    <x v="11"/>
  </r>
  <r>
    <x v="198"/>
    <x v="252"/>
    <x v="234"/>
    <x v="1141"/>
    <x v="1141"/>
    <x v="0"/>
    <x v="5"/>
    <x v="5"/>
    <x v="65"/>
    <x v="27"/>
    <x v="543"/>
    <x v="0"/>
    <x v="1518"/>
    <x v="400"/>
    <x v="303"/>
    <x v="52"/>
    <x v="539"/>
    <x v="162"/>
    <x v="0"/>
    <x v="331"/>
    <x v="22"/>
  </r>
  <r>
    <x v="352"/>
    <x v="352"/>
    <x v="235"/>
    <x v="1354"/>
    <x v="1354"/>
    <x v="0"/>
    <x v="10"/>
    <x v="10"/>
    <x v="56"/>
    <x v="205"/>
    <x v="318"/>
    <x v="0"/>
    <x v="989"/>
    <x v="38"/>
    <x v="344"/>
    <x v="0"/>
    <x v="279"/>
    <x v="178"/>
    <x v="0"/>
    <x v="739"/>
    <x v="30"/>
  </r>
  <r>
    <x v="460"/>
    <x v="428"/>
    <x v="236"/>
    <x v="491"/>
    <x v="491"/>
    <x v="0"/>
    <x v="11"/>
    <x v="11"/>
    <x v="57"/>
    <x v="309"/>
    <x v="482"/>
    <x v="0"/>
    <x v="1600"/>
    <x v="217"/>
    <x v="57"/>
    <x v="327"/>
    <x v="174"/>
    <x v="515"/>
    <x v="1"/>
    <x v="999"/>
    <x v="25"/>
  </r>
  <r>
    <x v="0"/>
    <x v="122"/>
    <x v="1012"/>
    <x v="904"/>
    <x v="904"/>
    <x v="0"/>
    <x v="5"/>
    <x v="5"/>
    <x v="45"/>
    <x v="437"/>
    <x v="436"/>
    <x v="0"/>
    <x v="410"/>
    <x v="514"/>
    <x v="1028"/>
    <x v="0"/>
    <x v="513"/>
    <x v="666"/>
    <x v="1"/>
    <x v="927"/>
    <x v="23"/>
  </r>
  <r>
    <x v="497"/>
    <x v="238"/>
    <x v="238"/>
    <x v="1053"/>
    <x v="1053"/>
    <x v="0"/>
    <x v="16"/>
    <x v="16"/>
    <x v="56"/>
    <x v="194"/>
    <x v="377"/>
    <x v="0"/>
    <x v="943"/>
    <x v="174"/>
    <x v="1022"/>
    <x v="0"/>
    <x v="409"/>
    <x v="186"/>
    <x v="0"/>
    <x v="187"/>
    <x v="34"/>
  </r>
  <r>
    <x v="19"/>
    <x v="460"/>
    <x v="239"/>
    <x v="1035"/>
    <x v="1035"/>
    <x v="0"/>
    <x v="14"/>
    <x v="14"/>
    <x v="59"/>
    <x v="220"/>
    <x v="568"/>
    <x v="0"/>
    <x v="1156"/>
    <x v="271"/>
    <x v="387"/>
    <x v="0"/>
    <x v="195"/>
    <x v="422"/>
    <x v="1"/>
    <x v="714"/>
    <x v="46"/>
  </r>
  <r>
    <x v="433"/>
    <x v="380"/>
    <x v="240"/>
    <x v="100"/>
    <x v="100"/>
    <x v="0"/>
    <x v="10"/>
    <x v="10"/>
    <x v="54"/>
    <x v="302"/>
    <x v="553"/>
    <x v="0"/>
    <x v="1462"/>
    <x v="480"/>
    <x v="501"/>
    <x v="0"/>
    <x v="619"/>
    <x v="631"/>
    <x v="1"/>
    <x v="777"/>
    <x v="23"/>
  </r>
  <r>
    <x v="720"/>
    <x v="95"/>
    <x v="241"/>
    <x v="273"/>
    <x v="273"/>
    <x v="0"/>
    <x v="21"/>
    <x v="21"/>
    <x v="61"/>
    <x v="527"/>
    <x v="45"/>
    <x v="1"/>
    <x v="3"/>
    <x v="772"/>
    <x v="1181"/>
    <x v="727"/>
    <x v="410"/>
    <x v="80"/>
    <x v="0"/>
    <x v="927"/>
    <x v="25"/>
  </r>
  <r>
    <x v="382"/>
    <x v="615"/>
    <x v="242"/>
    <x v="1231"/>
    <x v="1231"/>
    <x v="1"/>
    <x v="10"/>
    <x v="10"/>
    <x v="47"/>
    <x v="283"/>
    <x v="401"/>
    <x v="0"/>
    <x v="289"/>
    <x v="631"/>
    <x v="892"/>
    <x v="0"/>
    <x v="626"/>
    <x v="631"/>
    <x v="1"/>
    <x v="62"/>
    <x v="15"/>
  </r>
  <r>
    <x v="96"/>
    <x v="173"/>
    <x v="243"/>
    <x v="747"/>
    <x v="747"/>
    <x v="0"/>
    <x v="1"/>
    <x v="1"/>
    <x v="57"/>
    <x v="371"/>
    <x v="411"/>
    <x v="0"/>
    <x v="1237"/>
    <x v="476"/>
    <x v="115"/>
    <x v="391"/>
    <x v="411"/>
    <x v="444"/>
    <x v="1"/>
    <x v="599"/>
    <x v="46"/>
  </r>
  <r>
    <x v="657"/>
    <x v="786"/>
    <x v="244"/>
    <x v="243"/>
    <x v="243"/>
    <x v="0"/>
    <x v="19"/>
    <x v="19"/>
    <x v="0"/>
    <x v="398"/>
    <x v="201"/>
    <x v="1"/>
    <x v="355"/>
    <x v="276"/>
    <x v="725"/>
    <x v="0"/>
    <x v="416"/>
    <x v="72"/>
    <x v="0"/>
    <x v="1469"/>
    <x v="9"/>
  </r>
  <r>
    <x v="284"/>
    <x v="746"/>
    <x v="245"/>
    <x v="940"/>
    <x v="940"/>
    <x v="0"/>
    <x v="7"/>
    <x v="7"/>
    <x v="54"/>
    <x v="200"/>
    <x v="417"/>
    <x v="0"/>
    <x v="1184"/>
    <x v="724"/>
    <x v="890"/>
    <x v="0"/>
    <x v="543"/>
    <x v="321"/>
    <x v="0"/>
    <x v="1830"/>
    <x v="30"/>
  </r>
  <r>
    <x v="309"/>
    <x v="720"/>
    <x v="246"/>
    <x v="991"/>
    <x v="991"/>
    <x v="0"/>
    <x v="9"/>
    <x v="9"/>
    <x v="2"/>
    <x v="101"/>
    <x v="159"/>
    <x v="1"/>
    <x v="161"/>
    <x v="717"/>
    <x v="358"/>
    <x v="0"/>
    <x v="217"/>
    <x v="431"/>
    <x v="1"/>
    <x v="86"/>
    <x v="15"/>
  </r>
  <r>
    <x v="518"/>
    <x v="495"/>
    <x v="247"/>
    <x v="918"/>
    <x v="918"/>
    <x v="1"/>
    <x v="13"/>
    <x v="13"/>
    <x v="34"/>
    <x v="322"/>
    <x v="539"/>
    <x v="0"/>
    <x v="1174"/>
    <x v="611"/>
    <x v="801"/>
    <x v="0"/>
    <x v="578"/>
    <x v="379"/>
    <x v="1"/>
    <x v="615"/>
    <x v="11"/>
  </r>
  <r>
    <x v="57"/>
    <x v="629"/>
    <x v="248"/>
    <x v="752"/>
    <x v="752"/>
    <x v="0"/>
    <x v="4"/>
    <x v="4"/>
    <x v="59"/>
    <x v="101"/>
    <x v="567"/>
    <x v="0"/>
    <x v="979"/>
    <x v="572"/>
    <x v="480"/>
    <x v="583"/>
    <x v="406"/>
    <x v="82"/>
    <x v="0"/>
    <x v="982"/>
    <x v="38"/>
  </r>
  <r>
    <x v="4"/>
    <x v="0"/>
    <x v="249"/>
    <x v="394"/>
    <x v="394"/>
    <x v="0"/>
    <x v="2"/>
    <x v="2"/>
    <x v="51"/>
    <x v="249"/>
    <x v="528"/>
    <x v="0"/>
    <x v="1030"/>
    <x v="254"/>
    <x v="574"/>
    <x v="512"/>
    <x v="289"/>
    <x v="691"/>
    <x v="1"/>
    <x v="1736"/>
    <x v="23"/>
  </r>
  <r>
    <x v="675"/>
    <x v="345"/>
    <x v="1794"/>
    <x v="1352"/>
    <x v="1352"/>
    <x v="0"/>
    <x v="17"/>
    <x v="17"/>
    <x v="60"/>
    <x v="83"/>
    <x v="381"/>
    <x v="0"/>
    <x v="1291"/>
    <x v="298"/>
    <x v="576"/>
    <x v="116"/>
    <x v="249"/>
    <x v="81"/>
    <x v="0"/>
    <x v="1428"/>
    <x v="25"/>
  </r>
  <r>
    <x v="397"/>
    <x v="398"/>
    <x v="252"/>
    <x v="1119"/>
    <x v="1119"/>
    <x v="0"/>
    <x v="14"/>
    <x v="14"/>
    <x v="58"/>
    <x v="424"/>
    <x v="355"/>
    <x v="0"/>
    <x v="1388"/>
    <x v="300"/>
    <x v="233"/>
    <x v="0"/>
    <x v="467"/>
    <x v="272"/>
    <x v="0"/>
    <x v="1069"/>
    <x v="23"/>
  </r>
  <r>
    <x v="534"/>
    <x v="137"/>
    <x v="253"/>
    <x v="281"/>
    <x v="281"/>
    <x v="0"/>
    <x v="14"/>
    <x v="14"/>
    <x v="64"/>
    <x v="416"/>
    <x v="184"/>
    <x v="1"/>
    <x v="435"/>
    <x v="151"/>
    <x v="363"/>
    <x v="61"/>
    <x v="412"/>
    <x v="493"/>
    <x v="1"/>
    <x v="920"/>
    <x v="25"/>
  </r>
  <r>
    <x v="198"/>
    <x v="252"/>
    <x v="254"/>
    <x v="693"/>
    <x v="693"/>
    <x v="0"/>
    <x v="8"/>
    <x v="8"/>
    <x v="51"/>
    <x v="100"/>
    <x v="483"/>
    <x v="0"/>
    <x v="1267"/>
    <x v="262"/>
    <x v="145"/>
    <x v="0"/>
    <x v="587"/>
    <x v="185"/>
    <x v="0"/>
    <x v="306"/>
    <x v="22"/>
  </r>
  <r>
    <x v="247"/>
    <x v="248"/>
    <x v="255"/>
    <x v="78"/>
    <x v="78"/>
    <x v="0"/>
    <x v="6"/>
    <x v="6"/>
    <x v="58"/>
    <x v="232"/>
    <x v="437"/>
    <x v="0"/>
    <x v="442"/>
    <x v="802"/>
    <x v="227"/>
    <x v="520"/>
    <x v="780"/>
    <x v="293"/>
    <x v="0"/>
    <x v="1129"/>
    <x v="25"/>
  </r>
  <r>
    <x v="282"/>
    <x v="636"/>
    <x v="180"/>
    <x v="797"/>
    <x v="797"/>
    <x v="1"/>
    <x v="17"/>
    <x v="17"/>
    <x v="59"/>
    <x v="415"/>
    <x v="329"/>
    <x v="0"/>
    <x v="962"/>
    <x v="343"/>
    <x v="625"/>
    <x v="46"/>
    <x v="552"/>
    <x v="248"/>
    <x v="0"/>
    <x v="588"/>
    <x v="15"/>
  </r>
  <r>
    <x v="643"/>
    <x v="762"/>
    <x v="257"/>
    <x v="1004"/>
    <x v="1004"/>
    <x v="0"/>
    <x v="20"/>
    <x v="20"/>
    <x v="66"/>
    <x v="108"/>
    <x v="196"/>
    <x v="1"/>
    <x v="970"/>
    <x v="102"/>
    <x v="908"/>
    <x v="0"/>
    <x v="597"/>
    <x v="67"/>
    <x v="0"/>
    <x v="1359"/>
    <x v="30"/>
  </r>
  <r>
    <x v="808"/>
    <x v="79"/>
    <x v="258"/>
    <x v="1355"/>
    <x v="1355"/>
    <x v="1"/>
    <x v="21"/>
    <x v="21"/>
    <x v="67"/>
    <x v="245"/>
    <x v="226"/>
    <x v="1"/>
    <x v="1042"/>
    <x v="754"/>
    <x v="1151"/>
    <x v="54"/>
    <x v="540"/>
    <x v="115"/>
    <x v="0"/>
    <x v="1764"/>
    <x v="21"/>
  </r>
  <r>
    <x v="674"/>
    <x v="682"/>
    <x v="721"/>
    <x v="907"/>
    <x v="907"/>
    <x v="0"/>
    <x v="17"/>
    <x v="17"/>
    <x v="59"/>
    <x v="322"/>
    <x v="361"/>
    <x v="0"/>
    <x v="1107"/>
    <x v="507"/>
    <x v="844"/>
    <x v="0"/>
    <x v="451"/>
    <x v="571"/>
    <x v="1"/>
    <x v="772"/>
    <x v="23"/>
  </r>
  <r>
    <x v="7"/>
    <x v="642"/>
    <x v="272"/>
    <x v="403"/>
    <x v="403"/>
    <x v="0"/>
    <x v="14"/>
    <x v="14"/>
    <x v="54"/>
    <x v="350"/>
    <x v="391"/>
    <x v="0"/>
    <x v="412"/>
    <x v="156"/>
    <x v="546"/>
    <x v="0"/>
    <x v="187"/>
    <x v="691"/>
    <x v="1"/>
    <x v="812"/>
    <x v="33"/>
  </r>
  <r>
    <x v="190"/>
    <x v="9"/>
    <x v="273"/>
    <x v="568"/>
    <x v="568"/>
    <x v="1"/>
    <x v="7"/>
    <x v="7"/>
    <x v="65"/>
    <x v="249"/>
    <x v="178"/>
    <x v="1"/>
    <x v="179"/>
    <x v="826"/>
    <x v="474"/>
    <x v="272"/>
    <x v="660"/>
    <x v="582"/>
    <x v="1"/>
    <x v="1081"/>
    <x v="11"/>
  </r>
  <r>
    <x v="56"/>
    <x v="161"/>
    <x v="274"/>
    <x v="292"/>
    <x v="292"/>
    <x v="0"/>
    <x v="8"/>
    <x v="8"/>
    <x v="52"/>
    <x v="321"/>
    <x v="389"/>
    <x v="0"/>
    <x v="1061"/>
    <x v="689"/>
    <x v="372"/>
    <x v="655"/>
    <x v="446"/>
    <x v="550"/>
    <x v="1"/>
    <x v="1738"/>
    <x v="23"/>
  </r>
  <r>
    <x v="405"/>
    <x v="528"/>
    <x v="260"/>
    <x v="64"/>
    <x v="64"/>
    <x v="0"/>
    <x v="12"/>
    <x v="12"/>
    <x v="0"/>
    <x v="265"/>
    <x v="510"/>
    <x v="0"/>
    <x v="1580"/>
    <x v="609"/>
    <x v="494"/>
    <x v="0"/>
    <x v="498"/>
    <x v="571"/>
    <x v="1"/>
    <x v="824"/>
    <x v="23"/>
  </r>
  <r>
    <x v="309"/>
    <x v="720"/>
    <x v="261"/>
    <x v="1570"/>
    <x v="1570"/>
    <x v="0"/>
    <x v="10"/>
    <x v="10"/>
    <x v="0"/>
    <x v="283"/>
    <x v="130"/>
    <x v="1"/>
    <x v="96"/>
    <x v="229"/>
    <x v="138"/>
    <x v="0"/>
    <x v="239"/>
    <x v="6"/>
    <x v="0"/>
    <x v="211"/>
    <x v="15"/>
  </r>
  <r>
    <x v="618"/>
    <x v="733"/>
    <x v="1331"/>
    <x v="962"/>
    <x v="962"/>
    <x v="0"/>
    <x v="17"/>
    <x v="17"/>
    <x v="59"/>
    <x v="348"/>
    <x v="402"/>
    <x v="0"/>
    <x v="316"/>
    <x v="293"/>
    <x v="588"/>
    <x v="585"/>
    <x v="599"/>
    <x v="199"/>
    <x v="0"/>
    <x v="512"/>
    <x v="25"/>
  </r>
  <r>
    <x v="35"/>
    <x v="436"/>
    <x v="263"/>
    <x v="721"/>
    <x v="721"/>
    <x v="0"/>
    <x v="3"/>
    <x v="3"/>
    <x v="51"/>
    <x v="263"/>
    <x v="434"/>
    <x v="0"/>
    <x v="491"/>
    <x v="236"/>
    <x v="1077"/>
    <x v="0"/>
    <x v="79"/>
    <x v="460"/>
    <x v="1"/>
    <x v="427"/>
    <x v="24"/>
  </r>
  <r>
    <x v="33"/>
    <x v="427"/>
    <x v="264"/>
    <x v="1043"/>
    <x v="1043"/>
    <x v="0"/>
    <x v="3"/>
    <x v="3"/>
    <x v="59"/>
    <x v="401"/>
    <x v="170"/>
    <x v="1"/>
    <x v="244"/>
    <x v="86"/>
    <x v="479"/>
    <x v="755"/>
    <x v="419"/>
    <x v="753"/>
    <x v="1"/>
    <x v="1101"/>
    <x v="25"/>
  </r>
  <r>
    <x v="423"/>
    <x v="787"/>
    <x v="265"/>
    <x v="513"/>
    <x v="513"/>
    <x v="0"/>
    <x v="9"/>
    <x v="9"/>
    <x v="48"/>
    <x v="334"/>
    <x v="300"/>
    <x v="0"/>
    <x v="743"/>
    <x v="428"/>
    <x v="1054"/>
    <x v="0"/>
    <x v="340"/>
    <x v="446"/>
    <x v="1"/>
    <x v="342"/>
    <x v="15"/>
  </r>
  <r>
    <x v="571"/>
    <x v="486"/>
    <x v="266"/>
    <x v="1449"/>
    <x v="1449"/>
    <x v="0"/>
    <x v="14"/>
    <x v="14"/>
    <x v="67"/>
    <x v="276"/>
    <x v="522"/>
    <x v="0"/>
    <x v="1152"/>
    <x v="461"/>
    <x v="496"/>
    <x v="0"/>
    <x v="302"/>
    <x v="663"/>
    <x v="1"/>
    <x v="1540"/>
    <x v="11"/>
  </r>
  <r>
    <x v="56"/>
    <x v="161"/>
    <x v="267"/>
    <x v="1414"/>
    <x v="1414"/>
    <x v="0"/>
    <x v="4"/>
    <x v="4"/>
    <x v="47"/>
    <x v="489"/>
    <x v="259"/>
    <x v="1"/>
    <x v="1143"/>
    <x v="655"/>
    <x v="517"/>
    <x v="549"/>
    <x v="157"/>
    <x v="378"/>
    <x v="1"/>
    <x v="467"/>
    <x v="23"/>
  </r>
  <r>
    <x v="228"/>
    <x v="255"/>
    <x v="268"/>
    <x v="909"/>
    <x v="909"/>
    <x v="1"/>
    <x v="5"/>
    <x v="5"/>
    <x v="47"/>
    <x v="281"/>
    <x v="203"/>
    <x v="1"/>
    <x v="427"/>
    <x v="823"/>
    <x v="961"/>
    <x v="0"/>
    <x v="252"/>
    <x v="635"/>
    <x v="1"/>
    <x v="1813"/>
    <x v="15"/>
  </r>
  <r>
    <x v="57"/>
    <x v="629"/>
    <x v="269"/>
    <x v="1539"/>
    <x v="1539"/>
    <x v="0"/>
    <x v="4"/>
    <x v="4"/>
    <x v="66"/>
    <x v="253"/>
    <x v="538"/>
    <x v="0"/>
    <x v="1468"/>
    <x v="197"/>
    <x v="418"/>
    <x v="0"/>
    <x v="471"/>
    <x v="687"/>
    <x v="1"/>
    <x v="258"/>
    <x v="38"/>
  </r>
  <r>
    <x v="651"/>
    <x v="267"/>
    <x v="1835"/>
    <x v="923"/>
    <x v="923"/>
    <x v="0"/>
    <x v="17"/>
    <x v="17"/>
    <x v="59"/>
    <x v="510"/>
    <x v="365"/>
    <x v="0"/>
    <x v="1352"/>
    <x v="510"/>
    <x v="690"/>
    <x v="170"/>
    <x v="422"/>
    <x v="431"/>
    <x v="1"/>
    <x v="503"/>
    <x v="23"/>
  </r>
  <r>
    <x v="268"/>
    <x v="394"/>
    <x v="271"/>
    <x v="1556"/>
    <x v="1556"/>
    <x v="1"/>
    <x v="9"/>
    <x v="9"/>
    <x v="33"/>
    <x v="231"/>
    <x v="222"/>
    <x v="1"/>
    <x v="549"/>
    <x v="134"/>
    <x v="369"/>
    <x v="0"/>
    <x v="777"/>
    <x v="25"/>
    <x v="0"/>
    <x v="90"/>
    <x v="7"/>
  </r>
  <r>
    <x v="360"/>
    <x v="770"/>
    <x v="275"/>
    <x v="1076"/>
    <x v="1076"/>
    <x v="0"/>
    <x v="11"/>
    <x v="11"/>
    <x v="55"/>
    <x v="170"/>
    <x v="178"/>
    <x v="1"/>
    <x v="396"/>
    <x v="578"/>
    <x v="856"/>
    <x v="675"/>
    <x v="551"/>
    <x v="140"/>
    <x v="0"/>
    <x v="803"/>
    <x v="15"/>
  </r>
  <r>
    <x v="43"/>
    <x v="547"/>
    <x v="276"/>
    <x v="1157"/>
    <x v="1157"/>
    <x v="0"/>
    <x v="2"/>
    <x v="2"/>
    <x v="45"/>
    <x v="406"/>
    <x v="289"/>
    <x v="0"/>
    <x v="1060"/>
    <x v="148"/>
    <x v="646"/>
    <x v="366"/>
    <x v="210"/>
    <x v="204"/>
    <x v="0"/>
    <x v="442"/>
    <x v="30"/>
  </r>
  <r>
    <x v="8"/>
    <x v="201"/>
    <x v="277"/>
    <x v="1301"/>
    <x v="1301"/>
    <x v="0"/>
    <x v="6"/>
    <x v="6"/>
    <x v="44"/>
    <x v="240"/>
    <x v="188"/>
    <x v="1"/>
    <x v="321"/>
    <x v="660"/>
    <x v="1008"/>
    <x v="0"/>
    <x v="533"/>
    <x v="309"/>
    <x v="0"/>
    <x v="1085"/>
    <x v="30"/>
  </r>
  <r>
    <x v="176"/>
    <x v="16"/>
    <x v="278"/>
    <x v="515"/>
    <x v="515"/>
    <x v="0"/>
    <x v="3"/>
    <x v="3"/>
    <x v="39"/>
    <x v="158"/>
    <x v="474"/>
    <x v="0"/>
    <x v="895"/>
    <x v="87"/>
    <x v="631"/>
    <x v="0"/>
    <x v="540"/>
    <x v="410"/>
    <x v="1"/>
    <x v="395"/>
    <x v="23"/>
  </r>
  <r>
    <x v="119"/>
    <x v="801"/>
    <x v="279"/>
    <x v="924"/>
    <x v="924"/>
    <x v="0"/>
    <x v="6"/>
    <x v="6"/>
    <x v="47"/>
    <x v="450"/>
    <x v="406"/>
    <x v="0"/>
    <x v="1101"/>
    <x v="345"/>
    <x v="483"/>
    <x v="199"/>
    <x v="423"/>
    <x v="629"/>
    <x v="1"/>
    <x v="724"/>
    <x v="15"/>
  </r>
  <r>
    <x v="678"/>
    <x v="373"/>
    <x v="1230"/>
    <x v="591"/>
    <x v="591"/>
    <x v="0"/>
    <x v="17"/>
    <x v="17"/>
    <x v="57"/>
    <x v="152"/>
    <x v="368"/>
    <x v="0"/>
    <x v="1009"/>
    <x v="316"/>
    <x v="367"/>
    <x v="248"/>
    <x v="588"/>
    <x v="108"/>
    <x v="0"/>
    <x v="153"/>
    <x v="37"/>
  </r>
  <r>
    <x v="260"/>
    <x v="210"/>
    <x v="281"/>
    <x v="864"/>
    <x v="864"/>
    <x v="0"/>
    <x v="6"/>
    <x v="6"/>
    <x v="37"/>
    <x v="483"/>
    <x v="511"/>
    <x v="0"/>
    <x v="389"/>
    <x v="590"/>
    <x v="589"/>
    <x v="608"/>
    <x v="582"/>
    <x v="627"/>
    <x v="1"/>
    <x v="1312"/>
    <x v="52"/>
  </r>
  <r>
    <x v="338"/>
    <x v="368"/>
    <x v="282"/>
    <x v="537"/>
    <x v="537"/>
    <x v="1"/>
    <x v="8"/>
    <x v="8"/>
    <x v="42"/>
    <x v="425"/>
    <x v="193"/>
    <x v="1"/>
    <x v="353"/>
    <x v="717"/>
    <x v="476"/>
    <x v="385"/>
    <x v="418"/>
    <x v="603"/>
    <x v="1"/>
    <x v="1625"/>
    <x v="11"/>
  </r>
  <r>
    <x v="663"/>
    <x v="266"/>
    <x v="1678"/>
    <x v="862"/>
    <x v="862"/>
    <x v="1"/>
    <x v="17"/>
    <x v="17"/>
    <x v="54"/>
    <x v="381"/>
    <x v="473"/>
    <x v="0"/>
    <x v="1364"/>
    <x v="593"/>
    <x v="467"/>
    <x v="0"/>
    <x v="639"/>
    <x v="640"/>
    <x v="1"/>
    <x v="1560"/>
    <x v="11"/>
  </r>
  <r>
    <x v="523"/>
    <x v="158"/>
    <x v="284"/>
    <x v="1165"/>
    <x v="1165"/>
    <x v="1"/>
    <x v="13"/>
    <x v="13"/>
    <x v="34"/>
    <x v="70"/>
    <x v="534"/>
    <x v="0"/>
    <x v="1582"/>
    <x v="699"/>
    <x v="751"/>
    <x v="0"/>
    <x v="449"/>
    <x v="361"/>
    <x v="1"/>
    <x v="1810"/>
    <x v="9"/>
  </r>
  <r>
    <x v="604"/>
    <x v="689"/>
    <x v="285"/>
    <x v="732"/>
    <x v="732"/>
    <x v="0"/>
    <x v="16"/>
    <x v="16"/>
    <x v="64"/>
    <x v="59"/>
    <x v="387"/>
    <x v="0"/>
    <x v="1585"/>
    <x v="237"/>
    <x v="433"/>
    <x v="319"/>
    <x v="178"/>
    <x v="410"/>
    <x v="1"/>
    <x v="833"/>
    <x v="23"/>
  </r>
  <r>
    <x v="493"/>
    <x v="254"/>
    <x v="286"/>
    <x v="303"/>
    <x v="303"/>
    <x v="0"/>
    <x v="13"/>
    <x v="13"/>
    <x v="28"/>
    <x v="213"/>
    <x v="457"/>
    <x v="0"/>
    <x v="1373"/>
    <x v="153"/>
    <x v="264"/>
    <x v="543"/>
    <x v="371"/>
    <x v="75"/>
    <x v="0"/>
    <x v="1140"/>
    <x v="25"/>
  </r>
  <r>
    <x v="739"/>
    <x v="818"/>
    <x v="287"/>
    <x v="3"/>
    <x v="3"/>
    <x v="0"/>
    <x v="20"/>
    <x v="20"/>
    <x v="65"/>
    <x v="304"/>
    <x v="17"/>
    <x v="1"/>
    <x v="40"/>
    <x v="38"/>
    <x v="1198"/>
    <x v="0"/>
    <x v="397"/>
    <x v="361"/>
    <x v="1"/>
    <x v="2"/>
    <x v="7"/>
  </r>
  <r>
    <x v="435"/>
    <x v="19"/>
    <x v="288"/>
    <x v="589"/>
    <x v="589"/>
    <x v="0"/>
    <x v="10"/>
    <x v="10"/>
    <x v="1"/>
    <x v="249"/>
    <x v="96"/>
    <x v="1"/>
    <x v="569"/>
    <x v="9"/>
    <x v="1009"/>
    <x v="0"/>
    <x v="415"/>
    <x v="186"/>
    <x v="0"/>
    <x v="91"/>
    <x v="30"/>
  </r>
  <r>
    <x v="496"/>
    <x v="761"/>
    <x v="289"/>
    <x v="361"/>
    <x v="361"/>
    <x v="0"/>
    <x v="14"/>
    <x v="14"/>
    <x v="55"/>
    <x v="272"/>
    <x v="333"/>
    <x v="0"/>
    <x v="529"/>
    <x v="549"/>
    <x v="971"/>
    <x v="0"/>
    <x v="707"/>
    <x v="513"/>
    <x v="1"/>
    <x v="1226"/>
    <x v="25"/>
  </r>
  <r>
    <x v="396"/>
    <x v="273"/>
    <x v="708"/>
    <x v="916"/>
    <x v="916"/>
    <x v="0"/>
    <x v="17"/>
    <x v="17"/>
    <x v="53"/>
    <x v="484"/>
    <x v="366"/>
    <x v="0"/>
    <x v="1066"/>
    <x v="606"/>
    <x v="465"/>
    <x v="0"/>
    <x v="251"/>
    <x v="609"/>
    <x v="1"/>
    <x v="847"/>
    <x v="11"/>
  </r>
  <r>
    <x v="191"/>
    <x v="90"/>
    <x v="338"/>
    <x v="1146"/>
    <x v="1146"/>
    <x v="0"/>
    <x v="5"/>
    <x v="5"/>
    <x v="62"/>
    <x v="281"/>
    <x v="370"/>
    <x v="0"/>
    <x v="420"/>
    <x v="685"/>
    <x v="165"/>
    <x v="0"/>
    <x v="202"/>
    <x v="514"/>
    <x v="1"/>
    <x v="478"/>
    <x v="30"/>
  </r>
  <r>
    <x v="346"/>
    <x v="736"/>
    <x v="292"/>
    <x v="715"/>
    <x v="715"/>
    <x v="0"/>
    <x v="8"/>
    <x v="8"/>
    <x v="54"/>
    <x v="150"/>
    <x v="415"/>
    <x v="0"/>
    <x v="1530"/>
    <x v="609"/>
    <x v="614"/>
    <x v="0"/>
    <x v="274"/>
    <x v="423"/>
    <x v="1"/>
    <x v="1613"/>
    <x v="38"/>
  </r>
  <r>
    <x v="648"/>
    <x v="640"/>
    <x v="293"/>
    <x v="114"/>
    <x v="114"/>
    <x v="1"/>
    <x v="18"/>
    <x v="18"/>
    <x v="62"/>
    <x v="512"/>
    <x v="66"/>
    <x v="1"/>
    <x v="43"/>
    <x v="610"/>
    <x v="511"/>
    <x v="509"/>
    <x v="334"/>
    <x v="103"/>
    <x v="0"/>
    <x v="696"/>
    <x v="7"/>
  </r>
  <r>
    <x v="811"/>
    <x v="51"/>
    <x v="294"/>
    <x v="1709"/>
    <x v="1709"/>
    <x v="0"/>
    <x v="21"/>
    <x v="21"/>
    <x v="62"/>
    <x v="419"/>
    <x v="408"/>
    <x v="0"/>
    <x v="1397"/>
    <x v="510"/>
    <x v="781"/>
    <x v="435"/>
    <x v="270"/>
    <x v="444"/>
    <x v="1"/>
    <x v="643"/>
    <x v="21"/>
  </r>
  <r>
    <x v="644"/>
    <x v="199"/>
    <x v="511"/>
    <x v="622"/>
    <x v="622"/>
    <x v="0"/>
    <x v="17"/>
    <x v="17"/>
    <x v="52"/>
    <x v="334"/>
    <x v="483"/>
    <x v="0"/>
    <x v="1508"/>
    <x v="678"/>
    <x v="495"/>
    <x v="0"/>
    <x v="776"/>
    <x v="341"/>
    <x v="0"/>
    <x v="1180"/>
    <x v="25"/>
  </r>
  <r>
    <x v="745"/>
    <x v="617"/>
    <x v="296"/>
    <x v="714"/>
    <x v="714"/>
    <x v="0"/>
    <x v="21"/>
    <x v="21"/>
    <x v="71"/>
    <x v="330"/>
    <x v="362"/>
    <x v="0"/>
    <x v="1454"/>
    <x v="139"/>
    <x v="929"/>
    <x v="562"/>
    <x v="303"/>
    <x v="392"/>
    <x v="1"/>
    <x v="925"/>
    <x v="7"/>
  </r>
  <r>
    <x v="0"/>
    <x v="122"/>
    <x v="744"/>
    <x v="586"/>
    <x v="586"/>
    <x v="0"/>
    <x v="13"/>
    <x v="13"/>
    <x v="52"/>
    <x v="331"/>
    <x v="156"/>
    <x v="1"/>
    <x v="434"/>
    <x v="156"/>
    <x v="208"/>
    <x v="106"/>
    <x v="620"/>
    <x v="612"/>
    <x v="1"/>
    <x v="1276"/>
    <x v="23"/>
  </r>
  <r>
    <x v="593"/>
    <x v="833"/>
    <x v="298"/>
    <x v="1555"/>
    <x v="1555"/>
    <x v="0"/>
    <x v="14"/>
    <x v="14"/>
    <x v="0"/>
    <x v="162"/>
    <x v="380"/>
    <x v="0"/>
    <x v="1461"/>
    <x v="440"/>
    <x v="544"/>
    <x v="0"/>
    <x v="225"/>
    <x v="78"/>
    <x v="0"/>
    <x v="1205"/>
    <x v="13"/>
  </r>
  <r>
    <x v="629"/>
    <x v="534"/>
    <x v="299"/>
    <x v="102"/>
    <x v="102"/>
    <x v="0"/>
    <x v="14"/>
    <x v="14"/>
    <x v="68"/>
    <x v="355"/>
    <x v="391"/>
    <x v="0"/>
    <x v="1068"/>
    <x v="589"/>
    <x v="559"/>
    <x v="0"/>
    <x v="461"/>
    <x v="583"/>
    <x v="1"/>
    <x v="576"/>
    <x v="11"/>
  </r>
  <r>
    <x v="6"/>
    <x v="242"/>
    <x v="300"/>
    <x v="1694"/>
    <x v="1694"/>
    <x v="1"/>
    <x v="4"/>
    <x v="4"/>
    <x v="57"/>
    <x v="530"/>
    <x v="358"/>
    <x v="0"/>
    <x v="1049"/>
    <x v="638"/>
    <x v="716"/>
    <x v="0"/>
    <x v="243"/>
    <x v="682"/>
    <x v="1"/>
    <x v="1557"/>
    <x v="7"/>
  </r>
  <r>
    <x v="109"/>
    <x v="309"/>
    <x v="301"/>
    <x v="1775"/>
    <x v="1775"/>
    <x v="1"/>
    <x v="3"/>
    <x v="3"/>
    <x v="60"/>
    <x v="298"/>
    <x v="295"/>
    <x v="0"/>
    <x v="120"/>
    <x v="635"/>
    <x v="474"/>
    <x v="0"/>
    <x v="190"/>
    <x v="365"/>
    <x v="1"/>
    <x v="1696"/>
    <x v="7"/>
  </r>
  <r>
    <x v="179"/>
    <x v="169"/>
    <x v="302"/>
    <x v="1729"/>
    <x v="1729"/>
    <x v="0"/>
    <x v="4"/>
    <x v="4"/>
    <x v="65"/>
    <x v="212"/>
    <x v="350"/>
    <x v="0"/>
    <x v="294"/>
    <x v="27"/>
    <x v="1150"/>
    <x v="646"/>
    <x v="487"/>
    <x v="124"/>
    <x v="0"/>
    <x v="1307"/>
    <x v="47"/>
  </r>
  <r>
    <x v="641"/>
    <x v="563"/>
    <x v="303"/>
    <x v="1112"/>
    <x v="1112"/>
    <x v="0"/>
    <x v="18"/>
    <x v="18"/>
    <x v="55"/>
    <x v="289"/>
    <x v="225"/>
    <x v="1"/>
    <x v="845"/>
    <x v="482"/>
    <x v="980"/>
    <x v="0"/>
    <x v="448"/>
    <x v="253"/>
    <x v="0"/>
    <x v="1025"/>
    <x v="23"/>
  </r>
  <r>
    <x v="342"/>
    <x v="557"/>
    <x v="304"/>
    <x v="1114"/>
    <x v="1114"/>
    <x v="0"/>
    <x v="10"/>
    <x v="10"/>
    <x v="51"/>
    <x v="344"/>
    <x v="346"/>
    <x v="0"/>
    <x v="466"/>
    <x v="429"/>
    <x v="453"/>
    <x v="307"/>
    <x v="458"/>
    <x v="414"/>
    <x v="1"/>
    <x v="1111"/>
    <x v="30"/>
  </r>
  <r>
    <x v="565"/>
    <x v="197"/>
    <x v="322"/>
    <x v="492"/>
    <x v="492"/>
    <x v="1"/>
    <x v="17"/>
    <x v="17"/>
    <x v="50"/>
    <x v="229"/>
    <x v="350"/>
    <x v="0"/>
    <x v="518"/>
    <x v="385"/>
    <x v="142"/>
    <x v="389"/>
    <x v="308"/>
    <x v="200"/>
    <x v="0"/>
    <x v="1295"/>
    <x v="23"/>
  </r>
  <r>
    <x v="618"/>
    <x v="733"/>
    <x v="304"/>
    <x v="1291"/>
    <x v="1291"/>
    <x v="0"/>
    <x v="18"/>
    <x v="18"/>
    <x v="69"/>
    <x v="383"/>
    <x v="138"/>
    <x v="1"/>
    <x v="733"/>
    <x v="85"/>
    <x v="1084"/>
    <x v="0"/>
    <x v="415"/>
    <x v="494"/>
    <x v="1"/>
    <x v="350"/>
    <x v="25"/>
  </r>
  <r>
    <x v="754"/>
    <x v="580"/>
    <x v="305"/>
    <x v="493"/>
    <x v="493"/>
    <x v="1"/>
    <x v="21"/>
    <x v="21"/>
    <x v="54"/>
    <x v="538"/>
    <x v="224"/>
    <x v="1"/>
    <x v="266"/>
    <x v="563"/>
    <x v="958"/>
    <x v="117"/>
    <x v="426"/>
    <x v="271"/>
    <x v="0"/>
    <x v="1452"/>
    <x v="11"/>
  </r>
  <r>
    <x v="396"/>
    <x v="273"/>
    <x v="306"/>
    <x v="1118"/>
    <x v="1118"/>
    <x v="0"/>
    <x v="12"/>
    <x v="12"/>
    <x v="62"/>
    <x v="251"/>
    <x v="469"/>
    <x v="0"/>
    <x v="1337"/>
    <x v="74"/>
    <x v="492"/>
    <x v="0"/>
    <x v="149"/>
    <x v="318"/>
    <x v="0"/>
    <x v="1184"/>
    <x v="11"/>
  </r>
  <r>
    <x v="331"/>
    <x v="265"/>
    <x v="307"/>
    <x v="1226"/>
    <x v="1226"/>
    <x v="0"/>
    <x v="8"/>
    <x v="8"/>
    <x v="44"/>
    <x v="366"/>
    <x v="170"/>
    <x v="1"/>
    <x v="1287"/>
    <x v="596"/>
    <x v="928"/>
    <x v="459"/>
    <x v="589"/>
    <x v="297"/>
    <x v="0"/>
    <x v="1790"/>
    <x v="30"/>
  </r>
  <r>
    <x v="470"/>
    <x v="407"/>
    <x v="250"/>
    <x v="686"/>
    <x v="686"/>
    <x v="0"/>
    <x v="14"/>
    <x v="14"/>
    <x v="0"/>
    <x v="193"/>
    <x v="381"/>
    <x v="0"/>
    <x v="775"/>
    <x v="547"/>
    <x v="291"/>
    <x v="535"/>
    <x v="406"/>
    <x v="153"/>
    <x v="0"/>
    <x v="1109"/>
    <x v="25"/>
  </r>
  <r>
    <x v="612"/>
    <x v="577"/>
    <x v="308"/>
    <x v="1207"/>
    <x v="1207"/>
    <x v="1"/>
    <x v="16"/>
    <x v="16"/>
    <x v="47"/>
    <x v="512"/>
    <x v="230"/>
    <x v="1"/>
    <x v="616"/>
    <x v="596"/>
    <x v="152"/>
    <x v="213"/>
    <x v="600"/>
    <x v="69"/>
    <x v="0"/>
    <x v="879"/>
    <x v="11"/>
  </r>
  <r>
    <x v="581"/>
    <x v="677"/>
    <x v="857"/>
    <x v="771"/>
    <x v="771"/>
    <x v="0"/>
    <x v="17"/>
    <x v="17"/>
    <x v="50"/>
    <x v="392"/>
    <x v="484"/>
    <x v="0"/>
    <x v="761"/>
    <x v="147"/>
    <x v="314"/>
    <x v="316"/>
    <x v="388"/>
    <x v="251"/>
    <x v="0"/>
    <x v="915"/>
    <x v="23"/>
  </r>
  <r>
    <x v="22"/>
    <x v="480"/>
    <x v="310"/>
    <x v="1284"/>
    <x v="1284"/>
    <x v="1"/>
    <x v="2"/>
    <x v="2"/>
    <x v="40"/>
    <x v="291"/>
    <x v="480"/>
    <x v="0"/>
    <x v="789"/>
    <x v="608"/>
    <x v="580"/>
    <x v="0"/>
    <x v="588"/>
    <x v="585"/>
    <x v="1"/>
    <x v="166"/>
    <x v="7"/>
  </r>
  <r>
    <x v="642"/>
    <x v="492"/>
    <x v="311"/>
    <x v="178"/>
    <x v="178"/>
    <x v="0"/>
    <x v="18"/>
    <x v="18"/>
    <x v="0"/>
    <x v="243"/>
    <x v="398"/>
    <x v="0"/>
    <x v="910"/>
    <x v="174"/>
    <x v="732"/>
    <x v="0"/>
    <x v="460"/>
    <x v="343"/>
    <x v="1"/>
    <x v="288"/>
    <x v="13"/>
  </r>
  <r>
    <x v="553"/>
    <x v="668"/>
    <x v="312"/>
    <x v="1705"/>
    <x v="1705"/>
    <x v="1"/>
    <x v="16"/>
    <x v="16"/>
    <x v="0"/>
    <x v="458"/>
    <x v="176"/>
    <x v="1"/>
    <x v="1008"/>
    <x v="360"/>
    <x v="463"/>
    <x v="172"/>
    <x v="509"/>
    <x v="499"/>
    <x v="1"/>
    <x v="1610"/>
    <x v="11"/>
  </r>
  <r>
    <x v="581"/>
    <x v="677"/>
    <x v="313"/>
    <x v="1070"/>
    <x v="1070"/>
    <x v="0"/>
    <x v="15"/>
    <x v="15"/>
    <x v="55"/>
    <x v="182"/>
    <x v="387"/>
    <x v="0"/>
    <x v="1264"/>
    <x v="255"/>
    <x v="351"/>
    <x v="419"/>
    <x v="259"/>
    <x v="411"/>
    <x v="1"/>
    <x v="80"/>
    <x v="23"/>
  </r>
  <r>
    <x v="56"/>
    <x v="161"/>
    <x v="314"/>
    <x v="448"/>
    <x v="448"/>
    <x v="0"/>
    <x v="1"/>
    <x v="1"/>
    <x v="50"/>
    <x v="461"/>
    <x v="515"/>
    <x v="0"/>
    <x v="1514"/>
    <x v="571"/>
    <x v="956"/>
    <x v="219"/>
    <x v="542"/>
    <x v="604"/>
    <x v="1"/>
    <x v="859"/>
    <x v="23"/>
  </r>
  <r>
    <x v="151"/>
    <x v="203"/>
    <x v="315"/>
    <x v="1592"/>
    <x v="1592"/>
    <x v="1"/>
    <x v="8"/>
    <x v="8"/>
    <x v="41"/>
    <x v="452"/>
    <x v="106"/>
    <x v="1"/>
    <x v="461"/>
    <x v="441"/>
    <x v="416"/>
    <x v="0"/>
    <x v="754"/>
    <x v="239"/>
    <x v="0"/>
    <x v="413"/>
    <x v="11"/>
  </r>
  <r>
    <x v="272"/>
    <x v="705"/>
    <x v="316"/>
    <x v="176"/>
    <x v="176"/>
    <x v="0"/>
    <x v="6"/>
    <x v="6"/>
    <x v="47"/>
    <x v="374"/>
    <x v="579"/>
    <x v="0"/>
    <x v="920"/>
    <x v="471"/>
    <x v="870"/>
    <x v="559"/>
    <x v="575"/>
    <x v="343"/>
    <x v="1"/>
    <x v="1441"/>
    <x v="23"/>
  </r>
  <r>
    <x v="271"/>
    <x v="669"/>
    <x v="317"/>
    <x v="1511"/>
    <x v="1511"/>
    <x v="0"/>
    <x v="6"/>
    <x v="6"/>
    <x v="29"/>
    <x v="436"/>
    <x v="524"/>
    <x v="0"/>
    <x v="459"/>
    <x v="135"/>
    <x v="966"/>
    <x v="659"/>
    <x v="408"/>
    <x v="613"/>
    <x v="1"/>
    <x v="823"/>
    <x v="34"/>
  </r>
  <r>
    <x v="520"/>
    <x v="204"/>
    <x v="318"/>
    <x v="1194"/>
    <x v="1194"/>
    <x v="0"/>
    <x v="12"/>
    <x v="12"/>
    <x v="55"/>
    <x v="54"/>
    <x v="439"/>
    <x v="0"/>
    <x v="1655"/>
    <x v="656"/>
    <x v="896"/>
    <x v="0"/>
    <x v="593"/>
    <x v="105"/>
    <x v="0"/>
    <x v="1698"/>
    <x v="15"/>
  </r>
  <r>
    <x v="222"/>
    <x v="403"/>
    <x v="319"/>
    <x v="776"/>
    <x v="776"/>
    <x v="0"/>
    <x v="13"/>
    <x v="13"/>
    <x v="45"/>
    <x v="56"/>
    <x v="476"/>
    <x v="0"/>
    <x v="1355"/>
    <x v="603"/>
    <x v="413"/>
    <x v="190"/>
    <x v="645"/>
    <x v="405"/>
    <x v="1"/>
    <x v="1040"/>
    <x v="15"/>
  </r>
  <r>
    <x v="145"/>
    <x v="67"/>
    <x v="320"/>
    <x v="1285"/>
    <x v="1285"/>
    <x v="0"/>
    <x v="4"/>
    <x v="4"/>
    <x v="64"/>
    <x v="220"/>
    <x v="376"/>
    <x v="0"/>
    <x v="632"/>
    <x v="200"/>
    <x v="658"/>
    <x v="176"/>
    <x v="593"/>
    <x v="274"/>
    <x v="0"/>
    <x v="54"/>
    <x v="23"/>
  </r>
  <r>
    <x v="237"/>
    <x v="179"/>
    <x v="321"/>
    <x v="276"/>
    <x v="276"/>
    <x v="0"/>
    <x v="21"/>
    <x v="21"/>
    <x v="65"/>
    <x v="372"/>
    <x v="460"/>
    <x v="0"/>
    <x v="1612"/>
    <x v="321"/>
    <x v="852"/>
    <x v="46"/>
    <x v="110"/>
    <x v="489"/>
    <x v="1"/>
    <x v="317"/>
    <x v="21"/>
  </r>
  <r>
    <x v="663"/>
    <x v="266"/>
    <x v="1088"/>
    <x v="647"/>
    <x v="647"/>
    <x v="1"/>
    <x v="17"/>
    <x v="17"/>
    <x v="41"/>
    <x v="383"/>
    <x v="342"/>
    <x v="0"/>
    <x v="1542"/>
    <x v="268"/>
    <x v="224"/>
    <x v="0"/>
    <x v="451"/>
    <x v="377"/>
    <x v="1"/>
    <x v="1225"/>
    <x v="11"/>
  </r>
  <r>
    <x v="658"/>
    <x v="819"/>
    <x v="1405"/>
    <x v="1419"/>
    <x v="1419"/>
    <x v="0"/>
    <x v="17"/>
    <x v="17"/>
    <x v="41"/>
    <x v="302"/>
    <x v="317"/>
    <x v="0"/>
    <x v="865"/>
    <x v="96"/>
    <x v="926"/>
    <x v="0"/>
    <x v="408"/>
    <x v="335"/>
    <x v="0"/>
    <x v="694"/>
    <x v="25"/>
  </r>
  <r>
    <x v="167"/>
    <x v="462"/>
    <x v="324"/>
    <x v="1104"/>
    <x v="1104"/>
    <x v="0"/>
    <x v="8"/>
    <x v="8"/>
    <x v="28"/>
    <x v="457"/>
    <x v="476"/>
    <x v="0"/>
    <x v="431"/>
    <x v="671"/>
    <x v="337"/>
    <x v="216"/>
    <x v="507"/>
    <x v="324"/>
    <x v="0"/>
    <x v="933"/>
    <x v="15"/>
  </r>
  <r>
    <x v="364"/>
    <x v="317"/>
    <x v="325"/>
    <x v="736"/>
    <x v="736"/>
    <x v="1"/>
    <x v="10"/>
    <x v="10"/>
    <x v="40"/>
    <x v="322"/>
    <x v="269"/>
    <x v="0"/>
    <x v="1282"/>
    <x v="30"/>
    <x v="474"/>
    <x v="0"/>
    <x v="769"/>
    <x v="265"/>
    <x v="0"/>
    <x v="764"/>
    <x v="11"/>
  </r>
  <r>
    <x v="240"/>
    <x v="316"/>
    <x v="326"/>
    <x v="221"/>
    <x v="221"/>
    <x v="0"/>
    <x v="6"/>
    <x v="6"/>
    <x v="45"/>
    <x v="344"/>
    <x v="322"/>
    <x v="0"/>
    <x v="1446"/>
    <x v="29"/>
    <x v="514"/>
    <x v="443"/>
    <x v="640"/>
    <x v="626"/>
    <x v="1"/>
    <x v="748"/>
    <x v="30"/>
  </r>
  <r>
    <x v="565"/>
    <x v="197"/>
    <x v="327"/>
    <x v="695"/>
    <x v="695"/>
    <x v="1"/>
    <x v="17"/>
    <x v="17"/>
    <x v="0"/>
    <x v="221"/>
    <x v="216"/>
    <x v="1"/>
    <x v="736"/>
    <x v="130"/>
    <x v="232"/>
    <x v="408"/>
    <x v="294"/>
    <x v="177"/>
    <x v="0"/>
    <x v="780"/>
    <x v="23"/>
  </r>
  <r>
    <x v="607"/>
    <x v="781"/>
    <x v="328"/>
    <x v="346"/>
    <x v="346"/>
    <x v="1"/>
    <x v="18"/>
    <x v="18"/>
    <x v="0"/>
    <x v="309"/>
    <x v="311"/>
    <x v="0"/>
    <x v="322"/>
    <x v="576"/>
    <x v="1044"/>
    <x v="163"/>
    <x v="433"/>
    <x v="107"/>
    <x v="0"/>
    <x v="566"/>
    <x v="25"/>
  </r>
  <r>
    <x v="636"/>
    <x v="231"/>
    <x v="329"/>
    <x v="1170"/>
    <x v="1170"/>
    <x v="0"/>
    <x v="15"/>
    <x v="15"/>
    <x v="57"/>
    <x v="354"/>
    <x v="272"/>
    <x v="0"/>
    <x v="508"/>
    <x v="83"/>
    <x v="550"/>
    <x v="185"/>
    <x v="424"/>
    <x v="611"/>
    <x v="1"/>
    <x v="1287"/>
    <x v="23"/>
  </r>
  <r>
    <x v="483"/>
    <x v="527"/>
    <x v="330"/>
    <x v="652"/>
    <x v="652"/>
    <x v="0"/>
    <x v="12"/>
    <x v="12"/>
    <x v="61"/>
    <x v="403"/>
    <x v="420"/>
    <x v="0"/>
    <x v="1091"/>
    <x v="214"/>
    <x v="917"/>
    <x v="0"/>
    <x v="763"/>
    <x v="459"/>
    <x v="1"/>
    <x v="1266"/>
    <x v="13"/>
  </r>
  <r>
    <x v="771"/>
    <x v="493"/>
    <x v="331"/>
    <x v="171"/>
    <x v="171"/>
    <x v="0"/>
    <x v="20"/>
    <x v="20"/>
    <x v="55"/>
    <x v="357"/>
    <x v="339"/>
    <x v="0"/>
    <x v="575"/>
    <x v="706"/>
    <x v="1033"/>
    <x v="230"/>
    <x v="500"/>
    <x v="576"/>
    <x v="1"/>
    <x v="1820"/>
    <x v="21"/>
  </r>
  <r>
    <x v="424"/>
    <x v="585"/>
    <x v="332"/>
    <x v="1442"/>
    <x v="1442"/>
    <x v="0"/>
    <x v="16"/>
    <x v="16"/>
    <x v="48"/>
    <x v="298"/>
    <x v="306"/>
    <x v="0"/>
    <x v="966"/>
    <x v="129"/>
    <x v="702"/>
    <x v="0"/>
    <x v="421"/>
    <x v="321"/>
    <x v="0"/>
    <x v="975"/>
    <x v="23"/>
  </r>
  <r>
    <x v="80"/>
    <x v="558"/>
    <x v="333"/>
    <x v="1648"/>
    <x v="1648"/>
    <x v="1"/>
    <x v="2"/>
    <x v="2"/>
    <x v="54"/>
    <x v="494"/>
    <x v="265"/>
    <x v="0"/>
    <x v="366"/>
    <x v="573"/>
    <x v="298"/>
    <x v="0"/>
    <x v="446"/>
    <x v="403"/>
    <x v="1"/>
    <x v="1664"/>
    <x v="15"/>
  </r>
  <r>
    <x v="6"/>
    <x v="242"/>
    <x v="334"/>
    <x v="1692"/>
    <x v="1692"/>
    <x v="1"/>
    <x v="11"/>
    <x v="11"/>
    <x v="56"/>
    <x v="155"/>
    <x v="474"/>
    <x v="0"/>
    <x v="1618"/>
    <x v="649"/>
    <x v="789"/>
    <x v="0"/>
    <x v="477"/>
    <x v="244"/>
    <x v="0"/>
    <x v="1708"/>
    <x v="7"/>
  </r>
  <r>
    <x v="365"/>
    <x v="704"/>
    <x v="335"/>
    <x v="857"/>
    <x v="857"/>
    <x v="0"/>
    <x v="9"/>
    <x v="9"/>
    <x v="60"/>
    <x v="371"/>
    <x v="341"/>
    <x v="0"/>
    <x v="1648"/>
    <x v="461"/>
    <x v="1122"/>
    <x v="0"/>
    <x v="64"/>
    <x v="628"/>
    <x v="1"/>
    <x v="1464"/>
    <x v="11"/>
  </r>
  <r>
    <x v="69"/>
    <x v="664"/>
    <x v="336"/>
    <x v="1614"/>
    <x v="1614"/>
    <x v="0"/>
    <x v="1"/>
    <x v="1"/>
    <x v="40"/>
    <x v="216"/>
    <x v="210"/>
    <x v="1"/>
    <x v="133"/>
    <x v="28"/>
    <x v="926"/>
    <x v="30"/>
    <x v="317"/>
    <x v="92"/>
    <x v="0"/>
    <x v="572"/>
    <x v="23"/>
  </r>
  <r>
    <x v="140"/>
    <x v="389"/>
    <x v="337"/>
    <x v="1486"/>
    <x v="1486"/>
    <x v="0"/>
    <x v="21"/>
    <x v="21"/>
    <x v="17"/>
    <x v="315"/>
    <x v="246"/>
    <x v="1"/>
    <x v="1131"/>
    <x v="10"/>
    <x v="777"/>
    <x v="0"/>
    <x v="718"/>
    <x v="327"/>
    <x v="0"/>
    <x v="815"/>
    <x v="30"/>
  </r>
  <r>
    <x v="317"/>
    <x v="306"/>
    <x v="337"/>
    <x v="116"/>
    <x v="116"/>
    <x v="0"/>
    <x v="8"/>
    <x v="8"/>
    <x v="60"/>
    <x v="485"/>
    <x v="191"/>
    <x v="1"/>
    <x v="1104"/>
    <x v="83"/>
    <x v="621"/>
    <x v="622"/>
    <x v="409"/>
    <x v="473"/>
    <x v="1"/>
    <x v="741"/>
    <x v="19"/>
  </r>
  <r>
    <x v="680"/>
    <x v="116"/>
    <x v="462"/>
    <x v="778"/>
    <x v="778"/>
    <x v="0"/>
    <x v="17"/>
    <x v="17"/>
    <x v="0"/>
    <x v="45"/>
    <x v="458"/>
    <x v="0"/>
    <x v="437"/>
    <x v="513"/>
    <x v="217"/>
    <x v="541"/>
    <x v="551"/>
    <x v="441"/>
    <x v="1"/>
    <x v="932"/>
    <x v="47"/>
  </r>
  <r>
    <x v="89"/>
    <x v="258"/>
    <x v="1750"/>
    <x v="872"/>
    <x v="872"/>
    <x v="0"/>
    <x v="17"/>
    <x v="17"/>
    <x v="39"/>
    <x v="280"/>
    <x v="503"/>
    <x v="0"/>
    <x v="31"/>
    <x v="183"/>
    <x v="142"/>
    <x v="764"/>
    <x v="451"/>
    <x v="445"/>
    <x v="1"/>
    <x v="1377"/>
    <x v="25"/>
  </r>
  <r>
    <x v="627"/>
    <x v="232"/>
    <x v="340"/>
    <x v="507"/>
    <x v="507"/>
    <x v="1"/>
    <x v="21"/>
    <x v="21"/>
    <x v="50"/>
    <x v="381"/>
    <x v="387"/>
    <x v="0"/>
    <x v="479"/>
    <x v="585"/>
    <x v="949"/>
    <x v="0"/>
    <x v="166"/>
    <x v="443"/>
    <x v="1"/>
    <x v="349"/>
    <x v="23"/>
  </r>
  <r>
    <x v="187"/>
    <x v="103"/>
    <x v="341"/>
    <x v="213"/>
    <x v="213"/>
    <x v="0"/>
    <x v="14"/>
    <x v="14"/>
    <x v="26"/>
    <x v="296"/>
    <x v="347"/>
    <x v="0"/>
    <x v="883"/>
    <x v="162"/>
    <x v="851"/>
    <x v="0"/>
    <x v="613"/>
    <x v="344"/>
    <x v="1"/>
    <x v="1508"/>
    <x v="52"/>
  </r>
  <r>
    <x v="438"/>
    <x v="728"/>
    <x v="342"/>
    <x v="125"/>
    <x v="125"/>
    <x v="0"/>
    <x v="21"/>
    <x v="21"/>
    <x v="64"/>
    <x v="187"/>
    <x v="303"/>
    <x v="0"/>
    <x v="698"/>
    <x v="622"/>
    <x v="859"/>
    <x v="251"/>
    <x v="409"/>
    <x v="402"/>
    <x v="1"/>
    <x v="1713"/>
    <x v="23"/>
  </r>
  <r>
    <x v="600"/>
    <x v="276"/>
    <x v="343"/>
    <x v="567"/>
    <x v="567"/>
    <x v="0"/>
    <x v="14"/>
    <x v="14"/>
    <x v="43"/>
    <x v="104"/>
    <x v="548"/>
    <x v="0"/>
    <x v="1484"/>
    <x v="100"/>
    <x v="428"/>
    <x v="0"/>
    <x v="93"/>
    <x v="690"/>
    <x v="1"/>
    <x v="1555"/>
    <x v="0"/>
  </r>
  <r>
    <x v="429"/>
    <x v="187"/>
    <x v="344"/>
    <x v="660"/>
    <x v="660"/>
    <x v="0"/>
    <x v="10"/>
    <x v="10"/>
    <x v="53"/>
    <x v="205"/>
    <x v="265"/>
    <x v="0"/>
    <x v="1059"/>
    <x v="70"/>
    <x v="322"/>
    <x v="216"/>
    <x v="205"/>
    <x v="330"/>
    <x v="0"/>
    <x v="1659"/>
    <x v="23"/>
  </r>
  <r>
    <x v="363"/>
    <x v="679"/>
    <x v="345"/>
    <x v="581"/>
    <x v="581"/>
    <x v="0"/>
    <x v="9"/>
    <x v="9"/>
    <x v="51"/>
    <x v="402"/>
    <x v="481"/>
    <x v="0"/>
    <x v="1307"/>
    <x v="49"/>
    <x v="116"/>
    <x v="389"/>
    <x v="100"/>
    <x v="750"/>
    <x v="1"/>
    <x v="1284"/>
    <x v="25"/>
  </r>
  <r>
    <x v="175"/>
    <x v="387"/>
    <x v="346"/>
    <x v="1653"/>
    <x v="1653"/>
    <x v="0"/>
    <x v="4"/>
    <x v="4"/>
    <x v="59"/>
    <x v="259"/>
    <x v="255"/>
    <x v="1"/>
    <x v="425"/>
    <x v="646"/>
    <x v="1143"/>
    <x v="0"/>
    <x v="408"/>
    <x v="402"/>
    <x v="1"/>
    <x v="18"/>
    <x v="23"/>
  </r>
  <r>
    <x v="364"/>
    <x v="317"/>
    <x v="347"/>
    <x v="1161"/>
    <x v="1161"/>
    <x v="0"/>
    <x v="9"/>
    <x v="9"/>
    <x v="45"/>
    <x v="219"/>
    <x v="282"/>
    <x v="0"/>
    <x v="916"/>
    <x v="458"/>
    <x v="1112"/>
    <x v="0"/>
    <x v="583"/>
    <x v="644"/>
    <x v="1"/>
    <x v="75"/>
    <x v="11"/>
  </r>
  <r>
    <x v="578"/>
    <x v="742"/>
    <x v="348"/>
    <x v="1464"/>
    <x v="1464"/>
    <x v="0"/>
    <x v="17"/>
    <x v="17"/>
    <x v="71"/>
    <x v="223"/>
    <x v="135"/>
    <x v="1"/>
    <x v="68"/>
    <x v="76"/>
    <x v="713"/>
    <x v="723"/>
    <x v="427"/>
    <x v="193"/>
    <x v="0"/>
    <x v="161"/>
    <x v="47"/>
  </r>
  <r>
    <x v="311"/>
    <x v="710"/>
    <x v="349"/>
    <x v="1691"/>
    <x v="1691"/>
    <x v="0"/>
    <x v="7"/>
    <x v="7"/>
    <x v="55"/>
    <x v="145"/>
    <x v="530"/>
    <x v="0"/>
    <x v="1453"/>
    <x v="383"/>
    <x v="869"/>
    <x v="616"/>
    <x v="356"/>
    <x v="169"/>
    <x v="0"/>
    <x v="1547"/>
    <x v="47"/>
  </r>
  <r>
    <x v="414"/>
    <x v="183"/>
    <x v="350"/>
    <x v="1281"/>
    <x v="1281"/>
    <x v="0"/>
    <x v="10"/>
    <x v="10"/>
    <x v="43"/>
    <x v="408"/>
    <x v="254"/>
    <x v="1"/>
    <x v="881"/>
    <x v="238"/>
    <x v="812"/>
    <x v="0"/>
    <x v="455"/>
    <x v="641"/>
    <x v="1"/>
    <x v="913"/>
    <x v="30"/>
  </r>
  <r>
    <x v="203"/>
    <x v="828"/>
    <x v="351"/>
    <x v="1696"/>
    <x v="1696"/>
    <x v="1"/>
    <x v="5"/>
    <x v="5"/>
    <x v="40"/>
    <x v="406"/>
    <x v="325"/>
    <x v="0"/>
    <x v="665"/>
    <x v="753"/>
    <x v="392"/>
    <x v="0"/>
    <x v="640"/>
    <x v="359"/>
    <x v="1"/>
    <x v="147"/>
    <x v="11"/>
  </r>
  <r>
    <x v="99"/>
    <x v="364"/>
    <x v="352"/>
    <x v="1164"/>
    <x v="1164"/>
    <x v="0"/>
    <x v="14"/>
    <x v="14"/>
    <x v="0"/>
    <x v="430"/>
    <x v="467"/>
    <x v="0"/>
    <x v="853"/>
    <x v="398"/>
    <x v="400"/>
    <x v="78"/>
    <x v="307"/>
    <x v="546"/>
    <x v="1"/>
    <x v="1187"/>
    <x v="15"/>
  </r>
  <r>
    <x v="817"/>
    <x v="778"/>
    <x v="353"/>
    <x v="575"/>
    <x v="575"/>
    <x v="0"/>
    <x v="21"/>
    <x v="21"/>
    <x v="64"/>
    <x v="456"/>
    <x v="192"/>
    <x v="1"/>
    <x v="475"/>
    <x v="533"/>
    <x v="1175"/>
    <x v="370"/>
    <x v="453"/>
    <x v="354"/>
    <x v="1"/>
    <x v="450"/>
    <x v="23"/>
  </r>
  <r>
    <x v="29"/>
    <x v="193"/>
    <x v="354"/>
    <x v="817"/>
    <x v="817"/>
    <x v="0"/>
    <x v="2"/>
    <x v="2"/>
    <x v="35"/>
    <x v="480"/>
    <x v="275"/>
    <x v="0"/>
    <x v="178"/>
    <x v="117"/>
    <x v="1021"/>
    <x v="487"/>
    <x v="25"/>
    <x v="568"/>
    <x v="1"/>
    <x v="796"/>
    <x v="30"/>
  </r>
  <r>
    <x v="407"/>
    <x v="209"/>
    <x v="355"/>
    <x v="463"/>
    <x v="463"/>
    <x v="0"/>
    <x v="13"/>
    <x v="13"/>
    <x v="54"/>
    <x v="505"/>
    <x v="347"/>
    <x v="0"/>
    <x v="1200"/>
    <x v="192"/>
    <x v="606"/>
    <x v="0"/>
    <x v="458"/>
    <x v="617"/>
    <x v="1"/>
    <x v="746"/>
    <x v="13"/>
  </r>
  <r>
    <x v="335"/>
    <x v="259"/>
    <x v="356"/>
    <x v="136"/>
    <x v="136"/>
    <x v="0"/>
    <x v="7"/>
    <x v="7"/>
    <x v="60"/>
    <x v="257"/>
    <x v="559"/>
    <x v="0"/>
    <x v="1516"/>
    <x v="619"/>
    <x v="258"/>
    <x v="0"/>
    <x v="295"/>
    <x v="295"/>
    <x v="0"/>
    <x v="782"/>
    <x v="38"/>
  </r>
  <r>
    <x v="379"/>
    <x v="645"/>
    <x v="357"/>
    <x v="1656"/>
    <x v="1656"/>
    <x v="0"/>
    <x v="12"/>
    <x v="12"/>
    <x v="0"/>
    <x v="322"/>
    <x v="465"/>
    <x v="0"/>
    <x v="1082"/>
    <x v="96"/>
    <x v="735"/>
    <x v="735"/>
    <x v="384"/>
    <x v="129"/>
    <x v="0"/>
    <x v="829"/>
    <x v="25"/>
  </r>
  <r>
    <x v="602"/>
    <x v="658"/>
    <x v="358"/>
    <x v="75"/>
    <x v="75"/>
    <x v="0"/>
    <x v="21"/>
    <x v="21"/>
    <x v="61"/>
    <x v="376"/>
    <x v="134"/>
    <x v="1"/>
    <x v="245"/>
    <x v="372"/>
    <x v="1100"/>
    <x v="48"/>
    <x v="521"/>
    <x v="203"/>
    <x v="0"/>
    <x v="589"/>
    <x v="23"/>
  </r>
  <r>
    <x v="217"/>
    <x v="235"/>
    <x v="359"/>
    <x v="692"/>
    <x v="692"/>
    <x v="0"/>
    <x v="5"/>
    <x v="5"/>
    <x v="0"/>
    <x v="295"/>
    <x v="299"/>
    <x v="0"/>
    <x v="1056"/>
    <x v="50"/>
    <x v="0"/>
    <x v="728"/>
    <x v="82"/>
    <x v="352"/>
    <x v="1"/>
    <x v="995"/>
    <x v="38"/>
  </r>
  <r>
    <x v="398"/>
    <x v="395"/>
    <x v="360"/>
    <x v="1310"/>
    <x v="1310"/>
    <x v="1"/>
    <x v="10"/>
    <x v="10"/>
    <x v="61"/>
    <x v="553"/>
    <x v="390"/>
    <x v="0"/>
    <x v="614"/>
    <x v="441"/>
    <x v="231"/>
    <x v="0"/>
    <x v="265"/>
    <x v="631"/>
    <x v="1"/>
    <x v="826"/>
    <x v="15"/>
  </r>
  <r>
    <x v="599"/>
    <x v="53"/>
    <x v="361"/>
    <x v="1142"/>
    <x v="1142"/>
    <x v="0"/>
    <x v="18"/>
    <x v="18"/>
    <x v="0"/>
    <x v="312"/>
    <x v="207"/>
    <x v="1"/>
    <x v="823"/>
    <x v="129"/>
    <x v="680"/>
    <x v="0"/>
    <x v="638"/>
    <x v="163"/>
    <x v="0"/>
    <x v="1357"/>
    <x v="23"/>
  </r>
  <r>
    <x v="698"/>
    <x v="149"/>
    <x v="362"/>
    <x v="368"/>
    <x v="368"/>
    <x v="0"/>
    <x v="18"/>
    <x v="18"/>
    <x v="48"/>
    <x v="331"/>
    <x v="131"/>
    <x v="1"/>
    <x v="141"/>
    <x v="111"/>
    <x v="1057"/>
    <x v="0"/>
    <x v="499"/>
    <x v="103"/>
    <x v="0"/>
    <x v="752"/>
    <x v="23"/>
  </r>
  <r>
    <x v="57"/>
    <x v="629"/>
    <x v="363"/>
    <x v="1617"/>
    <x v="1617"/>
    <x v="0"/>
    <x v="8"/>
    <x v="8"/>
    <x v="62"/>
    <x v="191"/>
    <x v="513"/>
    <x v="0"/>
    <x v="1635"/>
    <x v="179"/>
    <x v="430"/>
    <x v="192"/>
    <x v="632"/>
    <x v="560"/>
    <x v="1"/>
    <x v="399"/>
    <x v="38"/>
  </r>
  <r>
    <x v="475"/>
    <x v="471"/>
    <x v="364"/>
    <x v="671"/>
    <x v="671"/>
    <x v="0"/>
    <x v="13"/>
    <x v="13"/>
    <x v="0"/>
    <x v="257"/>
    <x v="542"/>
    <x v="0"/>
    <x v="481"/>
    <x v="577"/>
    <x v="302"/>
    <x v="0"/>
    <x v="202"/>
    <x v="599"/>
    <x v="1"/>
    <x v="1277"/>
    <x v="21"/>
  </r>
  <r>
    <x v="109"/>
    <x v="309"/>
    <x v="365"/>
    <x v="1292"/>
    <x v="1292"/>
    <x v="0"/>
    <x v="7"/>
    <x v="7"/>
    <x v="59"/>
    <x v="395"/>
    <x v="491"/>
    <x v="0"/>
    <x v="647"/>
    <x v="116"/>
    <x v="456"/>
    <x v="702"/>
    <x v="591"/>
    <x v="755"/>
    <x v="1"/>
    <x v="938"/>
    <x v="7"/>
  </r>
  <r>
    <x v="397"/>
    <x v="398"/>
    <x v="366"/>
    <x v="723"/>
    <x v="723"/>
    <x v="0"/>
    <x v="15"/>
    <x v="15"/>
    <x v="60"/>
    <x v="282"/>
    <x v="189"/>
    <x v="1"/>
    <x v="555"/>
    <x v="250"/>
    <x v="188"/>
    <x v="0"/>
    <x v="469"/>
    <x v="209"/>
    <x v="0"/>
    <x v="1319"/>
    <x v="23"/>
  </r>
  <r>
    <x v="442"/>
    <x v="414"/>
    <x v="367"/>
    <x v="845"/>
    <x v="845"/>
    <x v="0"/>
    <x v="11"/>
    <x v="11"/>
    <x v="58"/>
    <x v="507"/>
    <x v="78"/>
    <x v="1"/>
    <x v="483"/>
    <x v="369"/>
    <x v="1104"/>
    <x v="171"/>
    <x v="426"/>
    <x v="628"/>
    <x v="1"/>
    <x v="1410"/>
    <x v="7"/>
  </r>
  <r>
    <x v="235"/>
    <x v="503"/>
    <x v="368"/>
    <x v="930"/>
    <x v="930"/>
    <x v="0"/>
    <x v="14"/>
    <x v="14"/>
    <x v="52"/>
    <x v="291"/>
    <x v="275"/>
    <x v="0"/>
    <x v="766"/>
    <x v="18"/>
    <x v="162"/>
    <x v="0"/>
    <x v="550"/>
    <x v="223"/>
    <x v="0"/>
    <x v="909"/>
    <x v="23"/>
  </r>
  <r>
    <x v="164"/>
    <x v="206"/>
    <x v="369"/>
    <x v="1788"/>
    <x v="1788"/>
    <x v="0"/>
    <x v="4"/>
    <x v="4"/>
    <x v="34"/>
    <x v="419"/>
    <x v="453"/>
    <x v="0"/>
    <x v="150"/>
    <x v="391"/>
    <x v="618"/>
    <x v="703"/>
    <x v="636"/>
    <x v="171"/>
    <x v="0"/>
    <x v="1143"/>
    <x v="2"/>
  </r>
  <r>
    <x v="259"/>
    <x v="722"/>
    <x v="370"/>
    <x v="1704"/>
    <x v="1704"/>
    <x v="1"/>
    <x v="10"/>
    <x v="10"/>
    <x v="54"/>
    <x v="348"/>
    <x v="347"/>
    <x v="0"/>
    <x v="958"/>
    <x v="716"/>
    <x v="569"/>
    <x v="0"/>
    <x v="734"/>
    <x v="315"/>
    <x v="0"/>
    <x v="1367"/>
    <x v="11"/>
  </r>
  <r>
    <x v="513"/>
    <x v="582"/>
    <x v="371"/>
    <x v="511"/>
    <x v="511"/>
    <x v="0"/>
    <x v="14"/>
    <x v="14"/>
    <x v="45"/>
    <x v="151"/>
    <x v="428"/>
    <x v="0"/>
    <x v="1077"/>
    <x v="195"/>
    <x v="283"/>
    <x v="194"/>
    <x v="423"/>
    <x v="196"/>
    <x v="0"/>
    <x v="1028"/>
    <x v="25"/>
  </r>
  <r>
    <x v="377"/>
    <x v="40"/>
    <x v="372"/>
    <x v="157"/>
    <x v="157"/>
    <x v="0"/>
    <x v="9"/>
    <x v="9"/>
    <x v="62"/>
    <x v="106"/>
    <x v="495"/>
    <x v="0"/>
    <x v="1533"/>
    <x v="473"/>
    <x v="304"/>
    <x v="0"/>
    <x v="508"/>
    <x v="410"/>
    <x v="1"/>
    <x v="1782"/>
    <x v="38"/>
  </r>
  <r>
    <x v="191"/>
    <x v="90"/>
    <x v="373"/>
    <x v="1222"/>
    <x v="1222"/>
    <x v="0"/>
    <x v="9"/>
    <x v="9"/>
    <x v="43"/>
    <x v="279"/>
    <x v="347"/>
    <x v="0"/>
    <x v="976"/>
    <x v="777"/>
    <x v="300"/>
    <x v="217"/>
    <x v="220"/>
    <x v="211"/>
    <x v="0"/>
    <x v="648"/>
    <x v="30"/>
  </r>
  <r>
    <x v="570"/>
    <x v="336"/>
    <x v="374"/>
    <x v="117"/>
    <x v="117"/>
    <x v="0"/>
    <x v="14"/>
    <x v="14"/>
    <x v="67"/>
    <x v="144"/>
    <x v="311"/>
    <x v="0"/>
    <x v="1564"/>
    <x v="69"/>
    <x v="927"/>
    <x v="431"/>
    <x v="564"/>
    <x v="275"/>
    <x v="0"/>
    <x v="214"/>
    <x v="38"/>
  </r>
  <r>
    <x v="13"/>
    <x v="712"/>
    <x v="375"/>
    <x v="1644"/>
    <x v="1644"/>
    <x v="0"/>
    <x v="1"/>
    <x v="1"/>
    <x v="48"/>
    <x v="221"/>
    <x v="260"/>
    <x v="1"/>
    <x v="184"/>
    <x v="52"/>
    <x v="360"/>
    <x v="0"/>
    <x v="410"/>
    <x v="48"/>
    <x v="0"/>
    <x v="744"/>
    <x v="47"/>
  </r>
  <r>
    <x v="76"/>
    <x v="174"/>
    <x v="1166"/>
    <x v="1249"/>
    <x v="1249"/>
    <x v="0"/>
    <x v="17"/>
    <x v="17"/>
    <x v="33"/>
    <x v="50"/>
    <x v="326"/>
    <x v="0"/>
    <x v="566"/>
    <x v="110"/>
    <x v="271"/>
    <x v="394"/>
    <x v="593"/>
    <x v="85"/>
    <x v="0"/>
    <x v="1304"/>
    <x v="36"/>
  </r>
  <r>
    <x v="362"/>
    <x v="33"/>
    <x v="377"/>
    <x v="889"/>
    <x v="889"/>
    <x v="0"/>
    <x v="9"/>
    <x v="9"/>
    <x v="59"/>
    <x v="262"/>
    <x v="553"/>
    <x v="0"/>
    <x v="1032"/>
    <x v="167"/>
    <x v="127"/>
    <x v="494"/>
    <x v="586"/>
    <x v="172"/>
    <x v="0"/>
    <x v="1213"/>
    <x v="2"/>
  </r>
  <r>
    <x v="290"/>
    <x v="160"/>
    <x v="378"/>
    <x v="1589"/>
    <x v="1589"/>
    <x v="1"/>
    <x v="13"/>
    <x v="13"/>
    <x v="54"/>
    <x v="327"/>
    <x v="337"/>
    <x v="0"/>
    <x v="901"/>
    <x v="575"/>
    <x v="516"/>
    <x v="0"/>
    <x v="247"/>
    <x v="95"/>
    <x v="0"/>
    <x v="19"/>
    <x v="15"/>
  </r>
  <r>
    <x v="282"/>
    <x v="636"/>
    <x v="379"/>
    <x v="932"/>
    <x v="932"/>
    <x v="0"/>
    <x v="14"/>
    <x v="14"/>
    <x v="61"/>
    <x v="199"/>
    <x v="311"/>
    <x v="0"/>
    <x v="987"/>
    <x v="202"/>
    <x v="110"/>
    <x v="0"/>
    <x v="413"/>
    <x v="246"/>
    <x v="0"/>
    <x v="265"/>
    <x v="15"/>
  </r>
  <r>
    <x v="268"/>
    <x v="394"/>
    <x v="380"/>
    <x v="1090"/>
    <x v="1090"/>
    <x v="1"/>
    <x v="7"/>
    <x v="7"/>
    <x v="47"/>
    <x v="307"/>
    <x v="414"/>
    <x v="0"/>
    <x v="1376"/>
    <x v="724"/>
    <x v="985"/>
    <x v="0"/>
    <x v="468"/>
    <x v="233"/>
    <x v="0"/>
    <x v="420"/>
    <x v="7"/>
  </r>
  <r>
    <x v="178"/>
    <x v="37"/>
    <x v="381"/>
    <x v="1628"/>
    <x v="1628"/>
    <x v="0"/>
    <x v="5"/>
    <x v="5"/>
    <x v="41"/>
    <x v="298"/>
    <x v="91"/>
    <x v="1"/>
    <x v="55"/>
    <x v="65"/>
    <x v="1138"/>
    <x v="551"/>
    <x v="429"/>
    <x v="147"/>
    <x v="0"/>
    <x v="1170"/>
    <x v="30"/>
  </r>
  <r>
    <x v="30"/>
    <x v="489"/>
    <x v="382"/>
    <x v="1587"/>
    <x v="1587"/>
    <x v="0"/>
    <x v="5"/>
    <x v="5"/>
    <x v="39"/>
    <x v="425"/>
    <x v="397"/>
    <x v="0"/>
    <x v="878"/>
    <x v="520"/>
    <x v="685"/>
    <x v="579"/>
    <x v="327"/>
    <x v="333"/>
    <x v="0"/>
    <x v="1023"/>
    <x v="23"/>
  </r>
  <r>
    <x v="470"/>
    <x v="407"/>
    <x v="383"/>
    <x v="620"/>
    <x v="620"/>
    <x v="0"/>
    <x v="14"/>
    <x v="14"/>
    <x v="64"/>
    <x v="346"/>
    <x v="301"/>
    <x v="0"/>
    <x v="1031"/>
    <x v="201"/>
    <x v="251"/>
    <x v="382"/>
    <x v="515"/>
    <x v="626"/>
    <x v="1"/>
    <x v="1201"/>
    <x v="25"/>
  </r>
  <r>
    <x v="143"/>
    <x v="303"/>
    <x v="384"/>
    <x v="1507"/>
    <x v="1507"/>
    <x v="0"/>
    <x v="3"/>
    <x v="3"/>
    <x v="51"/>
    <x v="197"/>
    <x v="197"/>
    <x v="1"/>
    <x v="1108"/>
    <x v="291"/>
    <x v="1027"/>
    <x v="0"/>
    <x v="601"/>
    <x v="270"/>
    <x v="0"/>
    <x v="1"/>
    <x v="15"/>
  </r>
  <r>
    <x v="80"/>
    <x v="558"/>
    <x v="385"/>
    <x v="1660"/>
    <x v="1660"/>
    <x v="1"/>
    <x v="4"/>
    <x v="4"/>
    <x v="63"/>
    <x v="362"/>
    <x v="161"/>
    <x v="1"/>
    <x v="169"/>
    <x v="605"/>
    <x v="957"/>
    <x v="401"/>
    <x v="500"/>
    <x v="443"/>
    <x v="1"/>
    <x v="1703"/>
    <x v="15"/>
  </r>
  <r>
    <x v="107"/>
    <x v="162"/>
    <x v="386"/>
    <x v="336"/>
    <x v="336"/>
    <x v="0"/>
    <x v="6"/>
    <x v="6"/>
    <x v="31"/>
    <x v="387"/>
    <x v="323"/>
    <x v="0"/>
    <x v="1229"/>
    <x v="569"/>
    <x v="358"/>
    <x v="474"/>
    <x v="226"/>
    <x v="447"/>
    <x v="1"/>
    <x v="1705"/>
    <x v="15"/>
  </r>
  <r>
    <x v="56"/>
    <x v="161"/>
    <x v="387"/>
    <x v="1698"/>
    <x v="1698"/>
    <x v="0"/>
    <x v="4"/>
    <x v="4"/>
    <x v="54"/>
    <x v="275"/>
    <x v="489"/>
    <x v="0"/>
    <x v="1551"/>
    <x v="765"/>
    <x v="849"/>
    <x v="0"/>
    <x v="626"/>
    <x v="283"/>
    <x v="0"/>
    <x v="489"/>
    <x v="23"/>
  </r>
  <r>
    <x v="34"/>
    <x v="361"/>
    <x v="388"/>
    <x v="1295"/>
    <x v="1295"/>
    <x v="1"/>
    <x v="5"/>
    <x v="5"/>
    <x v="39"/>
    <x v="413"/>
    <x v="256"/>
    <x v="1"/>
    <x v="300"/>
    <x v="761"/>
    <x v="513"/>
    <x v="72"/>
    <x v="626"/>
    <x v="478"/>
    <x v="1"/>
    <x v="1675"/>
    <x v="7"/>
  </r>
  <r>
    <x v="464"/>
    <x v="356"/>
    <x v="389"/>
    <x v="1019"/>
    <x v="1019"/>
    <x v="0"/>
    <x v="12"/>
    <x v="12"/>
    <x v="39"/>
    <x v="313"/>
    <x v="340"/>
    <x v="0"/>
    <x v="925"/>
    <x v="98"/>
    <x v="1028"/>
    <x v="63"/>
    <x v="420"/>
    <x v="491"/>
    <x v="1"/>
    <x v="1149"/>
    <x v="0"/>
  </r>
  <r>
    <x v="313"/>
    <x v="730"/>
    <x v="390"/>
    <x v="285"/>
    <x v="285"/>
    <x v="0"/>
    <x v="7"/>
    <x v="7"/>
    <x v="51"/>
    <x v="113"/>
    <x v="554"/>
    <x v="0"/>
    <x v="1211"/>
    <x v="174"/>
    <x v="46"/>
    <x v="16"/>
    <x v="717"/>
    <x v="307"/>
    <x v="0"/>
    <x v="1494"/>
    <x v="47"/>
  </r>
  <r>
    <x v="190"/>
    <x v="9"/>
    <x v="391"/>
    <x v="679"/>
    <x v="679"/>
    <x v="1"/>
    <x v="7"/>
    <x v="7"/>
    <x v="58"/>
    <x v="544"/>
    <x v="260"/>
    <x v="1"/>
    <x v="1044"/>
    <x v="690"/>
    <x v="942"/>
    <x v="344"/>
    <x v="574"/>
    <x v="541"/>
    <x v="1"/>
    <x v="416"/>
    <x v="11"/>
  </r>
  <r>
    <x v="282"/>
    <x v="636"/>
    <x v="392"/>
    <x v="1193"/>
    <x v="1193"/>
    <x v="0"/>
    <x v="10"/>
    <x v="10"/>
    <x v="62"/>
    <x v="342"/>
    <x v="413"/>
    <x v="0"/>
    <x v="1130"/>
    <x v="302"/>
    <x v="788"/>
    <x v="0"/>
    <x v="472"/>
    <x v="552"/>
    <x v="1"/>
    <x v="1047"/>
    <x v="15"/>
  </r>
  <r>
    <x v="119"/>
    <x v="801"/>
    <x v="393"/>
    <x v="834"/>
    <x v="834"/>
    <x v="0"/>
    <x v="12"/>
    <x v="12"/>
    <x v="65"/>
    <x v="298"/>
    <x v="461"/>
    <x v="0"/>
    <x v="1478"/>
    <x v="574"/>
    <x v="526"/>
    <x v="0"/>
    <x v="269"/>
    <x v="487"/>
    <x v="1"/>
    <x v="891"/>
    <x v="15"/>
  </r>
  <r>
    <x v="538"/>
    <x v="404"/>
    <x v="394"/>
    <x v="182"/>
    <x v="182"/>
    <x v="1"/>
    <x v="19"/>
    <x v="19"/>
    <x v="0"/>
    <x v="271"/>
    <x v="131"/>
    <x v="1"/>
    <x v="384"/>
    <x v="793"/>
    <x v="216"/>
    <x v="0"/>
    <x v="312"/>
    <x v="247"/>
    <x v="0"/>
    <x v="1438"/>
    <x v="7"/>
  </r>
  <r>
    <x v="307"/>
    <x v="52"/>
    <x v="395"/>
    <x v="1562"/>
    <x v="1562"/>
    <x v="0"/>
    <x v="15"/>
    <x v="15"/>
    <x v="70"/>
    <x v="183"/>
    <x v="145"/>
    <x v="1"/>
    <x v="232"/>
    <x v="71"/>
    <x v="923"/>
    <x v="432"/>
    <x v="517"/>
    <x v="255"/>
    <x v="0"/>
    <x v="164"/>
    <x v="38"/>
  </r>
  <r>
    <x v="660"/>
    <x v="609"/>
    <x v="396"/>
    <x v="543"/>
    <x v="543"/>
    <x v="1"/>
    <x v="17"/>
    <x v="17"/>
    <x v="58"/>
    <x v="347"/>
    <x v="171"/>
    <x v="1"/>
    <x v="441"/>
    <x v="211"/>
    <x v="481"/>
    <x v="0"/>
    <x v="312"/>
    <x v="260"/>
    <x v="0"/>
    <x v="380"/>
    <x v="30"/>
  </r>
  <r>
    <x v="514"/>
    <x v="367"/>
    <x v="397"/>
    <x v="301"/>
    <x v="301"/>
    <x v="1"/>
    <x v="13"/>
    <x v="13"/>
    <x v="43"/>
    <x v="298"/>
    <x v="443"/>
    <x v="0"/>
    <x v="1411"/>
    <x v="229"/>
    <x v="614"/>
    <x v="0"/>
    <x v="647"/>
    <x v="229"/>
    <x v="0"/>
    <x v="1455"/>
    <x v="11"/>
  </r>
  <r>
    <x v="321"/>
    <x v="153"/>
    <x v="398"/>
    <x v="952"/>
    <x v="952"/>
    <x v="0"/>
    <x v="8"/>
    <x v="8"/>
    <x v="51"/>
    <x v="458"/>
    <x v="271"/>
    <x v="0"/>
    <x v="746"/>
    <x v="633"/>
    <x v="316"/>
    <x v="0"/>
    <x v="706"/>
    <x v="619"/>
    <x v="1"/>
    <x v="20"/>
    <x v="15"/>
  </r>
  <r>
    <x v="735"/>
    <x v="99"/>
    <x v="399"/>
    <x v="624"/>
    <x v="624"/>
    <x v="1"/>
    <x v="19"/>
    <x v="19"/>
    <x v="4"/>
    <x v="380"/>
    <x v="196"/>
    <x v="1"/>
    <x v="486"/>
    <x v="264"/>
    <x v="257"/>
    <x v="139"/>
    <x v="427"/>
    <x v="64"/>
    <x v="0"/>
    <x v="732"/>
    <x v="13"/>
  </r>
  <r>
    <x v="37"/>
    <x v="245"/>
    <x v="400"/>
    <x v="805"/>
    <x v="805"/>
    <x v="0"/>
    <x v="9"/>
    <x v="9"/>
    <x v="31"/>
    <x v="388"/>
    <x v="359"/>
    <x v="0"/>
    <x v="1021"/>
    <x v="226"/>
    <x v="630"/>
    <x v="0"/>
    <x v="3"/>
    <x v="537"/>
    <x v="1"/>
    <x v="795"/>
    <x v="29"/>
  </r>
  <r>
    <x v="132"/>
    <x v="214"/>
    <x v="401"/>
    <x v="754"/>
    <x v="754"/>
    <x v="0"/>
    <x v="3"/>
    <x v="3"/>
    <x v="40"/>
    <x v="478"/>
    <x v="477"/>
    <x v="0"/>
    <x v="790"/>
    <x v="232"/>
    <x v="865"/>
    <x v="0"/>
    <x v="452"/>
    <x v="591"/>
    <x v="1"/>
    <x v="1313"/>
    <x v="2"/>
  </r>
  <r>
    <x v="245"/>
    <x v="360"/>
    <x v="402"/>
    <x v="587"/>
    <x v="587"/>
    <x v="0"/>
    <x v="11"/>
    <x v="11"/>
    <x v="2"/>
    <x v="485"/>
    <x v="269"/>
    <x v="0"/>
    <x v="1000"/>
    <x v="364"/>
    <x v="465"/>
    <x v="0"/>
    <x v="406"/>
    <x v="628"/>
    <x v="1"/>
    <x v="1086"/>
    <x v="15"/>
  </r>
  <r>
    <x v="264"/>
    <x v="284"/>
    <x v="403"/>
    <x v="706"/>
    <x v="706"/>
    <x v="0"/>
    <x v="7"/>
    <x v="7"/>
    <x v="47"/>
    <x v="67"/>
    <x v="544"/>
    <x v="0"/>
    <x v="1583"/>
    <x v="189"/>
    <x v="728"/>
    <x v="467"/>
    <x v="775"/>
    <x v="615"/>
    <x v="1"/>
    <x v="1005"/>
    <x v="38"/>
  </r>
  <r>
    <x v="46"/>
    <x v="355"/>
    <x v="404"/>
    <x v="1504"/>
    <x v="1504"/>
    <x v="0"/>
    <x v="3"/>
    <x v="3"/>
    <x v="33"/>
    <x v="405"/>
    <x v="396"/>
    <x v="0"/>
    <x v="1548"/>
    <x v="444"/>
    <x v="839"/>
    <x v="571"/>
    <x v="394"/>
    <x v="626"/>
    <x v="1"/>
    <x v="480"/>
    <x v="30"/>
  </r>
  <r>
    <x v="560"/>
    <x v="432"/>
    <x v="405"/>
    <x v="429"/>
    <x v="429"/>
    <x v="1"/>
    <x v="21"/>
    <x v="21"/>
    <x v="66"/>
    <x v="276"/>
    <x v="166"/>
    <x v="1"/>
    <x v="22"/>
    <x v="101"/>
    <x v="1078"/>
    <x v="587"/>
    <x v="362"/>
    <x v="364"/>
    <x v="1"/>
    <x v="1519"/>
    <x v="23"/>
  </r>
  <r>
    <x v="514"/>
    <x v="367"/>
    <x v="406"/>
    <x v="1066"/>
    <x v="1066"/>
    <x v="0"/>
    <x v="13"/>
    <x v="13"/>
    <x v="60"/>
    <x v="393"/>
    <x v="164"/>
    <x v="1"/>
    <x v="1111"/>
    <x v="87"/>
    <x v="366"/>
    <x v="0"/>
    <x v="48"/>
    <x v="606"/>
    <x v="1"/>
    <x v="1141"/>
    <x v="11"/>
  </r>
  <r>
    <x v="526"/>
    <x v="483"/>
    <x v="433"/>
    <x v="54"/>
    <x v="54"/>
    <x v="1"/>
    <x v="13"/>
    <x v="13"/>
    <x v="47"/>
    <x v="271"/>
    <x v="501"/>
    <x v="0"/>
    <x v="307"/>
    <x v="583"/>
    <x v="861"/>
    <x v="0"/>
    <x v="669"/>
    <x v="655"/>
    <x v="1"/>
    <x v="1667"/>
    <x v="7"/>
  </r>
  <r>
    <x v="698"/>
    <x v="149"/>
    <x v="434"/>
    <x v="138"/>
    <x v="138"/>
    <x v="0"/>
    <x v="20"/>
    <x v="20"/>
    <x v="53"/>
    <x v="486"/>
    <x v="234"/>
    <x v="1"/>
    <x v="1401"/>
    <x v="430"/>
    <x v="930"/>
    <x v="0"/>
    <x v="181"/>
    <x v="530"/>
    <x v="1"/>
    <x v="747"/>
    <x v="23"/>
  </r>
  <r>
    <x v="627"/>
    <x v="232"/>
    <x v="407"/>
    <x v="812"/>
    <x v="812"/>
    <x v="0"/>
    <x v="16"/>
    <x v="16"/>
    <x v="58"/>
    <x v="439"/>
    <x v="211"/>
    <x v="1"/>
    <x v="327"/>
    <x v="373"/>
    <x v="362"/>
    <x v="0"/>
    <x v="747"/>
    <x v="665"/>
    <x v="1"/>
    <x v="357"/>
    <x v="23"/>
  </r>
  <r>
    <x v="676"/>
    <x v="124"/>
    <x v="407"/>
    <x v="353"/>
    <x v="353"/>
    <x v="1"/>
    <x v="17"/>
    <x v="17"/>
    <x v="64"/>
    <x v="400"/>
    <x v="33"/>
    <x v="1"/>
    <x v="748"/>
    <x v="658"/>
    <x v="954"/>
    <x v="0"/>
    <x v="382"/>
    <x v="76"/>
    <x v="0"/>
    <x v="412"/>
    <x v="15"/>
  </r>
  <r>
    <x v="63"/>
    <x v="488"/>
    <x v="408"/>
    <x v="998"/>
    <x v="998"/>
    <x v="0"/>
    <x v="1"/>
    <x v="1"/>
    <x v="42"/>
    <x v="441"/>
    <x v="575"/>
    <x v="0"/>
    <x v="424"/>
    <x v="59"/>
    <x v="666"/>
    <x v="617"/>
    <x v="636"/>
    <x v="750"/>
    <x v="1"/>
    <x v="1063"/>
    <x v="2"/>
  </r>
  <r>
    <x v="801"/>
    <x v="482"/>
    <x v="409"/>
    <x v="126"/>
    <x v="126"/>
    <x v="0"/>
    <x v="21"/>
    <x v="21"/>
    <x v="63"/>
    <x v="309"/>
    <x v="481"/>
    <x v="0"/>
    <x v="1591"/>
    <x v="612"/>
    <x v="1013"/>
    <x v="84"/>
    <x v="251"/>
    <x v="107"/>
    <x v="0"/>
    <x v="469"/>
    <x v="25"/>
  </r>
  <r>
    <x v="284"/>
    <x v="746"/>
    <x v="410"/>
    <x v="1560"/>
    <x v="1560"/>
    <x v="0"/>
    <x v="7"/>
    <x v="7"/>
    <x v="58"/>
    <x v="503"/>
    <x v="233"/>
    <x v="1"/>
    <x v="1459"/>
    <x v="558"/>
    <x v="261"/>
    <x v="68"/>
    <x v="431"/>
    <x v="388"/>
    <x v="1"/>
    <x v="910"/>
    <x v="30"/>
  </r>
  <r>
    <x v="49"/>
    <x v="497"/>
    <x v="411"/>
    <x v="1101"/>
    <x v="1101"/>
    <x v="0"/>
    <x v="7"/>
    <x v="7"/>
    <x v="0"/>
    <x v="335"/>
    <x v="142"/>
    <x v="1"/>
    <x v="369"/>
    <x v="139"/>
    <x v="581"/>
    <x v="0"/>
    <x v="405"/>
    <x v="239"/>
    <x v="0"/>
    <x v="1491"/>
    <x v="30"/>
  </r>
  <r>
    <x v="485"/>
    <x v="18"/>
    <x v="552"/>
    <x v="555"/>
    <x v="555"/>
    <x v="1"/>
    <x v="17"/>
    <x v="17"/>
    <x v="32"/>
    <x v="338"/>
    <x v="337"/>
    <x v="0"/>
    <x v="696"/>
    <x v="201"/>
    <x v="923"/>
    <x v="247"/>
    <x v="478"/>
    <x v="142"/>
    <x v="0"/>
    <x v="887"/>
    <x v="23"/>
  </r>
  <r>
    <x v="517"/>
    <x v="569"/>
    <x v="413"/>
    <x v="340"/>
    <x v="340"/>
    <x v="0"/>
    <x v="13"/>
    <x v="13"/>
    <x v="48"/>
    <x v="295"/>
    <x v="397"/>
    <x v="0"/>
    <x v="565"/>
    <x v="14"/>
    <x v="287"/>
    <x v="371"/>
    <x v="490"/>
    <x v="507"/>
    <x v="1"/>
    <x v="731"/>
    <x v="25"/>
  </r>
  <r>
    <x v="681"/>
    <x v="691"/>
    <x v="1545"/>
    <x v="428"/>
    <x v="428"/>
    <x v="0"/>
    <x v="17"/>
    <x v="17"/>
    <x v="32"/>
    <x v="318"/>
    <x v="510"/>
    <x v="0"/>
    <x v="1665"/>
    <x v="253"/>
    <x v="648"/>
    <x v="126"/>
    <x v="624"/>
    <x v="507"/>
    <x v="1"/>
    <x v="1054"/>
    <x v="25"/>
  </r>
  <r>
    <x v="54"/>
    <x v="592"/>
    <x v="415"/>
    <x v="594"/>
    <x v="594"/>
    <x v="0"/>
    <x v="3"/>
    <x v="3"/>
    <x v="46"/>
    <x v="259"/>
    <x v="450"/>
    <x v="0"/>
    <x v="1048"/>
    <x v="441"/>
    <x v="160"/>
    <x v="0"/>
    <x v="136"/>
    <x v="449"/>
    <x v="1"/>
    <x v="461"/>
    <x v="23"/>
  </r>
  <r>
    <x v="0"/>
    <x v="122"/>
    <x v="1831"/>
    <x v="1328"/>
    <x v="1328"/>
    <x v="1"/>
    <x v="15"/>
    <x v="15"/>
    <x v="0"/>
    <x v="265"/>
    <x v="416"/>
    <x v="0"/>
    <x v="438"/>
    <x v="615"/>
    <x v="865"/>
    <x v="517"/>
    <x v="132"/>
    <x v="666"/>
    <x v="1"/>
    <x v="1209"/>
    <x v="23"/>
  </r>
  <r>
    <x v="55"/>
    <x v="171"/>
    <x v="417"/>
    <x v="1278"/>
    <x v="1278"/>
    <x v="0"/>
    <x v="7"/>
    <x v="7"/>
    <x v="42"/>
    <x v="271"/>
    <x v="165"/>
    <x v="1"/>
    <x v="311"/>
    <x v="4"/>
    <x v="1104"/>
    <x v="0"/>
    <x v="135"/>
    <x v="410"/>
    <x v="1"/>
    <x v="531"/>
    <x v="15"/>
  </r>
  <r>
    <x v="244"/>
    <x v="24"/>
    <x v="418"/>
    <x v="1673"/>
    <x v="1673"/>
    <x v="1"/>
    <x v="8"/>
    <x v="8"/>
    <x v="38"/>
    <x v="434"/>
    <x v="86"/>
    <x v="1"/>
    <x v="587"/>
    <x v="115"/>
    <x v="955"/>
    <x v="0"/>
    <x v="525"/>
    <x v="196"/>
    <x v="0"/>
    <x v="1080"/>
    <x v="23"/>
  </r>
  <r>
    <x v="715"/>
    <x v="405"/>
    <x v="419"/>
    <x v="352"/>
    <x v="352"/>
    <x v="1"/>
    <x v="18"/>
    <x v="18"/>
    <x v="49"/>
    <x v="110"/>
    <x v="371"/>
    <x v="0"/>
    <x v="1133"/>
    <x v="775"/>
    <x v="461"/>
    <x v="0"/>
    <x v="141"/>
    <x v="523"/>
    <x v="1"/>
    <x v="1632"/>
    <x v="7"/>
  </r>
  <r>
    <x v="591"/>
    <x v="85"/>
    <x v="1236"/>
    <x v="676"/>
    <x v="676"/>
    <x v="0"/>
    <x v="15"/>
    <x v="15"/>
    <x v="60"/>
    <x v="314"/>
    <x v="316"/>
    <x v="0"/>
    <x v="476"/>
    <x v="150"/>
    <x v="739"/>
    <x v="0"/>
    <x v="566"/>
    <x v="409"/>
    <x v="1"/>
    <x v="1155"/>
    <x v="33"/>
  </r>
  <r>
    <x v="692"/>
    <x v="224"/>
    <x v="421"/>
    <x v="160"/>
    <x v="160"/>
    <x v="0"/>
    <x v="21"/>
    <x v="21"/>
    <x v="65"/>
    <x v="427"/>
    <x v="393"/>
    <x v="0"/>
    <x v="1128"/>
    <x v="491"/>
    <x v="372"/>
    <x v="0"/>
    <x v="374"/>
    <x v="510"/>
    <x v="1"/>
    <x v="1014"/>
    <x v="23"/>
  </r>
  <r>
    <x v="122"/>
    <x v="655"/>
    <x v="422"/>
    <x v="1095"/>
    <x v="1095"/>
    <x v="0"/>
    <x v="3"/>
    <x v="3"/>
    <x v="49"/>
    <x v="454"/>
    <x v="273"/>
    <x v="0"/>
    <x v="549"/>
    <x v="76"/>
    <x v="493"/>
    <x v="0"/>
    <x v="513"/>
    <x v="718"/>
    <x v="1"/>
    <x v="832"/>
    <x v="23"/>
  </r>
  <r>
    <x v="282"/>
    <x v="636"/>
    <x v="423"/>
    <x v="1519"/>
    <x v="1519"/>
    <x v="0"/>
    <x v="10"/>
    <x v="10"/>
    <x v="63"/>
    <x v="467"/>
    <x v="270"/>
    <x v="0"/>
    <x v="740"/>
    <x v="363"/>
    <x v="525"/>
    <x v="332"/>
    <x v="92"/>
    <x v="381"/>
    <x v="1"/>
    <x v="983"/>
    <x v="15"/>
  </r>
  <r>
    <x v="439"/>
    <x v="610"/>
    <x v="424"/>
    <x v="505"/>
    <x v="505"/>
    <x v="0"/>
    <x v="14"/>
    <x v="14"/>
    <x v="50"/>
    <x v="357"/>
    <x v="557"/>
    <x v="0"/>
    <x v="1424"/>
    <x v="528"/>
    <x v="305"/>
    <x v="0"/>
    <x v="656"/>
    <x v="745"/>
    <x v="1"/>
    <x v="1146"/>
    <x v="14"/>
  </r>
  <r>
    <x v="444"/>
    <x v="365"/>
    <x v="425"/>
    <x v="1516"/>
    <x v="1516"/>
    <x v="1"/>
    <x v="17"/>
    <x v="17"/>
    <x v="60"/>
    <x v="486"/>
    <x v="141"/>
    <x v="1"/>
    <x v="860"/>
    <x v="563"/>
    <x v="1072"/>
    <x v="0"/>
    <x v="414"/>
    <x v="239"/>
    <x v="0"/>
    <x v="453"/>
    <x v="15"/>
  </r>
  <r>
    <x v="30"/>
    <x v="489"/>
    <x v="426"/>
    <x v="1610"/>
    <x v="1610"/>
    <x v="0"/>
    <x v="2"/>
    <x v="2"/>
    <x v="39"/>
    <x v="334"/>
    <x v="220"/>
    <x v="1"/>
    <x v="274"/>
    <x v="322"/>
    <x v="619"/>
    <x v="506"/>
    <x v="342"/>
    <x v="512"/>
    <x v="1"/>
    <x v="495"/>
    <x v="23"/>
  </r>
  <r>
    <x v="145"/>
    <x v="67"/>
    <x v="426"/>
    <x v="424"/>
    <x v="424"/>
    <x v="0"/>
    <x v="6"/>
    <x v="6"/>
    <x v="44"/>
    <x v="162"/>
    <x v="395"/>
    <x v="0"/>
    <x v="1579"/>
    <x v="130"/>
    <x v="240"/>
    <x v="0"/>
    <x v="641"/>
    <x v="327"/>
    <x v="0"/>
    <x v="1506"/>
    <x v="23"/>
  </r>
  <r>
    <x v="60"/>
    <x v="393"/>
    <x v="427"/>
    <x v="1271"/>
    <x v="1271"/>
    <x v="0"/>
    <x v="2"/>
    <x v="2"/>
    <x v="41"/>
    <x v="489"/>
    <x v="224"/>
    <x v="1"/>
    <x v="158"/>
    <x v="186"/>
    <x v="705"/>
    <x v="0"/>
    <x v="37"/>
    <x v="280"/>
    <x v="0"/>
    <x v="1354"/>
    <x v="30"/>
  </r>
  <r>
    <x v="290"/>
    <x v="160"/>
    <x v="428"/>
    <x v="869"/>
    <x v="869"/>
    <x v="0"/>
    <x v="14"/>
    <x v="14"/>
    <x v="48"/>
    <x v="237"/>
    <x v="292"/>
    <x v="0"/>
    <x v="869"/>
    <x v="248"/>
    <x v="646"/>
    <x v="0"/>
    <x v="448"/>
    <x v="88"/>
    <x v="0"/>
    <x v="1185"/>
    <x v="15"/>
  </r>
  <r>
    <x v="457"/>
    <x v="357"/>
    <x v="429"/>
    <x v="502"/>
    <x v="502"/>
    <x v="0"/>
    <x v="13"/>
    <x v="13"/>
    <x v="49"/>
    <x v="306"/>
    <x v="408"/>
    <x v="0"/>
    <x v="1013"/>
    <x v="368"/>
    <x v="436"/>
    <x v="0"/>
    <x v="438"/>
    <x v="470"/>
    <x v="1"/>
    <x v="965"/>
    <x v="11"/>
  </r>
  <r>
    <x v="235"/>
    <x v="503"/>
    <x v="430"/>
    <x v="683"/>
    <x v="683"/>
    <x v="0"/>
    <x v="20"/>
    <x v="20"/>
    <x v="54"/>
    <x v="416"/>
    <x v="213"/>
    <x v="1"/>
    <x v="554"/>
    <x v="398"/>
    <x v="1044"/>
    <x v="0"/>
    <x v="396"/>
    <x v="265"/>
    <x v="0"/>
    <x v="527"/>
    <x v="23"/>
  </r>
  <r>
    <x v="214"/>
    <x v="283"/>
    <x v="431"/>
    <x v="1299"/>
    <x v="1299"/>
    <x v="0"/>
    <x v="5"/>
    <x v="5"/>
    <x v="35"/>
    <x v="290"/>
    <x v="70"/>
    <x v="1"/>
    <x v="234"/>
    <x v="95"/>
    <x v="1096"/>
    <x v="0"/>
    <x v="520"/>
    <x v="83"/>
    <x v="0"/>
    <x v="1301"/>
    <x v="15"/>
  </r>
  <r>
    <x v="479"/>
    <x v="718"/>
    <x v="432"/>
    <x v="641"/>
    <x v="641"/>
    <x v="0"/>
    <x v="14"/>
    <x v="14"/>
    <x v="62"/>
    <x v="247"/>
    <x v="440"/>
    <x v="0"/>
    <x v="1528"/>
    <x v="247"/>
    <x v="854"/>
    <x v="0"/>
    <x v="420"/>
    <x v="285"/>
    <x v="0"/>
    <x v="1244"/>
    <x v="25"/>
  </r>
  <r>
    <x v="452"/>
    <x v="7"/>
    <x v="435"/>
    <x v="265"/>
    <x v="265"/>
    <x v="1"/>
    <x v="10"/>
    <x v="10"/>
    <x v="56"/>
    <x v="424"/>
    <x v="314"/>
    <x v="0"/>
    <x v="1384"/>
    <x v="712"/>
    <x v="405"/>
    <x v="0"/>
    <x v="492"/>
    <x v="355"/>
    <x v="1"/>
    <x v="1280"/>
    <x v="18"/>
  </r>
  <r>
    <x v="245"/>
    <x v="360"/>
    <x v="436"/>
    <x v="626"/>
    <x v="626"/>
    <x v="0"/>
    <x v="11"/>
    <x v="11"/>
    <x v="3"/>
    <x v="292"/>
    <x v="296"/>
    <x v="0"/>
    <x v="1138"/>
    <x v="69"/>
    <x v="358"/>
    <x v="0"/>
    <x v="270"/>
    <x v="516"/>
    <x v="1"/>
    <x v="4"/>
    <x v="15"/>
  </r>
  <r>
    <x v="170"/>
    <x v="147"/>
    <x v="437"/>
    <x v="1743"/>
    <x v="1743"/>
    <x v="1"/>
    <x v="4"/>
    <x v="4"/>
    <x v="33"/>
    <x v="275"/>
    <x v="194"/>
    <x v="1"/>
    <x v="258"/>
    <x v="763"/>
    <x v="979"/>
    <x v="0"/>
    <x v="757"/>
    <x v="360"/>
    <x v="1"/>
    <x v="134"/>
    <x v="23"/>
  </r>
  <r>
    <x v="444"/>
    <x v="365"/>
    <x v="438"/>
    <x v="1005"/>
    <x v="1005"/>
    <x v="0"/>
    <x v="12"/>
    <x v="12"/>
    <x v="58"/>
    <x v="335"/>
    <x v="201"/>
    <x v="1"/>
    <x v="205"/>
    <x v="579"/>
    <x v="547"/>
    <x v="0"/>
    <x v="415"/>
    <x v="431"/>
    <x v="1"/>
    <x v="1650"/>
    <x v="15"/>
  </r>
  <r>
    <x v="524"/>
    <x v="639"/>
    <x v="439"/>
    <x v="193"/>
    <x v="193"/>
    <x v="0"/>
    <x v="13"/>
    <x v="13"/>
    <x v="45"/>
    <x v="388"/>
    <x v="480"/>
    <x v="0"/>
    <x v="1068"/>
    <x v="474"/>
    <x v="792"/>
    <x v="0"/>
    <x v="537"/>
    <x v="619"/>
    <x v="1"/>
    <x v="800"/>
    <x v="7"/>
  </r>
  <r>
    <x v="559"/>
    <x v="584"/>
    <x v="440"/>
    <x v="255"/>
    <x v="255"/>
    <x v="0"/>
    <x v="17"/>
    <x v="17"/>
    <x v="65"/>
    <x v="365"/>
    <x v="304"/>
    <x v="0"/>
    <x v="707"/>
    <x v="114"/>
    <x v="851"/>
    <x v="0"/>
    <x v="160"/>
    <x v="432"/>
    <x v="1"/>
    <x v="1415"/>
    <x v="23"/>
  </r>
  <r>
    <x v="238"/>
    <x v="576"/>
    <x v="441"/>
    <x v="718"/>
    <x v="718"/>
    <x v="0"/>
    <x v="6"/>
    <x v="6"/>
    <x v="42"/>
    <x v="442"/>
    <x v="562"/>
    <x v="0"/>
    <x v="1321"/>
    <x v="169"/>
    <x v="915"/>
    <x v="0"/>
    <x v="113"/>
    <x v="505"/>
    <x v="1"/>
    <x v="1300"/>
    <x v="23"/>
  </r>
  <r>
    <x v="371"/>
    <x v="130"/>
    <x v="442"/>
    <x v="1224"/>
    <x v="1224"/>
    <x v="0"/>
    <x v="14"/>
    <x v="14"/>
    <x v="47"/>
    <x v="300"/>
    <x v="486"/>
    <x v="0"/>
    <x v="1235"/>
    <x v="252"/>
    <x v="605"/>
    <x v="323"/>
    <x v="87"/>
    <x v="370"/>
    <x v="1"/>
    <x v="1222"/>
    <x v="13"/>
  </r>
  <r>
    <x v="85"/>
    <x v="782"/>
    <x v="443"/>
    <x v="314"/>
    <x v="314"/>
    <x v="0"/>
    <x v="14"/>
    <x v="14"/>
    <x v="63"/>
    <x v="400"/>
    <x v="437"/>
    <x v="0"/>
    <x v="1536"/>
    <x v="68"/>
    <x v="102"/>
    <x v="206"/>
    <x v="257"/>
    <x v="551"/>
    <x v="1"/>
    <x v="978"/>
    <x v="23"/>
  </r>
  <r>
    <x v="215"/>
    <x v="698"/>
    <x v="444"/>
    <x v="1512"/>
    <x v="1512"/>
    <x v="1"/>
    <x v="6"/>
    <x v="6"/>
    <x v="25"/>
    <x v="517"/>
    <x v="230"/>
    <x v="1"/>
    <x v="1361"/>
    <x v="675"/>
    <x v="907"/>
    <x v="0"/>
    <x v="406"/>
    <x v="509"/>
    <x v="1"/>
    <x v="276"/>
    <x v="11"/>
  </r>
  <r>
    <x v="85"/>
    <x v="782"/>
    <x v="445"/>
    <x v="1461"/>
    <x v="1461"/>
    <x v="0"/>
    <x v="3"/>
    <x v="3"/>
    <x v="63"/>
    <x v="121"/>
    <x v="240"/>
    <x v="1"/>
    <x v="644"/>
    <x v="24"/>
    <x v="891"/>
    <x v="0"/>
    <x v="458"/>
    <x v="339"/>
    <x v="0"/>
    <x v="69"/>
    <x v="23"/>
  </r>
  <r>
    <x v="700"/>
    <x v="535"/>
    <x v="1102"/>
    <x v="657"/>
    <x v="657"/>
    <x v="0"/>
    <x v="17"/>
    <x v="17"/>
    <x v="31"/>
    <x v="218"/>
    <x v="333"/>
    <x v="0"/>
    <x v="691"/>
    <x v="198"/>
    <x v="187"/>
    <x v="205"/>
    <x v="564"/>
    <x v="144"/>
    <x v="0"/>
    <x v="1536"/>
    <x v="2"/>
  </r>
  <r>
    <x v="191"/>
    <x v="90"/>
    <x v="447"/>
    <x v="1753"/>
    <x v="1753"/>
    <x v="1"/>
    <x v="16"/>
    <x v="16"/>
    <x v="56"/>
    <x v="224"/>
    <x v="223"/>
    <x v="1"/>
    <x v="343"/>
    <x v="209"/>
    <x v="345"/>
    <x v="512"/>
    <x v="485"/>
    <x v="253"/>
    <x v="0"/>
    <x v="1454"/>
    <x v="30"/>
  </r>
  <r>
    <x v="37"/>
    <x v="245"/>
    <x v="448"/>
    <x v="378"/>
    <x v="378"/>
    <x v="0"/>
    <x v="18"/>
    <x v="18"/>
    <x v="54"/>
    <x v="351"/>
    <x v="508"/>
    <x v="0"/>
    <x v="1504"/>
    <x v="568"/>
    <x v="786"/>
    <x v="0"/>
    <x v="439"/>
    <x v="681"/>
    <x v="1"/>
    <x v="253"/>
    <x v="29"/>
  </r>
  <r>
    <x v="566"/>
    <x v="461"/>
    <x v="186"/>
    <x v="616"/>
    <x v="616"/>
    <x v="0"/>
    <x v="17"/>
    <x v="17"/>
    <x v="1"/>
    <x v="411"/>
    <x v="496"/>
    <x v="0"/>
    <x v="1147"/>
    <x v="341"/>
    <x v="536"/>
    <x v="0"/>
    <x v="606"/>
    <x v="659"/>
    <x v="1"/>
    <x v="743"/>
    <x v="23"/>
  </r>
  <r>
    <x v="708"/>
    <x v="832"/>
    <x v="450"/>
    <x v="1202"/>
    <x v="1202"/>
    <x v="0"/>
    <x v="19"/>
    <x v="19"/>
    <x v="63"/>
    <x v="9"/>
    <x v="73"/>
    <x v="1"/>
    <x v="423"/>
    <x v="130"/>
    <x v="844"/>
    <x v="15"/>
    <x v="410"/>
    <x v="21"/>
    <x v="0"/>
    <x v="1779"/>
    <x v="25"/>
  </r>
  <r>
    <x v="471"/>
    <x v="724"/>
    <x v="451"/>
    <x v="438"/>
    <x v="438"/>
    <x v="0"/>
    <x v="12"/>
    <x v="12"/>
    <x v="66"/>
    <x v="386"/>
    <x v="383"/>
    <x v="0"/>
    <x v="1391"/>
    <x v="498"/>
    <x v="208"/>
    <x v="0"/>
    <x v="27"/>
    <x v="639"/>
    <x v="1"/>
    <x v="895"/>
    <x v="11"/>
  </r>
  <r>
    <x v="397"/>
    <x v="398"/>
    <x v="452"/>
    <x v="1023"/>
    <x v="1023"/>
    <x v="0"/>
    <x v="14"/>
    <x v="14"/>
    <x v="51"/>
    <x v="255"/>
    <x v="469"/>
    <x v="0"/>
    <x v="852"/>
    <x v="639"/>
    <x v="419"/>
    <x v="0"/>
    <x v="651"/>
    <x v="587"/>
    <x v="1"/>
    <x v="1596"/>
    <x v="23"/>
  </r>
  <r>
    <x v="824"/>
    <x v="796"/>
    <x v="453"/>
    <x v="234"/>
    <x v="234"/>
    <x v="1"/>
    <x v="21"/>
    <x v="21"/>
    <x v="66"/>
    <x v="189"/>
    <x v="116"/>
    <x v="1"/>
    <x v="97"/>
    <x v="389"/>
    <x v="960"/>
    <x v="151"/>
    <x v="774"/>
    <x v="262"/>
    <x v="0"/>
    <x v="74"/>
    <x v="7"/>
  </r>
  <r>
    <x v="643"/>
    <x v="762"/>
    <x v="454"/>
    <x v="1377"/>
    <x v="1377"/>
    <x v="0"/>
    <x v="16"/>
    <x v="16"/>
    <x v="62"/>
    <x v="294"/>
    <x v="41"/>
    <x v="1"/>
    <x v="625"/>
    <x v="52"/>
    <x v="1069"/>
    <x v="0"/>
    <x v="387"/>
    <x v="273"/>
    <x v="0"/>
    <x v="876"/>
    <x v="30"/>
  </r>
  <r>
    <x v="516"/>
    <x v="429"/>
    <x v="455"/>
    <x v="1577"/>
    <x v="1577"/>
    <x v="1"/>
    <x v="14"/>
    <x v="14"/>
    <x v="48"/>
    <x v="177"/>
    <x v="456"/>
    <x v="0"/>
    <x v="1315"/>
    <x v="565"/>
    <x v="851"/>
    <x v="0"/>
    <x v="571"/>
    <x v="126"/>
    <x v="0"/>
    <x v="1606"/>
    <x v="23"/>
  </r>
  <r>
    <x v="632"/>
    <x v="8"/>
    <x v="456"/>
    <x v="33"/>
    <x v="33"/>
    <x v="0"/>
    <x v="21"/>
    <x v="21"/>
    <x v="1"/>
    <x v="144"/>
    <x v="67"/>
    <x v="1"/>
    <x v="730"/>
    <x v="680"/>
    <x v="1110"/>
    <x v="0"/>
    <x v="391"/>
    <x v="452"/>
    <x v="1"/>
    <x v="1756"/>
    <x v="23"/>
  </r>
  <r>
    <x v="779"/>
    <x v="89"/>
    <x v="457"/>
    <x v="92"/>
    <x v="92"/>
    <x v="0"/>
    <x v="20"/>
    <x v="20"/>
    <x v="61"/>
    <x v="195"/>
    <x v="281"/>
    <x v="0"/>
    <x v="225"/>
    <x v="764"/>
    <x v="1138"/>
    <x v="0"/>
    <x v="420"/>
    <x v="177"/>
    <x v="0"/>
    <x v="203"/>
    <x v="11"/>
  </r>
  <r>
    <x v="193"/>
    <x v="98"/>
    <x v="714"/>
    <x v="1659"/>
    <x v="1659"/>
    <x v="0"/>
    <x v="11"/>
    <x v="11"/>
    <x v="66"/>
    <x v="378"/>
    <x v="366"/>
    <x v="0"/>
    <x v="478"/>
    <x v="15"/>
    <x v="793"/>
    <x v="0"/>
    <x v="711"/>
    <x v="445"/>
    <x v="1"/>
    <x v="1179"/>
    <x v="11"/>
  </r>
  <r>
    <x v="386"/>
    <x v="672"/>
    <x v="459"/>
    <x v="423"/>
    <x v="423"/>
    <x v="0"/>
    <x v="12"/>
    <x v="12"/>
    <x v="60"/>
    <x v="355"/>
    <x v="210"/>
    <x v="1"/>
    <x v="1238"/>
    <x v="70"/>
    <x v="643"/>
    <x v="0"/>
    <x v="417"/>
    <x v="649"/>
    <x v="1"/>
    <x v="953"/>
    <x v="15"/>
  </r>
  <r>
    <x v="581"/>
    <x v="677"/>
    <x v="579"/>
    <x v="853"/>
    <x v="853"/>
    <x v="1"/>
    <x v="17"/>
    <x v="17"/>
    <x v="0"/>
    <x v="235"/>
    <x v="277"/>
    <x v="0"/>
    <x v="462"/>
    <x v="368"/>
    <x v="892"/>
    <x v="0"/>
    <x v="219"/>
    <x v="95"/>
    <x v="0"/>
    <x v="196"/>
    <x v="23"/>
  </r>
  <r>
    <x v="604"/>
    <x v="689"/>
    <x v="461"/>
    <x v="1438"/>
    <x v="1438"/>
    <x v="0"/>
    <x v="16"/>
    <x v="16"/>
    <x v="56"/>
    <x v="75"/>
    <x v="391"/>
    <x v="0"/>
    <x v="955"/>
    <x v="235"/>
    <x v="366"/>
    <x v="231"/>
    <x v="450"/>
    <x v="341"/>
    <x v="0"/>
    <x v="1297"/>
    <x v="23"/>
  </r>
  <r>
    <x v="593"/>
    <x v="833"/>
    <x v="747"/>
    <x v="1198"/>
    <x v="1198"/>
    <x v="0"/>
    <x v="17"/>
    <x v="17"/>
    <x v="0"/>
    <x v="196"/>
    <x v="477"/>
    <x v="0"/>
    <x v="1645"/>
    <x v="373"/>
    <x v="282"/>
    <x v="181"/>
    <x v="575"/>
    <x v="229"/>
    <x v="0"/>
    <x v="1277"/>
    <x v="13"/>
  </r>
  <r>
    <x v="806"/>
    <x v="330"/>
    <x v="463"/>
    <x v="9"/>
    <x v="9"/>
    <x v="0"/>
    <x v="21"/>
    <x v="21"/>
    <x v="58"/>
    <x v="265"/>
    <x v="232"/>
    <x v="1"/>
    <x v="528"/>
    <x v="139"/>
    <x v="378"/>
    <x v="0"/>
    <x v="446"/>
    <x v="59"/>
    <x v="0"/>
    <x v="94"/>
    <x v="11"/>
  </r>
  <r>
    <x v="34"/>
    <x v="361"/>
    <x v="464"/>
    <x v="1594"/>
    <x v="1594"/>
    <x v="1"/>
    <x v="11"/>
    <x v="11"/>
    <x v="68"/>
    <x v="130"/>
    <x v="555"/>
    <x v="0"/>
    <x v="1662"/>
    <x v="805"/>
    <x v="500"/>
    <x v="0"/>
    <x v="699"/>
    <x v="635"/>
    <x v="1"/>
    <x v="1741"/>
    <x v="7"/>
  </r>
  <r>
    <x v="178"/>
    <x v="37"/>
    <x v="465"/>
    <x v="741"/>
    <x v="741"/>
    <x v="0"/>
    <x v="11"/>
    <x v="11"/>
    <x v="57"/>
    <x v="124"/>
    <x v="38"/>
    <x v="1"/>
    <x v="204"/>
    <x v="88"/>
    <x v="1181"/>
    <x v="286"/>
    <x v="422"/>
    <x v="45"/>
    <x v="0"/>
    <x v="287"/>
    <x v="30"/>
  </r>
  <r>
    <x v="37"/>
    <x v="245"/>
    <x v="466"/>
    <x v="562"/>
    <x v="562"/>
    <x v="0"/>
    <x v="3"/>
    <x v="3"/>
    <x v="42"/>
    <x v="410"/>
    <x v="444"/>
    <x v="0"/>
    <x v="830"/>
    <x v="45"/>
    <x v="488"/>
    <x v="428"/>
    <x v="439"/>
    <x v="680"/>
    <x v="1"/>
    <x v="1093"/>
    <x v="29"/>
  </r>
  <r>
    <x v="120"/>
    <x v="62"/>
    <x v="467"/>
    <x v="305"/>
    <x v="305"/>
    <x v="0"/>
    <x v="3"/>
    <x v="3"/>
    <x v="44"/>
    <x v="213"/>
    <x v="185"/>
    <x v="1"/>
    <x v="354"/>
    <x v="66"/>
    <x v="703"/>
    <x v="592"/>
    <x v="169"/>
    <x v="257"/>
    <x v="0"/>
    <x v="136"/>
    <x v="23"/>
  </r>
  <r>
    <x v="7"/>
    <x v="642"/>
    <x v="468"/>
    <x v="1712"/>
    <x v="1712"/>
    <x v="0"/>
    <x v="3"/>
    <x v="3"/>
    <x v="34"/>
    <x v="113"/>
    <x v="20"/>
    <x v="1"/>
    <x v="166"/>
    <x v="15"/>
    <x v="1116"/>
    <x v="152"/>
    <x v="345"/>
    <x v="83"/>
    <x v="0"/>
    <x v="52"/>
    <x v="33"/>
  </r>
  <r>
    <x v="332"/>
    <x v="139"/>
    <x v="469"/>
    <x v="528"/>
    <x v="528"/>
    <x v="0"/>
    <x v="11"/>
    <x v="11"/>
    <x v="49"/>
    <x v="397"/>
    <x v="303"/>
    <x v="0"/>
    <x v="643"/>
    <x v="174"/>
    <x v="408"/>
    <x v="0"/>
    <x v="603"/>
    <x v="710"/>
    <x v="1"/>
    <x v="1148"/>
    <x v="13"/>
  </r>
  <r>
    <x v="179"/>
    <x v="169"/>
    <x v="470"/>
    <x v="1232"/>
    <x v="1232"/>
    <x v="0"/>
    <x v="13"/>
    <x v="13"/>
    <x v="55"/>
    <x v="79"/>
    <x v="333"/>
    <x v="0"/>
    <x v="349"/>
    <x v="140"/>
    <x v="146"/>
    <x v="643"/>
    <x v="475"/>
    <x v="190"/>
    <x v="0"/>
    <x v="843"/>
    <x v="47"/>
  </r>
  <r>
    <x v="451"/>
    <x v="371"/>
    <x v="471"/>
    <x v="307"/>
    <x v="307"/>
    <x v="0"/>
    <x v="15"/>
    <x v="15"/>
    <x v="25"/>
    <x v="340"/>
    <x v="383"/>
    <x v="0"/>
    <x v="607"/>
    <x v="74"/>
    <x v="721"/>
    <x v="0"/>
    <x v="643"/>
    <x v="489"/>
    <x v="1"/>
    <x v="1452"/>
    <x v="23"/>
  </r>
  <r>
    <x v="643"/>
    <x v="762"/>
    <x v="795"/>
    <x v="1135"/>
    <x v="1135"/>
    <x v="1"/>
    <x v="17"/>
    <x v="17"/>
    <x v="0"/>
    <x v="120"/>
    <x v="283"/>
    <x v="0"/>
    <x v="977"/>
    <x v="595"/>
    <x v="719"/>
    <x v="0"/>
    <x v="60"/>
    <x v="347"/>
    <x v="1"/>
    <x v="1695"/>
    <x v="30"/>
  </r>
  <r>
    <x v="304"/>
    <x v="391"/>
    <x v="473"/>
    <x v="766"/>
    <x v="766"/>
    <x v="0"/>
    <x v="7"/>
    <x v="7"/>
    <x v="44"/>
    <x v="129"/>
    <x v="555"/>
    <x v="0"/>
    <x v="1113"/>
    <x v="150"/>
    <x v="241"/>
    <x v="153"/>
    <x v="539"/>
    <x v="415"/>
    <x v="1"/>
    <x v="1649"/>
    <x v="38"/>
  </r>
  <r>
    <x v="0"/>
    <x v="122"/>
    <x v="474"/>
    <x v="1036"/>
    <x v="1036"/>
    <x v="0"/>
    <x v="5"/>
    <x v="5"/>
    <x v="49"/>
    <x v="58"/>
    <x v="12"/>
    <x v="1"/>
    <x v="12"/>
    <x v="84"/>
    <x v="1206"/>
    <x v="349"/>
    <x v="420"/>
    <x v="31"/>
    <x v="0"/>
    <x v="705"/>
    <x v="23"/>
  </r>
  <r>
    <x v="332"/>
    <x v="139"/>
    <x v="475"/>
    <x v="367"/>
    <x v="367"/>
    <x v="0"/>
    <x v="13"/>
    <x v="13"/>
    <x v="0"/>
    <x v="275"/>
    <x v="571"/>
    <x v="0"/>
    <x v="806"/>
    <x v="289"/>
    <x v="239"/>
    <x v="238"/>
    <x v="653"/>
    <x v="335"/>
    <x v="0"/>
    <x v="1480"/>
    <x v="13"/>
  </r>
  <r>
    <x v="104"/>
    <x v="281"/>
    <x v="476"/>
    <x v="654"/>
    <x v="654"/>
    <x v="0"/>
    <x v="3"/>
    <x v="3"/>
    <x v="36"/>
    <x v="317"/>
    <x v="517"/>
    <x v="0"/>
    <x v="770"/>
    <x v="66"/>
    <x v="888"/>
    <x v="698"/>
    <x v="627"/>
    <x v="615"/>
    <x v="1"/>
    <x v="1395"/>
    <x v="25"/>
  </r>
  <r>
    <x v="676"/>
    <x v="124"/>
    <x v="477"/>
    <x v="295"/>
    <x v="295"/>
    <x v="1"/>
    <x v="17"/>
    <x v="17"/>
    <x v="62"/>
    <x v="164"/>
    <x v="70"/>
    <x v="1"/>
    <x v="30"/>
    <x v="648"/>
    <x v="849"/>
    <x v="0"/>
    <x v="439"/>
    <x v="144"/>
    <x v="0"/>
    <x v="1653"/>
    <x v="15"/>
  </r>
  <r>
    <x v="34"/>
    <x v="361"/>
    <x v="478"/>
    <x v="1612"/>
    <x v="1612"/>
    <x v="1"/>
    <x v="4"/>
    <x v="4"/>
    <x v="42"/>
    <x v="349"/>
    <x v="462"/>
    <x v="0"/>
    <x v="751"/>
    <x v="736"/>
    <x v="508"/>
    <x v="0"/>
    <x v="318"/>
    <x v="699"/>
    <x v="1"/>
    <x v="284"/>
    <x v="7"/>
  </r>
  <r>
    <x v="245"/>
    <x v="360"/>
    <x v="479"/>
    <x v="241"/>
    <x v="241"/>
    <x v="0"/>
    <x v="6"/>
    <x v="6"/>
    <x v="28"/>
    <x v="435"/>
    <x v="273"/>
    <x v="0"/>
    <x v="967"/>
    <x v="493"/>
    <x v="749"/>
    <x v="0"/>
    <x v="440"/>
    <x v="453"/>
    <x v="1"/>
    <x v="402"/>
    <x v="15"/>
  </r>
  <r>
    <x v="54"/>
    <x v="592"/>
    <x v="480"/>
    <x v="656"/>
    <x v="656"/>
    <x v="1"/>
    <x v="12"/>
    <x v="12"/>
    <x v="46"/>
    <x v="198"/>
    <x v="272"/>
    <x v="0"/>
    <x v="1037"/>
    <x v="117"/>
    <x v="581"/>
    <x v="0"/>
    <x v="643"/>
    <x v="296"/>
    <x v="0"/>
    <x v="262"/>
    <x v="23"/>
  </r>
  <r>
    <x v="583"/>
    <x v="15"/>
    <x v="481"/>
    <x v="1100"/>
    <x v="1100"/>
    <x v="1"/>
    <x v="15"/>
    <x v="15"/>
    <x v="62"/>
    <x v="483"/>
    <x v="294"/>
    <x v="0"/>
    <x v="352"/>
    <x v="728"/>
    <x v="463"/>
    <x v="0"/>
    <x v="414"/>
    <x v="495"/>
    <x v="1"/>
    <x v="382"/>
    <x v="7"/>
  </r>
  <r>
    <x v="384"/>
    <x v="749"/>
    <x v="482"/>
    <x v="253"/>
    <x v="253"/>
    <x v="0"/>
    <x v="8"/>
    <x v="8"/>
    <x v="60"/>
    <x v="181"/>
    <x v="532"/>
    <x v="0"/>
    <x v="1647"/>
    <x v="142"/>
    <x v="66"/>
    <x v="0"/>
    <x v="431"/>
    <x v="309"/>
    <x v="0"/>
    <x v="289"/>
    <x v="23"/>
  </r>
  <r>
    <x v="549"/>
    <x v="795"/>
    <x v="483"/>
    <x v="519"/>
    <x v="519"/>
    <x v="1"/>
    <x v="14"/>
    <x v="14"/>
    <x v="44"/>
    <x v="463"/>
    <x v="268"/>
    <x v="0"/>
    <x v="134"/>
    <x v="651"/>
    <x v="353"/>
    <x v="0"/>
    <x v="636"/>
    <x v="195"/>
    <x v="0"/>
    <x v="361"/>
    <x v="11"/>
  </r>
  <r>
    <x v="605"/>
    <x v="834"/>
    <x v="483"/>
    <x v="895"/>
    <x v="895"/>
    <x v="0"/>
    <x v="16"/>
    <x v="16"/>
    <x v="35"/>
    <x v="491"/>
    <x v="99"/>
    <x v="1"/>
    <x v="297"/>
    <x v="226"/>
    <x v="327"/>
    <x v="713"/>
    <x v="426"/>
    <x v="435"/>
    <x v="1"/>
    <x v="1051"/>
    <x v="2"/>
  </r>
  <r>
    <x v="693"/>
    <x v="25"/>
    <x v="483"/>
    <x v="626"/>
    <x v="626"/>
    <x v="0"/>
    <x v="20"/>
    <x v="20"/>
    <x v="64"/>
    <x v="112"/>
    <x v="229"/>
    <x v="1"/>
    <x v="915"/>
    <x v="216"/>
    <x v="490"/>
    <x v="179"/>
    <x v="414"/>
    <x v="56"/>
    <x v="0"/>
    <x v="1772"/>
    <x v="2"/>
  </r>
  <r>
    <x v="19"/>
    <x v="460"/>
    <x v="484"/>
    <x v="46"/>
    <x v="46"/>
    <x v="0"/>
    <x v="5"/>
    <x v="5"/>
    <x v="58"/>
    <x v="189"/>
    <x v="572"/>
    <x v="0"/>
    <x v="1438"/>
    <x v="596"/>
    <x v="853"/>
    <x v="0"/>
    <x v="213"/>
    <x v="431"/>
    <x v="1"/>
    <x v="1370"/>
    <x v="46"/>
  </r>
  <r>
    <x v="370"/>
    <x v="676"/>
    <x v="485"/>
    <x v="288"/>
    <x v="288"/>
    <x v="1"/>
    <x v="9"/>
    <x v="9"/>
    <x v="59"/>
    <x v="246"/>
    <x v="549"/>
    <x v="0"/>
    <x v="1451"/>
    <x v="256"/>
    <x v="122"/>
    <x v="29"/>
    <x v="96"/>
    <x v="443"/>
    <x v="1"/>
    <x v="1331"/>
    <x v="46"/>
  </r>
  <r>
    <x v="88"/>
    <x v="508"/>
    <x v="486"/>
    <x v="1510"/>
    <x v="1510"/>
    <x v="0"/>
    <x v="3"/>
    <x v="3"/>
    <x v="62"/>
    <x v="532"/>
    <x v="160"/>
    <x v="1"/>
    <x v="1382"/>
    <x v="190"/>
    <x v="872"/>
    <x v="289"/>
    <x v="303"/>
    <x v="757"/>
    <x v="1"/>
    <x v="286"/>
    <x v="30"/>
  </r>
  <r>
    <x v="601"/>
    <x v="333"/>
    <x v="487"/>
    <x v="381"/>
    <x v="381"/>
    <x v="1"/>
    <x v="16"/>
    <x v="16"/>
    <x v="55"/>
    <x v="533"/>
    <x v="317"/>
    <x v="0"/>
    <x v="1253"/>
    <x v="399"/>
    <x v="809"/>
    <x v="0"/>
    <x v="73"/>
    <x v="231"/>
    <x v="0"/>
    <x v="343"/>
    <x v="11"/>
  </r>
  <r>
    <x v="101"/>
    <x v="565"/>
    <x v="488"/>
    <x v="1182"/>
    <x v="1182"/>
    <x v="0"/>
    <x v="7"/>
    <x v="7"/>
    <x v="56"/>
    <x v="157"/>
    <x v="397"/>
    <x v="0"/>
    <x v="883"/>
    <x v="57"/>
    <x v="69"/>
    <x v="0"/>
    <x v="411"/>
    <x v="159"/>
    <x v="0"/>
    <x v="1336"/>
    <x v="46"/>
  </r>
  <r>
    <x v="679"/>
    <x v="379"/>
    <x v="489"/>
    <x v="634"/>
    <x v="634"/>
    <x v="0"/>
    <x v="17"/>
    <x v="17"/>
    <x v="53"/>
    <x v="279"/>
    <x v="175"/>
    <x v="1"/>
    <x v="329"/>
    <x v="258"/>
    <x v="1109"/>
    <x v="0"/>
    <x v="592"/>
    <x v="367"/>
    <x v="1"/>
    <x v="773"/>
    <x v="25"/>
  </r>
  <r>
    <x v="679"/>
    <x v="379"/>
    <x v="489"/>
    <x v="634"/>
    <x v="634"/>
    <x v="0"/>
    <x v="17"/>
    <x v="17"/>
    <x v="1"/>
    <x v="106"/>
    <x v="191"/>
    <x v="1"/>
    <x v="332"/>
    <x v="460"/>
    <x v="1102"/>
    <x v="0"/>
    <x v="597"/>
    <x v="418"/>
    <x v="1"/>
    <x v="769"/>
    <x v="25"/>
  </r>
  <r>
    <x v="109"/>
    <x v="309"/>
    <x v="490"/>
    <x v="879"/>
    <x v="879"/>
    <x v="0"/>
    <x v="7"/>
    <x v="7"/>
    <x v="68"/>
    <x v="451"/>
    <x v="306"/>
    <x v="0"/>
    <x v="399"/>
    <x v="641"/>
    <x v="322"/>
    <x v="560"/>
    <x v="740"/>
    <x v="598"/>
    <x v="1"/>
    <x v="1418"/>
    <x v="7"/>
  </r>
  <r>
    <x v="371"/>
    <x v="130"/>
    <x v="491"/>
    <x v="513"/>
    <x v="513"/>
    <x v="0"/>
    <x v="14"/>
    <x v="14"/>
    <x v="65"/>
    <x v="342"/>
    <x v="524"/>
    <x v="0"/>
    <x v="1592"/>
    <x v="58"/>
    <x v="96"/>
    <x v="621"/>
    <x v="506"/>
    <x v="723"/>
    <x v="1"/>
    <x v="1172"/>
    <x v="13"/>
  </r>
  <r>
    <x v="564"/>
    <x v="650"/>
    <x v="492"/>
    <x v="1296"/>
    <x v="1296"/>
    <x v="0"/>
    <x v="15"/>
    <x v="15"/>
    <x v="50"/>
    <x v="52"/>
    <x v="307"/>
    <x v="0"/>
    <x v="361"/>
    <x v="321"/>
    <x v="169"/>
    <x v="407"/>
    <x v="762"/>
    <x v="111"/>
    <x v="0"/>
    <x v="1773"/>
    <x v="25"/>
  </r>
  <r>
    <x v="439"/>
    <x v="610"/>
    <x v="493"/>
    <x v="1021"/>
    <x v="1021"/>
    <x v="0"/>
    <x v="14"/>
    <x v="14"/>
    <x v="63"/>
    <x v="308"/>
    <x v="358"/>
    <x v="0"/>
    <x v="1421"/>
    <x v="623"/>
    <x v="561"/>
    <x v="0"/>
    <x v="628"/>
    <x v="381"/>
    <x v="1"/>
    <x v="1375"/>
    <x v="14"/>
  </r>
  <r>
    <x v="658"/>
    <x v="819"/>
    <x v="859"/>
    <x v="716"/>
    <x v="716"/>
    <x v="0"/>
    <x v="17"/>
    <x v="17"/>
    <x v="0"/>
    <x v="194"/>
    <x v="448"/>
    <x v="0"/>
    <x v="1257"/>
    <x v="132"/>
    <x v="707"/>
    <x v="0"/>
    <x v="661"/>
    <x v="311"/>
    <x v="0"/>
    <x v="897"/>
    <x v="25"/>
  </r>
  <r>
    <x v="758"/>
    <x v="10"/>
    <x v="495"/>
    <x v="132"/>
    <x v="132"/>
    <x v="1"/>
    <x v="20"/>
    <x v="20"/>
    <x v="28"/>
    <x v="547"/>
    <x v="44"/>
    <x v="1"/>
    <x v="85"/>
    <x v="812"/>
    <x v="797"/>
    <x v="0"/>
    <x v="440"/>
    <x v="230"/>
    <x v="0"/>
    <x v="1094"/>
    <x v="7"/>
  </r>
  <r>
    <x v="331"/>
    <x v="265"/>
    <x v="496"/>
    <x v="1669"/>
    <x v="1669"/>
    <x v="1"/>
    <x v="8"/>
    <x v="8"/>
    <x v="49"/>
    <x v="528"/>
    <x v="188"/>
    <x v="1"/>
    <x v="218"/>
    <x v="759"/>
    <x v="661"/>
    <x v="0"/>
    <x v="432"/>
    <x v="651"/>
    <x v="1"/>
    <x v="1246"/>
    <x v="30"/>
  </r>
  <r>
    <x v="581"/>
    <x v="677"/>
    <x v="497"/>
    <x v="186"/>
    <x v="186"/>
    <x v="0"/>
    <x v="19"/>
    <x v="19"/>
    <x v="55"/>
    <x v="343"/>
    <x v="220"/>
    <x v="1"/>
    <x v="1163"/>
    <x v="320"/>
    <x v="439"/>
    <x v="164"/>
    <x v="135"/>
    <x v="133"/>
    <x v="0"/>
    <x v="998"/>
    <x v="23"/>
  </r>
  <r>
    <x v="448"/>
    <x v="154"/>
    <x v="498"/>
    <x v="892"/>
    <x v="892"/>
    <x v="0"/>
    <x v="11"/>
    <x v="11"/>
    <x v="51"/>
    <x v="374"/>
    <x v="342"/>
    <x v="0"/>
    <x v="642"/>
    <x v="528"/>
    <x v="377"/>
    <x v="0"/>
    <x v="173"/>
    <x v="557"/>
    <x v="1"/>
    <x v="992"/>
    <x v="25"/>
  </r>
  <r>
    <x v="56"/>
    <x v="161"/>
    <x v="499"/>
    <x v="1309"/>
    <x v="1309"/>
    <x v="0"/>
    <x v="4"/>
    <x v="4"/>
    <x v="53"/>
    <x v="86"/>
    <x v="520"/>
    <x v="0"/>
    <x v="1663"/>
    <x v="663"/>
    <x v="965"/>
    <x v="448"/>
    <x v="720"/>
    <x v="296"/>
    <x v="0"/>
    <x v="1805"/>
    <x v="23"/>
  </r>
  <r>
    <x v="55"/>
    <x v="171"/>
    <x v="500"/>
    <x v="1438"/>
    <x v="1438"/>
    <x v="0"/>
    <x v="2"/>
    <x v="2"/>
    <x v="46"/>
    <x v="317"/>
    <x v="345"/>
    <x v="0"/>
    <x v="334"/>
    <x v="110"/>
    <x v="1065"/>
    <x v="637"/>
    <x v="125"/>
    <x v="648"/>
    <x v="1"/>
    <x v="1332"/>
    <x v="15"/>
  </r>
  <r>
    <x v="656"/>
    <x v="830"/>
    <x v="985"/>
    <x v="431"/>
    <x v="431"/>
    <x v="0"/>
    <x v="17"/>
    <x v="17"/>
    <x v="0"/>
    <x v="293"/>
    <x v="342"/>
    <x v="0"/>
    <x v="1590"/>
    <x v="273"/>
    <x v="880"/>
    <x v="0"/>
    <x v="492"/>
    <x v="614"/>
    <x v="1"/>
    <x v="449"/>
    <x v="25"/>
  </r>
  <r>
    <x v="454"/>
    <x v="223"/>
    <x v="502"/>
    <x v="566"/>
    <x v="566"/>
    <x v="0"/>
    <x v="12"/>
    <x v="12"/>
    <x v="42"/>
    <x v="260"/>
    <x v="216"/>
    <x v="1"/>
    <x v="598"/>
    <x v="637"/>
    <x v="443"/>
    <x v="0"/>
    <x v="7"/>
    <x v="566"/>
    <x v="1"/>
    <x v="392"/>
    <x v="15"/>
  </r>
  <r>
    <x v="290"/>
    <x v="160"/>
    <x v="503"/>
    <x v="662"/>
    <x v="662"/>
    <x v="0"/>
    <x v="15"/>
    <x v="15"/>
    <x v="0"/>
    <x v="294"/>
    <x v="336"/>
    <x v="0"/>
    <x v="1046"/>
    <x v="292"/>
    <x v="602"/>
    <x v="0"/>
    <x v="415"/>
    <x v="444"/>
    <x v="1"/>
    <x v="617"/>
    <x v="15"/>
  </r>
  <r>
    <x v="497"/>
    <x v="238"/>
    <x v="1157"/>
    <x v="658"/>
    <x v="658"/>
    <x v="0"/>
    <x v="17"/>
    <x v="17"/>
    <x v="0"/>
    <x v="334"/>
    <x v="289"/>
    <x v="0"/>
    <x v="419"/>
    <x v="260"/>
    <x v="991"/>
    <x v="114"/>
    <x v="303"/>
    <x v="570"/>
    <x v="1"/>
    <x v="1615"/>
    <x v="34"/>
  </r>
  <r>
    <x v="461"/>
    <x v="396"/>
    <x v="505"/>
    <x v="1378"/>
    <x v="1378"/>
    <x v="0"/>
    <x v="11"/>
    <x v="11"/>
    <x v="50"/>
    <x v="164"/>
    <x v="343"/>
    <x v="0"/>
    <x v="718"/>
    <x v="59"/>
    <x v="794"/>
    <x v="723"/>
    <x v="421"/>
    <x v="70"/>
    <x v="0"/>
    <x v="831"/>
    <x v="38"/>
  </r>
  <r>
    <x v="386"/>
    <x v="672"/>
    <x v="506"/>
    <x v="1216"/>
    <x v="1216"/>
    <x v="0"/>
    <x v="11"/>
    <x v="11"/>
    <x v="57"/>
    <x v="471"/>
    <x v="404"/>
    <x v="0"/>
    <x v="1623"/>
    <x v="76"/>
    <x v="429"/>
    <x v="0"/>
    <x v="619"/>
    <x v="700"/>
    <x v="1"/>
    <x v="990"/>
    <x v="15"/>
  </r>
  <r>
    <x v="502"/>
    <x v="590"/>
    <x v="507"/>
    <x v="1001"/>
    <x v="1001"/>
    <x v="0"/>
    <x v="11"/>
    <x v="11"/>
    <x v="64"/>
    <x v="151"/>
    <x v="263"/>
    <x v="0"/>
    <x v="376"/>
    <x v="181"/>
    <x v="487"/>
    <x v="0"/>
    <x v="422"/>
    <x v="317"/>
    <x v="0"/>
    <x v="1780"/>
    <x v="47"/>
  </r>
  <r>
    <x v="667"/>
    <x v="426"/>
    <x v="508"/>
    <x v="1558"/>
    <x v="1558"/>
    <x v="0"/>
    <x v="18"/>
    <x v="18"/>
    <x v="62"/>
    <x v="339"/>
    <x v="236"/>
    <x v="1"/>
    <x v="268"/>
    <x v="170"/>
    <x v="1073"/>
    <x v="270"/>
    <x v="374"/>
    <x v="260"/>
    <x v="0"/>
    <x v="771"/>
    <x v="25"/>
  </r>
  <r>
    <x v="397"/>
    <x v="398"/>
    <x v="509"/>
    <x v="989"/>
    <x v="989"/>
    <x v="0"/>
    <x v="12"/>
    <x v="12"/>
    <x v="58"/>
    <x v="273"/>
    <x v="432"/>
    <x v="0"/>
    <x v="937"/>
    <x v="229"/>
    <x v="880"/>
    <x v="0"/>
    <x v="417"/>
    <x v="481"/>
    <x v="1"/>
    <x v="1033"/>
    <x v="23"/>
  </r>
  <r>
    <x v="277"/>
    <x v="754"/>
    <x v="510"/>
    <x v="1405"/>
    <x v="1405"/>
    <x v="1"/>
    <x v="6"/>
    <x v="6"/>
    <x v="44"/>
    <x v="315"/>
    <x v="444"/>
    <x v="0"/>
    <x v="1659"/>
    <x v="747"/>
    <x v="960"/>
    <x v="0"/>
    <x v="11"/>
    <x v="707"/>
    <x v="1"/>
    <x v="1735"/>
    <x v="9"/>
  </r>
  <r>
    <x v="657"/>
    <x v="786"/>
    <x v="589"/>
    <x v="1274"/>
    <x v="1274"/>
    <x v="1"/>
    <x v="18"/>
    <x v="18"/>
    <x v="69"/>
    <x v="473"/>
    <x v="329"/>
    <x v="0"/>
    <x v="1482"/>
    <x v="223"/>
    <x v="782"/>
    <x v="0"/>
    <x v="453"/>
    <x v="277"/>
    <x v="0"/>
    <x v="1294"/>
    <x v="9"/>
  </r>
  <r>
    <x v="437"/>
    <x v="189"/>
    <x v="512"/>
    <x v="296"/>
    <x v="296"/>
    <x v="0"/>
    <x v="20"/>
    <x v="20"/>
    <x v="45"/>
    <x v="266"/>
    <x v="251"/>
    <x v="1"/>
    <x v="635"/>
    <x v="129"/>
    <x v="766"/>
    <x v="106"/>
    <x v="359"/>
    <x v="268"/>
    <x v="0"/>
    <x v="311"/>
    <x v="13"/>
  </r>
  <r>
    <x v="268"/>
    <x v="394"/>
    <x v="513"/>
    <x v="1169"/>
    <x v="1169"/>
    <x v="1"/>
    <x v="9"/>
    <x v="9"/>
    <x v="38"/>
    <x v="274"/>
    <x v="230"/>
    <x v="1"/>
    <x v="233"/>
    <x v="142"/>
    <x v="557"/>
    <x v="0"/>
    <x v="665"/>
    <x v="277"/>
    <x v="0"/>
    <x v="245"/>
    <x v="7"/>
  </r>
  <r>
    <x v="677"/>
    <x v="633"/>
    <x v="514"/>
    <x v="112"/>
    <x v="112"/>
    <x v="1"/>
    <x v="17"/>
    <x v="17"/>
    <x v="1"/>
    <x v="311"/>
    <x v="218"/>
    <x v="1"/>
    <x v="241"/>
    <x v="235"/>
    <x v="559"/>
    <x v="0"/>
    <x v="628"/>
    <x v="695"/>
    <x v="1"/>
    <x v="1678"/>
    <x v="11"/>
  </r>
  <r>
    <x v="173"/>
    <x v="57"/>
    <x v="515"/>
    <x v="977"/>
    <x v="977"/>
    <x v="1"/>
    <x v="4"/>
    <x v="4"/>
    <x v="56"/>
    <x v="300"/>
    <x v="296"/>
    <x v="0"/>
    <x v="676"/>
    <x v="269"/>
    <x v="1046"/>
    <x v="0"/>
    <x v="410"/>
    <x v="538"/>
    <x v="1"/>
    <x v="242"/>
    <x v="15"/>
  </r>
  <r>
    <x v="745"/>
    <x v="617"/>
    <x v="323"/>
    <x v="819"/>
    <x v="819"/>
    <x v="1"/>
    <x v="18"/>
    <x v="18"/>
    <x v="67"/>
    <x v="265"/>
    <x v="404"/>
    <x v="0"/>
    <x v="1234"/>
    <x v="108"/>
    <x v="950"/>
    <x v="0"/>
    <x v="549"/>
    <x v="334"/>
    <x v="0"/>
    <x v="1006"/>
    <x v="7"/>
  </r>
  <r>
    <x v="290"/>
    <x v="160"/>
    <x v="517"/>
    <x v="1598"/>
    <x v="1598"/>
    <x v="0"/>
    <x v="10"/>
    <x v="10"/>
    <x v="60"/>
    <x v="307"/>
    <x v="420"/>
    <x v="0"/>
    <x v="1153"/>
    <x v="200"/>
    <x v="546"/>
    <x v="410"/>
    <x v="488"/>
    <x v="285"/>
    <x v="0"/>
    <x v="911"/>
    <x v="15"/>
  </r>
  <r>
    <x v="454"/>
    <x v="223"/>
    <x v="517"/>
    <x v="1782"/>
    <x v="1782"/>
    <x v="1"/>
    <x v="11"/>
    <x v="11"/>
    <x v="59"/>
    <x v="104"/>
    <x v="506"/>
    <x v="0"/>
    <x v="1640"/>
    <x v="778"/>
    <x v="976"/>
    <x v="0"/>
    <x v="486"/>
    <x v="380"/>
    <x v="1"/>
    <x v="613"/>
    <x v="15"/>
  </r>
  <r>
    <x v="18"/>
    <x v="222"/>
    <x v="518"/>
    <x v="868"/>
    <x v="868"/>
    <x v="1"/>
    <x v="1"/>
    <x v="1"/>
    <x v="65"/>
    <x v="543"/>
    <x v="341"/>
    <x v="0"/>
    <x v="1664"/>
    <x v="452"/>
    <x v="771"/>
    <x v="0"/>
    <x v="467"/>
    <x v="455"/>
    <x v="1"/>
    <x v="1348"/>
    <x v="7"/>
  </r>
  <r>
    <x v="155"/>
    <x v="716"/>
    <x v="519"/>
    <x v="312"/>
    <x v="312"/>
    <x v="0"/>
    <x v="4"/>
    <x v="4"/>
    <x v="31"/>
    <x v="156"/>
    <x v="519"/>
    <x v="0"/>
    <x v="1464"/>
    <x v="534"/>
    <x v="841"/>
    <x v="42"/>
    <x v="722"/>
    <x v="240"/>
    <x v="0"/>
    <x v="259"/>
    <x v="30"/>
  </r>
  <r>
    <x v="789"/>
    <x v="446"/>
    <x v="520"/>
    <x v="745"/>
    <x v="745"/>
    <x v="1"/>
    <x v="20"/>
    <x v="20"/>
    <x v="56"/>
    <x v="390"/>
    <x v="202"/>
    <x v="1"/>
    <x v="936"/>
    <x v="683"/>
    <x v="885"/>
    <x v="0"/>
    <x v="413"/>
    <x v="582"/>
    <x v="1"/>
    <x v="1341"/>
    <x v="11"/>
  </r>
  <r>
    <x v="253"/>
    <x v="605"/>
    <x v="521"/>
    <x v="1128"/>
    <x v="1128"/>
    <x v="1"/>
    <x v="5"/>
    <x v="5"/>
    <x v="42"/>
    <x v="372"/>
    <x v="298"/>
    <x v="0"/>
    <x v="1392"/>
    <x v="712"/>
    <x v="740"/>
    <x v="0"/>
    <x v="642"/>
    <x v="495"/>
    <x v="1"/>
    <x v="626"/>
    <x v="11"/>
  </r>
  <r>
    <x v="193"/>
    <x v="98"/>
    <x v="648"/>
    <x v="702"/>
    <x v="702"/>
    <x v="1"/>
    <x v="5"/>
    <x v="5"/>
    <x v="35"/>
    <x v="490"/>
    <x v="466"/>
    <x v="0"/>
    <x v="488"/>
    <x v="691"/>
    <x v="846"/>
    <x v="20"/>
    <x v="729"/>
    <x v="733"/>
    <x v="1"/>
    <x v="532"/>
    <x v="11"/>
  </r>
  <r>
    <x v="609"/>
    <x v="216"/>
    <x v="893"/>
    <x v="498"/>
    <x v="498"/>
    <x v="0"/>
    <x v="18"/>
    <x v="18"/>
    <x v="67"/>
    <x v="284"/>
    <x v="317"/>
    <x v="0"/>
    <x v="805"/>
    <x v="96"/>
    <x v="788"/>
    <x v="263"/>
    <x v="439"/>
    <x v="59"/>
    <x v="0"/>
    <x v="504"/>
    <x v="13"/>
  </r>
  <r>
    <x v="462"/>
    <x v="386"/>
    <x v="524"/>
    <x v="223"/>
    <x v="223"/>
    <x v="0"/>
    <x v="19"/>
    <x v="19"/>
    <x v="0"/>
    <x v="379"/>
    <x v="340"/>
    <x v="0"/>
    <x v="814"/>
    <x v="131"/>
    <x v="237"/>
    <x v="0"/>
    <x v="596"/>
    <x v="482"/>
    <x v="1"/>
    <x v="634"/>
    <x v="23"/>
  </r>
  <r>
    <x v="323"/>
    <x v="337"/>
    <x v="525"/>
    <x v="580"/>
    <x v="580"/>
    <x v="0"/>
    <x v="6"/>
    <x v="6"/>
    <x v="43"/>
    <x v="376"/>
    <x v="469"/>
    <x v="0"/>
    <x v="439"/>
    <x v="479"/>
    <x v="829"/>
    <x v="0"/>
    <x v="39"/>
    <x v="656"/>
    <x v="1"/>
    <x v="1121"/>
    <x v="23"/>
  </r>
  <r>
    <x v="211"/>
    <x v="607"/>
    <x v="526"/>
    <x v="1151"/>
    <x v="1151"/>
    <x v="1"/>
    <x v="5"/>
    <x v="5"/>
    <x v="53"/>
    <x v="519"/>
    <x v="52"/>
    <x v="1"/>
    <x v="628"/>
    <x v="595"/>
    <x v="1102"/>
    <x v="27"/>
    <x v="257"/>
    <x v="586"/>
    <x v="1"/>
    <x v="569"/>
    <x v="11"/>
  </r>
  <r>
    <x v="273"/>
    <x v="230"/>
    <x v="527"/>
    <x v="931"/>
    <x v="931"/>
    <x v="1"/>
    <x v="6"/>
    <x v="6"/>
    <x v="50"/>
    <x v="460"/>
    <x v="254"/>
    <x v="1"/>
    <x v="520"/>
    <x v="369"/>
    <x v="949"/>
    <x v="91"/>
    <x v="43"/>
    <x v="413"/>
    <x v="1"/>
    <x v="5"/>
    <x v="52"/>
  </r>
  <r>
    <x v="94"/>
    <x v="107"/>
    <x v="1703"/>
    <x v="871"/>
    <x v="871"/>
    <x v="0"/>
    <x v="5"/>
    <x v="5"/>
    <x v="34"/>
    <x v="235"/>
    <x v="337"/>
    <x v="0"/>
    <x v="525"/>
    <x v="76"/>
    <x v="1031"/>
    <x v="0"/>
    <x v="441"/>
    <x v="664"/>
    <x v="1"/>
    <x v="1631"/>
    <x v="23"/>
  </r>
  <r>
    <x v="287"/>
    <x v="734"/>
    <x v="529"/>
    <x v="1785"/>
    <x v="1785"/>
    <x v="0"/>
    <x v="7"/>
    <x v="7"/>
    <x v="49"/>
    <x v="380"/>
    <x v="315"/>
    <x v="0"/>
    <x v="1407"/>
    <x v="438"/>
    <x v="385"/>
    <x v="670"/>
    <x v="646"/>
    <x v="220"/>
    <x v="0"/>
    <x v="610"/>
    <x v="2"/>
  </r>
  <r>
    <x v="540"/>
    <x v="620"/>
    <x v="530"/>
    <x v="804"/>
    <x v="804"/>
    <x v="0"/>
    <x v="14"/>
    <x v="14"/>
    <x v="58"/>
    <x v="362"/>
    <x v="537"/>
    <x v="0"/>
    <x v="1586"/>
    <x v="736"/>
    <x v="223"/>
    <x v="0"/>
    <x v="338"/>
    <x v="577"/>
    <x v="1"/>
    <x v="1330"/>
    <x v="23"/>
  </r>
  <r>
    <x v="98"/>
    <x v="253"/>
    <x v="531"/>
    <x v="1205"/>
    <x v="1205"/>
    <x v="1"/>
    <x v="4"/>
    <x v="4"/>
    <x v="44"/>
    <x v="358"/>
    <x v="440"/>
    <x v="0"/>
    <x v="1445"/>
    <x v="332"/>
    <x v="684"/>
    <x v="0"/>
    <x v="368"/>
    <x v="648"/>
    <x v="1"/>
    <x v="327"/>
    <x v="15"/>
  </r>
  <r>
    <x v="237"/>
    <x v="179"/>
    <x v="532"/>
    <x v="266"/>
    <x v="266"/>
    <x v="0"/>
    <x v="6"/>
    <x v="6"/>
    <x v="8"/>
    <x v="487"/>
    <x v="401"/>
    <x v="0"/>
    <x v="446"/>
    <x v="340"/>
    <x v="1037"/>
    <x v="9"/>
    <x v="249"/>
    <x v="580"/>
    <x v="1"/>
    <x v="390"/>
    <x v="21"/>
  </r>
  <r>
    <x v="396"/>
    <x v="273"/>
    <x v="533"/>
    <x v="236"/>
    <x v="236"/>
    <x v="0"/>
    <x v="17"/>
    <x v="17"/>
    <x v="35"/>
    <x v="292"/>
    <x v="427"/>
    <x v="0"/>
    <x v="1292"/>
    <x v="425"/>
    <x v="73"/>
    <x v="605"/>
    <x v="156"/>
    <x v="523"/>
    <x v="1"/>
    <x v="1529"/>
    <x v="11"/>
  </r>
  <r>
    <x v="608"/>
    <x v="581"/>
    <x v="534"/>
    <x v="52"/>
    <x v="52"/>
    <x v="0"/>
    <x v="16"/>
    <x v="16"/>
    <x v="53"/>
    <x v="244"/>
    <x v="485"/>
    <x v="0"/>
    <x v="767"/>
    <x v="362"/>
    <x v="256"/>
    <x v="213"/>
    <x v="624"/>
    <x v="587"/>
    <x v="1"/>
    <x v="1050"/>
    <x v="25"/>
  </r>
  <r>
    <x v="764"/>
    <x v="247"/>
    <x v="535"/>
    <x v="74"/>
    <x v="74"/>
    <x v="0"/>
    <x v="20"/>
    <x v="20"/>
    <x v="53"/>
    <x v="492"/>
    <x v="187"/>
    <x v="1"/>
    <x v="513"/>
    <x v="370"/>
    <x v="1187"/>
    <x v="244"/>
    <x v="493"/>
    <x v="668"/>
    <x v="1"/>
    <x v="591"/>
    <x v="52"/>
  </r>
  <r>
    <x v="640"/>
    <x v="685"/>
    <x v="536"/>
    <x v="780"/>
    <x v="780"/>
    <x v="0"/>
    <x v="16"/>
    <x v="16"/>
    <x v="0"/>
    <x v="342"/>
    <x v="371"/>
    <x v="0"/>
    <x v="510"/>
    <x v="459"/>
    <x v="1094"/>
    <x v="529"/>
    <x v="419"/>
    <x v="284"/>
    <x v="0"/>
    <x v="1478"/>
    <x v="34"/>
  </r>
  <r>
    <x v="136"/>
    <x v="472"/>
    <x v="537"/>
    <x v="1552"/>
    <x v="1552"/>
    <x v="1"/>
    <x v="6"/>
    <x v="6"/>
    <x v="45"/>
    <x v="190"/>
    <x v="241"/>
    <x v="1"/>
    <x v="880"/>
    <x v="718"/>
    <x v="670"/>
    <x v="0"/>
    <x v="422"/>
    <x v="73"/>
    <x v="0"/>
    <x v="1724"/>
    <x v="11"/>
  </r>
  <r>
    <x v="168"/>
    <x v="673"/>
    <x v="538"/>
    <x v="615"/>
    <x v="615"/>
    <x v="0"/>
    <x v="4"/>
    <x v="4"/>
    <x v="60"/>
    <x v="370"/>
    <x v="424"/>
    <x v="0"/>
    <x v="1252"/>
    <x v="105"/>
    <x v="1156"/>
    <x v="0"/>
    <x v="462"/>
    <x v="556"/>
    <x v="1"/>
    <x v="534"/>
    <x v="11"/>
  </r>
  <r>
    <x v="32"/>
    <x v="540"/>
    <x v="539"/>
    <x v="1585"/>
    <x v="1585"/>
    <x v="0"/>
    <x v="1"/>
    <x v="1"/>
    <x v="45"/>
    <x v="446"/>
    <x v="111"/>
    <x v="1"/>
    <x v="47"/>
    <x v="449"/>
    <x v="969"/>
    <x v="298"/>
    <x v="266"/>
    <x v="680"/>
    <x v="1"/>
    <x v="472"/>
    <x v="15"/>
  </r>
  <r>
    <x v="165"/>
    <x v="261"/>
    <x v="540"/>
    <x v="609"/>
    <x v="609"/>
    <x v="0"/>
    <x v="7"/>
    <x v="7"/>
    <x v="27"/>
    <x v="527"/>
    <x v="159"/>
    <x v="1"/>
    <x v="238"/>
    <x v="801"/>
    <x v="688"/>
    <x v="0"/>
    <x v="151"/>
    <x v="361"/>
    <x v="1"/>
    <x v="546"/>
    <x v="11"/>
  </r>
  <r>
    <x v="275"/>
    <x v="463"/>
    <x v="541"/>
    <x v="579"/>
    <x v="579"/>
    <x v="0"/>
    <x v="9"/>
    <x v="9"/>
    <x v="48"/>
    <x v="454"/>
    <x v="505"/>
    <x v="0"/>
    <x v="1294"/>
    <x v="700"/>
    <x v="864"/>
    <x v="0"/>
    <x v="75"/>
    <x v="507"/>
    <x v="1"/>
    <x v="1211"/>
    <x v="15"/>
  </r>
  <r>
    <x v="200"/>
    <x v="448"/>
    <x v="542"/>
    <x v="1755"/>
    <x v="1755"/>
    <x v="0"/>
    <x v="4"/>
    <x v="4"/>
    <x v="33"/>
    <x v="414"/>
    <x v="207"/>
    <x v="1"/>
    <x v="174"/>
    <x v="140"/>
    <x v="451"/>
    <x v="0"/>
    <x v="496"/>
    <x v="34"/>
    <x v="0"/>
    <x v="557"/>
    <x v="11"/>
  </r>
  <r>
    <x v="102"/>
    <x v="180"/>
    <x v="543"/>
    <x v="1335"/>
    <x v="1335"/>
    <x v="0"/>
    <x v="15"/>
    <x v="15"/>
    <x v="69"/>
    <x v="427"/>
    <x v="411"/>
    <x v="0"/>
    <x v="91"/>
    <x v="124"/>
    <x v="584"/>
    <x v="4"/>
    <x v="405"/>
    <x v="675"/>
    <x v="1"/>
    <x v="814"/>
    <x v="9"/>
  </r>
  <r>
    <x v="99"/>
    <x v="364"/>
    <x v="544"/>
    <x v="939"/>
    <x v="939"/>
    <x v="0"/>
    <x v="7"/>
    <x v="7"/>
    <x v="51"/>
    <x v="376"/>
    <x v="359"/>
    <x v="0"/>
    <x v="906"/>
    <x v="585"/>
    <x v="449"/>
    <x v="0"/>
    <x v="745"/>
    <x v="218"/>
    <x v="0"/>
    <x v="422"/>
    <x v="15"/>
  </r>
  <r>
    <x v="54"/>
    <x v="592"/>
    <x v="545"/>
    <x v="263"/>
    <x v="263"/>
    <x v="0"/>
    <x v="3"/>
    <x v="3"/>
    <x v="54"/>
    <x v="435"/>
    <x v="503"/>
    <x v="0"/>
    <x v="1500"/>
    <x v="201"/>
    <x v="103"/>
    <x v="0"/>
    <x v="477"/>
    <x v="749"/>
    <x v="1"/>
    <x v="1231"/>
    <x v="23"/>
  </r>
  <r>
    <x v="248"/>
    <x v="164"/>
    <x v="546"/>
    <x v="1475"/>
    <x v="1475"/>
    <x v="0"/>
    <x v="8"/>
    <x v="8"/>
    <x v="45"/>
    <x v="560"/>
    <x v="198"/>
    <x v="1"/>
    <x v="346"/>
    <x v="574"/>
    <x v="470"/>
    <x v="135"/>
    <x v="44"/>
    <x v="463"/>
    <x v="1"/>
    <x v="1229"/>
    <x v="30"/>
  </r>
  <r>
    <x v="163"/>
    <x v="74"/>
    <x v="237"/>
    <x v="1620"/>
    <x v="1620"/>
    <x v="0"/>
    <x v="5"/>
    <x v="5"/>
    <x v="48"/>
    <x v="467"/>
    <x v="281"/>
    <x v="0"/>
    <x v="592"/>
    <x v="670"/>
    <x v="842"/>
    <x v="0"/>
    <x v="72"/>
    <x v="701"/>
    <x v="1"/>
    <x v="373"/>
    <x v="15"/>
  </r>
  <r>
    <x v="40"/>
    <x v="532"/>
    <x v="548"/>
    <x v="605"/>
    <x v="605"/>
    <x v="1"/>
    <x v="3"/>
    <x v="3"/>
    <x v="54"/>
    <x v="430"/>
    <x v="351"/>
    <x v="0"/>
    <x v="72"/>
    <x v="706"/>
    <x v="1128"/>
    <x v="710"/>
    <x v="372"/>
    <x v="568"/>
    <x v="1"/>
    <x v="1769"/>
    <x v="15"/>
  </r>
  <r>
    <x v="437"/>
    <x v="189"/>
    <x v="549"/>
    <x v="206"/>
    <x v="206"/>
    <x v="0"/>
    <x v="12"/>
    <x v="12"/>
    <x v="48"/>
    <x v="250"/>
    <x v="513"/>
    <x v="0"/>
    <x v="920"/>
    <x v="479"/>
    <x v="916"/>
    <x v="0"/>
    <x v="240"/>
    <x v="296"/>
    <x v="0"/>
    <x v="1259"/>
    <x v="13"/>
  </r>
  <r>
    <x v="110"/>
    <x v="4"/>
    <x v="550"/>
    <x v="1180"/>
    <x v="1180"/>
    <x v="1"/>
    <x v="6"/>
    <x v="6"/>
    <x v="54"/>
    <x v="427"/>
    <x v="217"/>
    <x v="1"/>
    <x v="812"/>
    <x v="208"/>
    <x v="830"/>
    <x v="0"/>
    <x v="248"/>
    <x v="496"/>
    <x v="1"/>
    <x v="96"/>
    <x v="7"/>
  </r>
  <r>
    <x v="639"/>
    <x v="236"/>
    <x v="551"/>
    <x v="651"/>
    <x v="651"/>
    <x v="0"/>
    <x v="16"/>
    <x v="16"/>
    <x v="49"/>
    <x v="315"/>
    <x v="440"/>
    <x v="0"/>
    <x v="1362"/>
    <x v="156"/>
    <x v="597"/>
    <x v="193"/>
    <x v="447"/>
    <x v="313"/>
    <x v="0"/>
    <x v="630"/>
    <x v="25"/>
  </r>
  <r>
    <x v="704"/>
    <x v="218"/>
    <x v="251"/>
    <x v="793"/>
    <x v="793"/>
    <x v="1"/>
    <x v="18"/>
    <x v="18"/>
    <x v="65"/>
    <x v="408"/>
    <x v="354"/>
    <x v="0"/>
    <x v="776"/>
    <x v="255"/>
    <x v="890"/>
    <x v="0"/>
    <x v="31"/>
    <x v="708"/>
    <x v="1"/>
    <x v="867"/>
    <x v="23"/>
  </r>
  <r>
    <x v="371"/>
    <x v="130"/>
    <x v="553"/>
    <x v="1015"/>
    <x v="1015"/>
    <x v="0"/>
    <x v="21"/>
    <x v="21"/>
    <x v="59"/>
    <x v="440"/>
    <x v="487"/>
    <x v="0"/>
    <x v="1191"/>
    <x v="106"/>
    <x v="402"/>
    <x v="470"/>
    <x v="261"/>
    <x v="442"/>
    <x v="1"/>
    <x v="976"/>
    <x v="13"/>
  </r>
  <r>
    <x v="0"/>
    <x v="122"/>
    <x v="554"/>
    <x v="1366"/>
    <x v="1366"/>
    <x v="0"/>
    <x v="9"/>
    <x v="9"/>
    <x v="65"/>
    <x v="421"/>
    <x v="444"/>
    <x v="0"/>
    <x v="1532"/>
    <x v="81"/>
    <x v="977"/>
    <x v="489"/>
    <x v="208"/>
    <x v="236"/>
    <x v="0"/>
    <x v="767"/>
    <x v="23"/>
  </r>
  <r>
    <x v="290"/>
    <x v="160"/>
    <x v="555"/>
    <x v="192"/>
    <x v="192"/>
    <x v="0"/>
    <x v="7"/>
    <x v="7"/>
    <x v="49"/>
    <x v="313"/>
    <x v="177"/>
    <x v="1"/>
    <x v="325"/>
    <x v="207"/>
    <x v="205"/>
    <x v="328"/>
    <x v="422"/>
    <x v="290"/>
    <x v="0"/>
    <x v="189"/>
    <x v="15"/>
  </r>
  <r>
    <x v="168"/>
    <x v="673"/>
    <x v="556"/>
    <x v="994"/>
    <x v="994"/>
    <x v="1"/>
    <x v="4"/>
    <x v="4"/>
    <x v="45"/>
    <x v="412"/>
    <x v="361"/>
    <x v="0"/>
    <x v="752"/>
    <x v="263"/>
    <x v="880"/>
    <x v="298"/>
    <x v="54"/>
    <x v="725"/>
    <x v="1"/>
    <x v="682"/>
    <x v="11"/>
  </r>
  <r>
    <x v="8"/>
    <x v="201"/>
    <x v="557"/>
    <x v="913"/>
    <x v="913"/>
    <x v="0"/>
    <x v="6"/>
    <x v="6"/>
    <x v="41"/>
    <x v="202"/>
    <x v="348"/>
    <x v="0"/>
    <x v="593"/>
    <x v="570"/>
    <x v="1022"/>
    <x v="0"/>
    <x v="41"/>
    <x v="395"/>
    <x v="1"/>
    <x v="199"/>
    <x v="30"/>
  </r>
  <r>
    <x v="4"/>
    <x v="0"/>
    <x v="558"/>
    <x v="1395"/>
    <x v="1395"/>
    <x v="0"/>
    <x v="3"/>
    <x v="3"/>
    <x v="36"/>
    <x v="380"/>
    <x v="407"/>
    <x v="0"/>
    <x v="871"/>
    <x v="511"/>
    <x v="801"/>
    <x v="232"/>
    <x v="6"/>
    <x v="672"/>
    <x v="1"/>
    <x v="314"/>
    <x v="23"/>
  </r>
  <r>
    <x v="145"/>
    <x v="67"/>
    <x v="558"/>
    <x v="743"/>
    <x v="743"/>
    <x v="1"/>
    <x v="9"/>
    <x v="9"/>
    <x v="61"/>
    <x v="195"/>
    <x v="558"/>
    <x v="0"/>
    <x v="1629"/>
    <x v="567"/>
    <x v="74"/>
    <x v="421"/>
    <x v="511"/>
    <x v="502"/>
    <x v="1"/>
    <x v="1676"/>
    <x v="23"/>
  </r>
  <r>
    <x v="482"/>
    <x v="773"/>
    <x v="559"/>
    <x v="316"/>
    <x v="316"/>
    <x v="1"/>
    <x v="18"/>
    <x v="18"/>
    <x v="48"/>
    <x v="536"/>
    <x v="404"/>
    <x v="0"/>
    <x v="1475"/>
    <x v="229"/>
    <x v="1061"/>
    <x v="215"/>
    <x v="262"/>
    <x v="378"/>
    <x v="1"/>
    <x v="922"/>
    <x v="13"/>
  </r>
  <r>
    <x v="235"/>
    <x v="503"/>
    <x v="560"/>
    <x v="1133"/>
    <x v="1133"/>
    <x v="1"/>
    <x v="20"/>
    <x v="20"/>
    <x v="59"/>
    <x v="481"/>
    <x v="153"/>
    <x v="1"/>
    <x v="364"/>
    <x v="243"/>
    <x v="1142"/>
    <x v="0"/>
    <x v="434"/>
    <x v="294"/>
    <x v="0"/>
    <x v="1050"/>
    <x v="23"/>
  </r>
  <r>
    <x v="30"/>
    <x v="489"/>
    <x v="561"/>
    <x v="1651"/>
    <x v="1651"/>
    <x v="0"/>
    <x v="10"/>
    <x v="10"/>
    <x v="43"/>
    <x v="469"/>
    <x v="553"/>
    <x v="0"/>
    <x v="1449"/>
    <x v="156"/>
    <x v="821"/>
    <x v="455"/>
    <x v="447"/>
    <x v="758"/>
    <x v="1"/>
    <x v="1147"/>
    <x v="23"/>
  </r>
  <r>
    <x v="360"/>
    <x v="770"/>
    <x v="562"/>
    <x v="1106"/>
    <x v="1106"/>
    <x v="1"/>
    <x v="9"/>
    <x v="9"/>
    <x v="56"/>
    <x v="564"/>
    <x v="312"/>
    <x v="0"/>
    <x v="1338"/>
    <x v="352"/>
    <x v="906"/>
    <x v="476"/>
    <x v="256"/>
    <x v="638"/>
    <x v="1"/>
    <x v="729"/>
    <x v="15"/>
  </r>
  <r>
    <x v="439"/>
    <x v="610"/>
    <x v="563"/>
    <x v="1379"/>
    <x v="1379"/>
    <x v="0"/>
    <x v="13"/>
    <x v="13"/>
    <x v="67"/>
    <x v="306"/>
    <x v="539"/>
    <x v="0"/>
    <x v="1513"/>
    <x v="626"/>
    <x v="928"/>
    <x v="0"/>
    <x v="591"/>
    <x v="370"/>
    <x v="1"/>
    <x v="1242"/>
    <x v="14"/>
  </r>
  <r>
    <x v="565"/>
    <x v="197"/>
    <x v="564"/>
    <x v="482"/>
    <x v="482"/>
    <x v="0"/>
    <x v="13"/>
    <x v="13"/>
    <x v="57"/>
    <x v="286"/>
    <x v="296"/>
    <x v="0"/>
    <x v="1509"/>
    <x v="226"/>
    <x v="960"/>
    <x v="0"/>
    <x v="448"/>
    <x v="407"/>
    <x v="1"/>
    <x v="997"/>
    <x v="23"/>
  </r>
  <r>
    <x v="496"/>
    <x v="761"/>
    <x v="565"/>
    <x v="349"/>
    <x v="349"/>
    <x v="0"/>
    <x v="13"/>
    <x v="13"/>
    <x v="63"/>
    <x v="357"/>
    <x v="451"/>
    <x v="0"/>
    <x v="1348"/>
    <x v="359"/>
    <x v="513"/>
    <x v="0"/>
    <x v="412"/>
    <x v="297"/>
    <x v="0"/>
    <x v="1135"/>
    <x v="25"/>
  </r>
  <r>
    <x v="331"/>
    <x v="265"/>
    <x v="566"/>
    <x v="1316"/>
    <x v="1316"/>
    <x v="1"/>
    <x v="8"/>
    <x v="8"/>
    <x v="50"/>
    <x v="444"/>
    <x v="357"/>
    <x v="0"/>
    <x v="462"/>
    <x v="689"/>
    <x v="1015"/>
    <x v="0"/>
    <x v="407"/>
    <x v="403"/>
    <x v="1"/>
    <x v="1310"/>
    <x v="30"/>
  </r>
  <r>
    <x v="618"/>
    <x v="733"/>
    <x v="414"/>
    <x v="556"/>
    <x v="556"/>
    <x v="0"/>
    <x v="18"/>
    <x v="18"/>
    <x v="65"/>
    <x v="171"/>
    <x v="469"/>
    <x v="0"/>
    <x v="908"/>
    <x v="636"/>
    <x v="895"/>
    <x v="602"/>
    <x v="440"/>
    <x v="269"/>
    <x v="0"/>
    <x v="1638"/>
    <x v="25"/>
  </r>
  <r>
    <x v="52"/>
    <x v="578"/>
    <x v="568"/>
    <x v="1599"/>
    <x v="1599"/>
    <x v="0"/>
    <x v="2"/>
    <x v="2"/>
    <x v="0"/>
    <x v="65"/>
    <x v="449"/>
    <x v="0"/>
    <x v="723"/>
    <x v="80"/>
    <x v="382"/>
    <x v="261"/>
    <x v="723"/>
    <x v="462"/>
    <x v="1"/>
    <x v="152"/>
    <x v="5"/>
  </r>
  <r>
    <x v="599"/>
    <x v="53"/>
    <x v="569"/>
    <x v="341"/>
    <x v="341"/>
    <x v="1"/>
    <x v="20"/>
    <x v="20"/>
    <x v="64"/>
    <x v="237"/>
    <x v="259"/>
    <x v="1"/>
    <x v="621"/>
    <x v="291"/>
    <x v="459"/>
    <x v="317"/>
    <x v="534"/>
    <x v="136"/>
    <x v="0"/>
    <x v="1521"/>
    <x v="23"/>
  </r>
  <r>
    <x v="454"/>
    <x v="223"/>
    <x v="570"/>
    <x v="364"/>
    <x v="364"/>
    <x v="1"/>
    <x v="20"/>
    <x v="20"/>
    <x v="67"/>
    <x v="389"/>
    <x v="82"/>
    <x v="1"/>
    <x v="79"/>
    <x v="574"/>
    <x v="523"/>
    <x v="347"/>
    <x v="720"/>
    <x v="213"/>
    <x v="0"/>
    <x v="46"/>
    <x v="15"/>
  </r>
  <r>
    <x v="671"/>
    <x v="514"/>
    <x v="571"/>
    <x v="139"/>
    <x v="139"/>
    <x v="1"/>
    <x v="20"/>
    <x v="20"/>
    <x v="64"/>
    <x v="515"/>
    <x v="114"/>
    <x v="1"/>
    <x v="481"/>
    <x v="522"/>
    <x v="986"/>
    <x v="0"/>
    <x v="548"/>
    <x v="383"/>
    <x v="1"/>
    <x v="169"/>
    <x v="11"/>
  </r>
  <r>
    <x v="707"/>
    <x v="417"/>
    <x v="572"/>
    <x v="942"/>
    <x v="942"/>
    <x v="0"/>
    <x v="17"/>
    <x v="17"/>
    <x v="41"/>
    <x v="235"/>
    <x v="58"/>
    <x v="1"/>
    <x v="74"/>
    <x v="780"/>
    <x v="1156"/>
    <x v="565"/>
    <x v="438"/>
    <x v="257"/>
    <x v="0"/>
    <x v="763"/>
    <x v="48"/>
  </r>
  <r>
    <x v="268"/>
    <x v="394"/>
    <x v="573"/>
    <x v="539"/>
    <x v="539"/>
    <x v="1"/>
    <x v="7"/>
    <x v="7"/>
    <x v="64"/>
    <x v="264"/>
    <x v="297"/>
    <x v="0"/>
    <x v="742"/>
    <x v="783"/>
    <x v="432"/>
    <x v="0"/>
    <x v="103"/>
    <x v="457"/>
    <x v="1"/>
    <x v="299"/>
    <x v="7"/>
  </r>
  <r>
    <x v="476"/>
    <x v="211"/>
    <x v="574"/>
    <x v="261"/>
    <x v="261"/>
    <x v="0"/>
    <x v="12"/>
    <x v="12"/>
    <x v="49"/>
    <x v="101"/>
    <x v="548"/>
    <x v="0"/>
    <x v="1669"/>
    <x v="612"/>
    <x v="982"/>
    <x v="0"/>
    <x v="670"/>
    <x v="161"/>
    <x v="0"/>
    <x v="1766"/>
    <x v="25"/>
  </r>
  <r>
    <x v="374"/>
    <x v="420"/>
    <x v="575"/>
    <x v="51"/>
    <x v="51"/>
    <x v="0"/>
    <x v="9"/>
    <x v="9"/>
    <x v="51"/>
    <x v="109"/>
    <x v="436"/>
    <x v="0"/>
    <x v="1598"/>
    <x v="125"/>
    <x v="53"/>
    <x v="172"/>
    <x v="546"/>
    <x v="543"/>
    <x v="1"/>
    <x v="1474"/>
    <x v="38"/>
  </r>
  <r>
    <x v="4"/>
    <x v="0"/>
    <x v="576"/>
    <x v="1668"/>
    <x v="1668"/>
    <x v="0"/>
    <x v="3"/>
    <x v="3"/>
    <x v="31"/>
    <x v="334"/>
    <x v="51"/>
    <x v="1"/>
    <x v="123"/>
    <x v="337"/>
    <x v="1088"/>
    <x v="0"/>
    <x v="430"/>
    <x v="342"/>
    <x v="1"/>
    <x v="770"/>
    <x v="23"/>
  </r>
  <r>
    <x v="806"/>
    <x v="330"/>
    <x v="577"/>
    <x v="12"/>
    <x v="12"/>
    <x v="1"/>
    <x v="21"/>
    <x v="21"/>
    <x v="55"/>
    <x v="312"/>
    <x v="315"/>
    <x v="0"/>
    <x v="721"/>
    <x v="35"/>
    <x v="900"/>
    <x v="0"/>
    <x v="203"/>
    <x v="211"/>
    <x v="0"/>
    <x v="340"/>
    <x v="11"/>
  </r>
  <r>
    <x v="396"/>
    <x v="273"/>
    <x v="578"/>
    <x v="1333"/>
    <x v="1333"/>
    <x v="0"/>
    <x v="14"/>
    <x v="14"/>
    <x v="62"/>
    <x v="341"/>
    <x v="490"/>
    <x v="0"/>
    <x v="1158"/>
    <x v="391"/>
    <x v="667"/>
    <x v="574"/>
    <x v="596"/>
    <x v="517"/>
    <x v="1"/>
    <x v="1208"/>
    <x v="11"/>
  </r>
  <r>
    <x v="371"/>
    <x v="130"/>
    <x v="1644"/>
    <x v="865"/>
    <x v="865"/>
    <x v="0"/>
    <x v="18"/>
    <x v="18"/>
    <x v="65"/>
    <x v="266"/>
    <x v="527"/>
    <x v="0"/>
    <x v="1597"/>
    <x v="79"/>
    <x v="935"/>
    <x v="713"/>
    <x v="452"/>
    <x v="310"/>
    <x v="0"/>
    <x v="1017"/>
    <x v="13"/>
  </r>
  <r>
    <x v="459"/>
    <x v="167"/>
    <x v="580"/>
    <x v="322"/>
    <x v="322"/>
    <x v="0"/>
    <x v="11"/>
    <x v="11"/>
    <x v="51"/>
    <x v="229"/>
    <x v="474"/>
    <x v="0"/>
    <x v="1392"/>
    <x v="478"/>
    <x v="365"/>
    <x v="0"/>
    <x v="718"/>
    <x v="462"/>
    <x v="1"/>
    <x v="892"/>
    <x v="25"/>
  </r>
  <r>
    <x v="191"/>
    <x v="90"/>
    <x v="1543"/>
    <x v="547"/>
    <x v="547"/>
    <x v="0"/>
    <x v="10"/>
    <x v="10"/>
    <x v="34"/>
    <x v="329"/>
    <x v="425"/>
    <x v="0"/>
    <x v="602"/>
    <x v="576"/>
    <x v="804"/>
    <x v="244"/>
    <x v="133"/>
    <x v="613"/>
    <x v="1"/>
    <x v="964"/>
    <x v="30"/>
  </r>
  <r>
    <x v="268"/>
    <x v="394"/>
    <x v="582"/>
    <x v="522"/>
    <x v="522"/>
    <x v="1"/>
    <x v="9"/>
    <x v="9"/>
    <x v="31"/>
    <x v="89"/>
    <x v="408"/>
    <x v="0"/>
    <x v="350"/>
    <x v="781"/>
    <x v="185"/>
    <x v="0"/>
    <x v="694"/>
    <x v="330"/>
    <x v="0"/>
    <x v="127"/>
    <x v="7"/>
  </r>
  <r>
    <x v="424"/>
    <x v="585"/>
    <x v="582"/>
    <x v="1390"/>
    <x v="1390"/>
    <x v="1"/>
    <x v="11"/>
    <x v="11"/>
    <x v="58"/>
    <x v="269"/>
    <x v="291"/>
    <x v="0"/>
    <x v="198"/>
    <x v="258"/>
    <x v="747"/>
    <x v="0"/>
    <x v="436"/>
    <x v="478"/>
    <x v="1"/>
    <x v="344"/>
    <x v="23"/>
  </r>
  <r>
    <x v="643"/>
    <x v="762"/>
    <x v="711"/>
    <x v="1540"/>
    <x v="1540"/>
    <x v="0"/>
    <x v="18"/>
    <x v="18"/>
    <x v="64"/>
    <x v="407"/>
    <x v="419"/>
    <x v="0"/>
    <x v="618"/>
    <x v="583"/>
    <x v="1091"/>
    <x v="0"/>
    <x v="173"/>
    <x v="422"/>
    <x v="1"/>
    <x v="291"/>
    <x v="30"/>
  </r>
  <r>
    <x v="135"/>
    <x v="83"/>
    <x v="584"/>
    <x v="1618"/>
    <x v="1618"/>
    <x v="0"/>
    <x v="5"/>
    <x v="5"/>
    <x v="0"/>
    <x v="206"/>
    <x v="565"/>
    <x v="0"/>
    <x v="1545"/>
    <x v="627"/>
    <x v="698"/>
    <x v="87"/>
    <x v="731"/>
    <x v="173"/>
    <x v="0"/>
    <x v="1612"/>
    <x v="25"/>
  </r>
  <r>
    <x v="502"/>
    <x v="590"/>
    <x v="585"/>
    <x v="497"/>
    <x v="497"/>
    <x v="0"/>
    <x v="14"/>
    <x v="14"/>
    <x v="63"/>
    <x v="195"/>
    <x v="472"/>
    <x v="0"/>
    <x v="1204"/>
    <x v="605"/>
    <x v="463"/>
    <x v="167"/>
    <x v="653"/>
    <x v="515"/>
    <x v="1"/>
    <x v="1116"/>
    <x v="47"/>
  </r>
  <r>
    <x v="283"/>
    <x v="351"/>
    <x v="586"/>
    <x v="1451"/>
    <x v="1451"/>
    <x v="0"/>
    <x v="7"/>
    <x v="7"/>
    <x v="53"/>
    <x v="83"/>
    <x v="7"/>
    <x v="1"/>
    <x v="15"/>
    <x v="250"/>
    <x v="1205"/>
    <x v="582"/>
    <x v="332"/>
    <x v="141"/>
    <x v="0"/>
    <x v="205"/>
    <x v="23"/>
  </r>
  <r>
    <x v="745"/>
    <x v="617"/>
    <x v="587"/>
    <x v="99"/>
    <x v="99"/>
    <x v="1"/>
    <x v="21"/>
    <x v="21"/>
    <x v="1"/>
    <x v="215"/>
    <x v="254"/>
    <x v="1"/>
    <x v="1363"/>
    <x v="434"/>
    <x v="1098"/>
    <x v="0"/>
    <x v="415"/>
    <x v="67"/>
    <x v="0"/>
    <x v="1591"/>
    <x v="7"/>
  </r>
  <r>
    <x v="248"/>
    <x v="164"/>
    <x v="588"/>
    <x v="885"/>
    <x v="885"/>
    <x v="0"/>
    <x v="6"/>
    <x v="6"/>
    <x v="53"/>
    <x v="458"/>
    <x v="249"/>
    <x v="1"/>
    <x v="501"/>
    <x v="230"/>
    <x v="488"/>
    <x v="26"/>
    <x v="591"/>
    <x v="684"/>
    <x v="1"/>
    <x v="570"/>
    <x v="30"/>
  </r>
  <r>
    <x v="175"/>
    <x v="387"/>
    <x v="270"/>
    <x v="1144"/>
    <x v="1144"/>
    <x v="0"/>
    <x v="18"/>
    <x v="18"/>
    <x v="62"/>
    <x v="301"/>
    <x v="430"/>
    <x v="0"/>
    <x v="693"/>
    <x v="438"/>
    <x v="370"/>
    <x v="0"/>
    <x v="493"/>
    <x v="534"/>
    <x v="1"/>
    <x v="762"/>
    <x v="23"/>
  </r>
  <r>
    <x v="40"/>
    <x v="532"/>
    <x v="590"/>
    <x v="1123"/>
    <x v="1123"/>
    <x v="1"/>
    <x v="4"/>
    <x v="4"/>
    <x v="43"/>
    <x v="342"/>
    <x v="150"/>
    <x v="1"/>
    <x v="849"/>
    <x v="833"/>
    <x v="1056"/>
    <x v="0"/>
    <x v="606"/>
    <x v="286"/>
    <x v="0"/>
    <x v="958"/>
    <x v="15"/>
  </r>
  <r>
    <x v="401"/>
    <x v="454"/>
    <x v="591"/>
    <x v="1287"/>
    <x v="1287"/>
    <x v="1"/>
    <x v="10"/>
    <x v="10"/>
    <x v="44"/>
    <x v="329"/>
    <x v="262"/>
    <x v="0"/>
    <x v="1015"/>
    <x v="583"/>
    <x v="142"/>
    <x v="0"/>
    <x v="760"/>
    <x v="534"/>
    <x v="1"/>
    <x v="120"/>
    <x v="11"/>
  </r>
  <r>
    <x v="101"/>
    <x v="565"/>
    <x v="592"/>
    <x v="1383"/>
    <x v="1383"/>
    <x v="0"/>
    <x v="10"/>
    <x v="10"/>
    <x v="48"/>
    <x v="174"/>
    <x v="490"/>
    <x v="0"/>
    <x v="861"/>
    <x v="328"/>
    <x v="47"/>
    <x v="544"/>
    <x v="437"/>
    <x v="87"/>
    <x v="0"/>
    <x v="805"/>
    <x v="46"/>
  </r>
  <r>
    <x v="129"/>
    <x v="181"/>
    <x v="593"/>
    <x v="44"/>
    <x v="44"/>
    <x v="0"/>
    <x v="4"/>
    <x v="4"/>
    <x v="32"/>
    <x v="468"/>
    <x v="362"/>
    <x v="0"/>
    <x v="934"/>
    <x v="326"/>
    <x v="770"/>
    <x v="310"/>
    <x v="406"/>
    <x v="740"/>
    <x v="1"/>
    <x v="1342"/>
    <x v="23"/>
  </r>
  <r>
    <x v="129"/>
    <x v="181"/>
    <x v="593"/>
    <x v="40"/>
    <x v="40"/>
    <x v="0"/>
    <x v="4"/>
    <x v="4"/>
    <x v="42"/>
    <x v="470"/>
    <x v="364"/>
    <x v="0"/>
    <x v="921"/>
    <x v="315"/>
    <x v="787"/>
    <x v="379"/>
    <x v="334"/>
    <x v="726"/>
    <x v="1"/>
    <x v="1342"/>
    <x v="23"/>
  </r>
  <r>
    <x v="42"/>
    <x v="660"/>
    <x v="594"/>
    <x v="423"/>
    <x v="423"/>
    <x v="0"/>
    <x v="20"/>
    <x v="20"/>
    <x v="29"/>
    <x v="364"/>
    <x v="234"/>
    <x v="1"/>
    <x v="106"/>
    <x v="27"/>
    <x v="928"/>
    <x v="0"/>
    <x v="470"/>
    <x v="600"/>
    <x v="1"/>
    <x v="712"/>
    <x v="23"/>
  </r>
  <r>
    <x v="385"/>
    <x v="525"/>
    <x v="595"/>
    <x v="201"/>
    <x v="201"/>
    <x v="0"/>
    <x v="8"/>
    <x v="8"/>
    <x v="55"/>
    <x v="310"/>
    <x v="428"/>
    <x v="0"/>
    <x v="665"/>
    <x v="195"/>
    <x v="465"/>
    <x v="642"/>
    <x v="647"/>
    <x v="502"/>
    <x v="1"/>
    <x v="981"/>
    <x v="23"/>
  </r>
  <r>
    <x v="432"/>
    <x v="375"/>
    <x v="596"/>
    <x v="1629"/>
    <x v="1629"/>
    <x v="0"/>
    <x v="10"/>
    <x v="10"/>
    <x v="41"/>
    <x v="257"/>
    <x v="482"/>
    <x v="0"/>
    <x v="737"/>
    <x v="584"/>
    <x v="812"/>
    <x v="0"/>
    <x v="516"/>
    <x v="589"/>
    <x v="1"/>
    <x v="50"/>
    <x v="30"/>
  </r>
  <r>
    <x v="468"/>
    <x v="123"/>
    <x v="597"/>
    <x v="861"/>
    <x v="861"/>
    <x v="0"/>
    <x v="12"/>
    <x v="12"/>
    <x v="64"/>
    <x v="339"/>
    <x v="165"/>
    <x v="1"/>
    <x v="286"/>
    <x v="278"/>
    <x v="886"/>
    <x v="0"/>
    <x v="411"/>
    <x v="116"/>
    <x v="0"/>
    <x v="727"/>
    <x v="23"/>
  </r>
  <r>
    <x v="80"/>
    <x v="558"/>
    <x v="598"/>
    <x v="1553"/>
    <x v="1553"/>
    <x v="0"/>
    <x v="7"/>
    <x v="7"/>
    <x v="46"/>
    <x v="496"/>
    <x v="120"/>
    <x v="1"/>
    <x v="213"/>
    <x v="700"/>
    <x v="539"/>
    <x v="0"/>
    <x v="597"/>
    <x v="657"/>
    <x v="1"/>
    <x v="128"/>
    <x v="15"/>
  </r>
  <r>
    <x v="299"/>
    <x v="618"/>
    <x v="599"/>
    <x v="1173"/>
    <x v="1173"/>
    <x v="1"/>
    <x v="7"/>
    <x v="7"/>
    <x v="49"/>
    <x v="335"/>
    <x v="150"/>
    <x v="1"/>
    <x v="615"/>
    <x v="191"/>
    <x v="27"/>
    <x v="0"/>
    <x v="409"/>
    <x v="76"/>
    <x v="0"/>
    <x v="1390"/>
    <x v="15"/>
  </r>
  <r>
    <x v="736"/>
    <x v="451"/>
    <x v="600"/>
    <x v="4"/>
    <x v="4"/>
    <x v="1"/>
    <x v="19"/>
    <x v="19"/>
    <x v="50"/>
    <x v="549"/>
    <x v="137"/>
    <x v="1"/>
    <x v="393"/>
    <x v="325"/>
    <x v="967"/>
    <x v="0"/>
    <x v="421"/>
    <x v="531"/>
    <x v="1"/>
    <x v="878"/>
    <x v="7"/>
  </r>
  <r>
    <x v="758"/>
    <x v="10"/>
    <x v="601"/>
    <x v="36"/>
    <x v="36"/>
    <x v="1"/>
    <x v="20"/>
    <x v="20"/>
    <x v="49"/>
    <x v="295"/>
    <x v="375"/>
    <x v="0"/>
    <x v="985"/>
    <x v="636"/>
    <x v="648"/>
    <x v="0"/>
    <x v="433"/>
    <x v="468"/>
    <x v="1"/>
    <x v="1624"/>
    <x v="7"/>
  </r>
  <r>
    <x v="607"/>
    <x v="781"/>
    <x v="602"/>
    <x v="570"/>
    <x v="570"/>
    <x v="0"/>
    <x v="16"/>
    <x v="16"/>
    <x v="60"/>
    <x v="368"/>
    <x v="252"/>
    <x v="1"/>
    <x v="1441"/>
    <x v="63"/>
    <x v="721"/>
    <x v="328"/>
    <x v="276"/>
    <x v="204"/>
    <x v="0"/>
    <x v="713"/>
    <x v="25"/>
  </r>
  <r>
    <x v="133"/>
    <x v="544"/>
    <x v="603"/>
    <x v="1408"/>
    <x v="1408"/>
    <x v="0"/>
    <x v="4"/>
    <x v="4"/>
    <x v="44"/>
    <x v="67"/>
    <x v="370"/>
    <x v="0"/>
    <x v="581"/>
    <x v="643"/>
    <x v="1104"/>
    <x v="24"/>
    <x v="70"/>
    <x v="265"/>
    <x v="0"/>
    <x v="562"/>
    <x v="30"/>
  </r>
  <r>
    <x v="552"/>
    <x v="752"/>
    <x v="604"/>
    <x v="436"/>
    <x v="436"/>
    <x v="0"/>
    <x v="14"/>
    <x v="14"/>
    <x v="64"/>
    <x v="75"/>
    <x v="473"/>
    <x v="0"/>
    <x v="1181"/>
    <x v="296"/>
    <x v="702"/>
    <x v="0"/>
    <x v="427"/>
    <x v="463"/>
    <x v="1"/>
    <x v="156"/>
    <x v="33"/>
  </r>
  <r>
    <x v="425"/>
    <x v="34"/>
    <x v="605"/>
    <x v="769"/>
    <x v="769"/>
    <x v="0"/>
    <x v="11"/>
    <x v="11"/>
    <x v="49"/>
    <x v="1"/>
    <x v="64"/>
    <x v="1"/>
    <x v="528"/>
    <x v="39"/>
    <x v="1166"/>
    <x v="0"/>
    <x v="497"/>
    <x v="19"/>
    <x v="0"/>
    <x v="1787"/>
    <x v="23"/>
  </r>
  <r>
    <x v="191"/>
    <x v="90"/>
    <x v="606"/>
    <x v="1474"/>
    <x v="1474"/>
    <x v="0"/>
    <x v="10"/>
    <x v="10"/>
    <x v="60"/>
    <x v="147"/>
    <x v="321"/>
    <x v="0"/>
    <x v="630"/>
    <x v="349"/>
    <x v="997"/>
    <x v="0"/>
    <x v="107"/>
    <x v="317"/>
    <x v="0"/>
    <x v="81"/>
    <x v="30"/>
  </r>
  <r>
    <x v="696"/>
    <x v="270"/>
    <x v="607"/>
    <x v="277"/>
    <x v="277"/>
    <x v="0"/>
    <x v="18"/>
    <x v="18"/>
    <x v="50"/>
    <x v="271"/>
    <x v="436"/>
    <x v="0"/>
    <x v="1567"/>
    <x v="169"/>
    <x v="278"/>
    <x v="396"/>
    <x v="275"/>
    <x v="545"/>
    <x v="1"/>
    <x v="1439"/>
    <x v="33"/>
  </r>
  <r>
    <x v="184"/>
    <x v="26"/>
    <x v="608"/>
    <x v="1542"/>
    <x v="1542"/>
    <x v="0"/>
    <x v="4"/>
    <x v="4"/>
    <x v="43"/>
    <x v="152"/>
    <x v="420"/>
    <x v="0"/>
    <x v="787"/>
    <x v="47"/>
    <x v="144"/>
    <x v="80"/>
    <x v="709"/>
    <x v="361"/>
    <x v="1"/>
    <x v="492"/>
    <x v="28"/>
  </r>
  <r>
    <x v="553"/>
    <x v="668"/>
    <x v="609"/>
    <x v="333"/>
    <x v="333"/>
    <x v="1"/>
    <x v="14"/>
    <x v="14"/>
    <x v="47"/>
    <x v="281"/>
    <x v="384"/>
    <x v="0"/>
    <x v="252"/>
    <x v="573"/>
    <x v="407"/>
    <x v="0"/>
    <x v="207"/>
    <x v="70"/>
    <x v="0"/>
    <x v="1161"/>
    <x v="11"/>
  </r>
  <r>
    <x v="144"/>
    <x v="444"/>
    <x v="610"/>
    <x v="739"/>
    <x v="739"/>
    <x v="0"/>
    <x v="2"/>
    <x v="2"/>
    <x v="47"/>
    <x v="175"/>
    <x v="458"/>
    <x v="0"/>
    <x v="994"/>
    <x v="96"/>
    <x v="94"/>
    <x v="0"/>
    <x v="262"/>
    <x v="344"/>
    <x v="1"/>
    <x v="1039"/>
    <x v="36"/>
  </r>
  <r>
    <x v="670"/>
    <x v="29"/>
    <x v="1364"/>
    <x v="1034"/>
    <x v="1034"/>
    <x v="0"/>
    <x v="18"/>
    <x v="18"/>
    <x v="62"/>
    <x v="22"/>
    <x v="340"/>
    <x v="0"/>
    <x v="687"/>
    <x v="726"/>
    <x v="493"/>
    <x v="0"/>
    <x v="415"/>
    <x v="295"/>
    <x v="0"/>
    <x v="1816"/>
    <x v="30"/>
  </r>
  <r>
    <x v="173"/>
    <x v="57"/>
    <x v="612"/>
    <x v="1480"/>
    <x v="1480"/>
    <x v="1"/>
    <x v="4"/>
    <x v="4"/>
    <x v="47"/>
    <x v="362"/>
    <x v="129"/>
    <x v="1"/>
    <x v="433"/>
    <x v="37"/>
    <x v="969"/>
    <x v="104"/>
    <x v="428"/>
    <x v="528"/>
    <x v="1"/>
    <x v="204"/>
    <x v="15"/>
  </r>
  <r>
    <x v="211"/>
    <x v="607"/>
    <x v="613"/>
    <x v="1082"/>
    <x v="1082"/>
    <x v="0"/>
    <x v="16"/>
    <x v="16"/>
    <x v="65"/>
    <x v="282"/>
    <x v="422"/>
    <x v="0"/>
    <x v="1083"/>
    <x v="646"/>
    <x v="953"/>
    <x v="0"/>
    <x v="336"/>
    <x v="751"/>
    <x v="1"/>
    <x v="1646"/>
    <x v="11"/>
  </r>
  <r>
    <x v="282"/>
    <x v="636"/>
    <x v="614"/>
    <x v="1357"/>
    <x v="1357"/>
    <x v="1"/>
    <x v="11"/>
    <x v="11"/>
    <x v="41"/>
    <x v="20"/>
    <x v="347"/>
    <x v="0"/>
    <x v="1430"/>
    <x v="576"/>
    <x v="368"/>
    <x v="0"/>
    <x v="751"/>
    <x v="59"/>
    <x v="0"/>
    <x v="1785"/>
    <x v="15"/>
  </r>
  <r>
    <x v="585"/>
    <x v="75"/>
    <x v="615"/>
    <x v="328"/>
    <x v="328"/>
    <x v="0"/>
    <x v="15"/>
    <x v="15"/>
    <x v="43"/>
    <x v="102"/>
    <x v="394"/>
    <x v="0"/>
    <x v="884"/>
    <x v="222"/>
    <x v="361"/>
    <x v="550"/>
    <x v="685"/>
    <x v="149"/>
    <x v="0"/>
    <x v="1402"/>
    <x v="2"/>
  </r>
  <r>
    <x v="289"/>
    <x v="738"/>
    <x v="616"/>
    <x v="512"/>
    <x v="512"/>
    <x v="1"/>
    <x v="7"/>
    <x v="7"/>
    <x v="63"/>
    <x v="435"/>
    <x v="385"/>
    <x v="0"/>
    <x v="1040"/>
    <x v="667"/>
    <x v="879"/>
    <x v="0"/>
    <x v="427"/>
    <x v="282"/>
    <x v="0"/>
    <x v="510"/>
    <x v="11"/>
  </r>
  <r>
    <x v="719"/>
    <x v="132"/>
    <x v="617"/>
    <x v="751"/>
    <x v="751"/>
    <x v="0"/>
    <x v="19"/>
    <x v="19"/>
    <x v="1"/>
    <x v="403"/>
    <x v="131"/>
    <x v="1"/>
    <x v="1188"/>
    <x v="60"/>
    <x v="923"/>
    <x v="285"/>
    <x v="408"/>
    <x v="265"/>
    <x v="0"/>
    <x v="635"/>
    <x v="23"/>
  </r>
  <r>
    <x v="122"/>
    <x v="655"/>
    <x v="618"/>
    <x v="413"/>
    <x v="413"/>
    <x v="0"/>
    <x v="3"/>
    <x v="3"/>
    <x v="46"/>
    <x v="220"/>
    <x v="303"/>
    <x v="0"/>
    <x v="690"/>
    <x v="73"/>
    <x v="1132"/>
    <x v="0"/>
    <x v="516"/>
    <x v="351"/>
    <x v="1"/>
    <x v="1435"/>
    <x v="23"/>
  </r>
  <r>
    <x v="48"/>
    <x v="347"/>
    <x v="619"/>
    <x v="1279"/>
    <x v="1279"/>
    <x v="0"/>
    <x v="2"/>
    <x v="2"/>
    <x v="41"/>
    <x v="356"/>
    <x v="436"/>
    <x v="0"/>
    <x v="1312"/>
    <x v="666"/>
    <x v="854"/>
    <x v="0"/>
    <x v="533"/>
    <x v="349"/>
    <x v="1"/>
    <x v="1127"/>
    <x v="15"/>
  </r>
  <r>
    <x v="38"/>
    <x v="779"/>
    <x v="620"/>
    <x v="1476"/>
    <x v="1476"/>
    <x v="0"/>
    <x v="2"/>
    <x v="2"/>
    <x v="52"/>
    <x v="374"/>
    <x v="547"/>
    <x v="0"/>
    <x v="1656"/>
    <x v="154"/>
    <x v="335"/>
    <x v="269"/>
    <x v="614"/>
    <x v="593"/>
    <x v="1"/>
    <x v="193"/>
    <x v="30"/>
  </r>
  <r>
    <x v="454"/>
    <x v="223"/>
    <x v="621"/>
    <x v="1143"/>
    <x v="1143"/>
    <x v="1"/>
    <x v="13"/>
    <x v="13"/>
    <x v="60"/>
    <x v="271"/>
    <x v="172"/>
    <x v="1"/>
    <x v="299"/>
    <x v="571"/>
    <x v="1058"/>
    <x v="448"/>
    <x v="344"/>
    <x v="272"/>
    <x v="0"/>
    <x v="1598"/>
    <x v="15"/>
  </r>
  <r>
    <x v="167"/>
    <x v="462"/>
    <x v="622"/>
    <x v="1523"/>
    <x v="1523"/>
    <x v="0"/>
    <x v="6"/>
    <x v="6"/>
    <x v="42"/>
    <x v="353"/>
    <x v="386"/>
    <x v="0"/>
    <x v="679"/>
    <x v="32"/>
    <x v="363"/>
    <x v="260"/>
    <x v="222"/>
    <x v="310"/>
    <x v="0"/>
    <x v="488"/>
    <x v="15"/>
  </r>
  <r>
    <x v="205"/>
    <x v="783"/>
    <x v="623"/>
    <x v="1640"/>
    <x v="1640"/>
    <x v="1"/>
    <x v="4"/>
    <x v="4"/>
    <x v="58"/>
    <x v="131"/>
    <x v="496"/>
    <x v="0"/>
    <x v="657"/>
    <x v="582"/>
    <x v="20"/>
    <x v="77"/>
    <x v="492"/>
    <x v="374"/>
    <x v="1"/>
    <x v="1794"/>
    <x v="46"/>
  </r>
  <r>
    <x v="689"/>
    <x v="42"/>
    <x v="624"/>
    <x v="269"/>
    <x v="269"/>
    <x v="0"/>
    <x v="18"/>
    <x v="18"/>
    <x v="37"/>
    <x v="421"/>
    <x v="68"/>
    <x v="1"/>
    <x v="208"/>
    <x v="161"/>
    <x v="1131"/>
    <x v="567"/>
    <x v="361"/>
    <x v="306"/>
    <x v="0"/>
    <x v="972"/>
    <x v="25"/>
  </r>
  <r>
    <x v="127"/>
    <x v="717"/>
    <x v="625"/>
    <x v="1684"/>
    <x v="1684"/>
    <x v="0"/>
    <x v="3"/>
    <x v="3"/>
    <x v="42"/>
    <x v="332"/>
    <x v="525"/>
    <x v="0"/>
    <x v="1227"/>
    <x v="675"/>
    <x v="682"/>
    <x v="0"/>
    <x v="372"/>
    <x v="511"/>
    <x v="1"/>
    <x v="408"/>
    <x v="30"/>
  </r>
  <r>
    <x v="565"/>
    <x v="197"/>
    <x v="626"/>
    <x v="599"/>
    <x v="599"/>
    <x v="0"/>
    <x v="15"/>
    <x v="15"/>
    <x v="65"/>
    <x v="143"/>
    <x v="385"/>
    <x v="0"/>
    <x v="1033"/>
    <x v="569"/>
    <x v="734"/>
    <x v="0"/>
    <x v="536"/>
    <x v="344"/>
    <x v="1"/>
    <x v="1744"/>
    <x v="23"/>
  </r>
  <r>
    <x v="513"/>
    <x v="582"/>
    <x v="627"/>
    <x v="433"/>
    <x v="433"/>
    <x v="0"/>
    <x v="13"/>
    <x v="13"/>
    <x v="47"/>
    <x v="475"/>
    <x v="481"/>
    <x v="0"/>
    <x v="1319"/>
    <x v="310"/>
    <x v="879"/>
    <x v="0"/>
    <x v="234"/>
    <x v="688"/>
    <x v="1"/>
    <x v="729"/>
    <x v="25"/>
  </r>
  <r>
    <x v="403"/>
    <x v="813"/>
    <x v="628"/>
    <x v="1762"/>
    <x v="1762"/>
    <x v="1"/>
    <x v="9"/>
    <x v="9"/>
    <x v="32"/>
    <x v="421"/>
    <x v="158"/>
    <x v="1"/>
    <x v="104"/>
    <x v="424"/>
    <x v="536"/>
    <x v="715"/>
    <x v="451"/>
    <x v="295"/>
    <x v="0"/>
    <x v="929"/>
    <x v="11"/>
  </r>
  <r>
    <x v="378"/>
    <x v="723"/>
    <x v="629"/>
    <x v="128"/>
    <x v="128"/>
    <x v="0"/>
    <x v="19"/>
    <x v="19"/>
    <x v="45"/>
    <x v="351"/>
    <x v="357"/>
    <x v="0"/>
    <x v="781"/>
    <x v="76"/>
    <x v="475"/>
    <x v="586"/>
    <x v="464"/>
    <x v="689"/>
    <x v="1"/>
    <x v="1442"/>
    <x v="2"/>
  </r>
  <r>
    <x v="268"/>
    <x v="394"/>
    <x v="630"/>
    <x v="603"/>
    <x v="603"/>
    <x v="0"/>
    <x v="10"/>
    <x v="10"/>
    <x v="68"/>
    <x v="423"/>
    <x v="249"/>
    <x v="1"/>
    <x v="603"/>
    <x v="601"/>
    <x v="627"/>
    <x v="0"/>
    <x v="544"/>
    <x v="487"/>
    <x v="1"/>
    <x v="192"/>
    <x v="7"/>
  </r>
  <r>
    <x v="650"/>
    <x v="792"/>
    <x v="631"/>
    <x v="313"/>
    <x v="313"/>
    <x v="0"/>
    <x v="18"/>
    <x v="18"/>
    <x v="66"/>
    <x v="367"/>
    <x v="48"/>
    <x v="1"/>
    <x v="73"/>
    <x v="34"/>
    <x v="778"/>
    <x v="280"/>
    <x v="409"/>
    <x v="387"/>
    <x v="1"/>
    <x v="228"/>
    <x v="38"/>
  </r>
  <r>
    <x v="181"/>
    <x v="215"/>
    <x v="632"/>
    <x v="1094"/>
    <x v="1094"/>
    <x v="0"/>
    <x v="4"/>
    <x v="4"/>
    <x v="49"/>
    <x v="206"/>
    <x v="552"/>
    <x v="0"/>
    <x v="732"/>
    <x v="283"/>
    <x v="103"/>
    <x v="482"/>
    <x v="525"/>
    <x v="437"/>
    <x v="1"/>
    <x v="1404"/>
    <x v="23"/>
  </r>
  <r>
    <x v="139"/>
    <x v="586"/>
    <x v="633"/>
    <x v="1443"/>
    <x v="1443"/>
    <x v="1"/>
    <x v="2"/>
    <x v="2"/>
    <x v="42"/>
    <x v="378"/>
    <x v="494"/>
    <x v="0"/>
    <x v="347"/>
    <x v="96"/>
    <x v="739"/>
    <x v="573"/>
    <x v="649"/>
    <x v="597"/>
    <x v="1"/>
    <x v="378"/>
    <x v="38"/>
  </r>
  <r>
    <x v="148"/>
    <x v="573"/>
    <x v="634"/>
    <x v="1259"/>
    <x v="1259"/>
    <x v="0"/>
    <x v="3"/>
    <x v="3"/>
    <x v="14"/>
    <x v="405"/>
    <x v="266"/>
    <x v="0"/>
    <x v="1317"/>
    <x v="97"/>
    <x v="381"/>
    <x v="648"/>
    <x v="332"/>
    <x v="660"/>
    <x v="1"/>
    <x v="801"/>
    <x v="47"/>
  </r>
  <r>
    <x v="435"/>
    <x v="19"/>
    <x v="635"/>
    <x v="1682"/>
    <x v="1682"/>
    <x v="0"/>
    <x v="17"/>
    <x v="17"/>
    <x v="1"/>
    <x v="115"/>
    <x v="69"/>
    <x v="1"/>
    <x v="550"/>
    <x v="89"/>
    <x v="1034"/>
    <x v="0"/>
    <x v="295"/>
    <x v="156"/>
    <x v="0"/>
    <x v="1629"/>
    <x v="30"/>
  </r>
  <r>
    <x v="68"/>
    <x v="286"/>
    <x v="636"/>
    <x v="1156"/>
    <x v="1156"/>
    <x v="0"/>
    <x v="2"/>
    <x v="2"/>
    <x v="35"/>
    <x v="21"/>
    <x v="431"/>
    <x v="0"/>
    <x v="1341"/>
    <x v="147"/>
    <x v="16"/>
    <x v="447"/>
    <x v="537"/>
    <x v="189"/>
    <x v="0"/>
    <x v="1603"/>
    <x v="49"/>
  </r>
  <r>
    <x v="670"/>
    <x v="29"/>
    <x v="637"/>
    <x v="375"/>
    <x v="375"/>
    <x v="0"/>
    <x v="17"/>
    <x v="17"/>
    <x v="0"/>
    <x v="49"/>
    <x v="399"/>
    <x v="0"/>
    <x v="1295"/>
    <x v="628"/>
    <x v="759"/>
    <x v="0"/>
    <x v="251"/>
    <x v="215"/>
    <x v="0"/>
    <x v="944"/>
    <x v="30"/>
  </r>
  <r>
    <x v="670"/>
    <x v="29"/>
    <x v="637"/>
    <x v="375"/>
    <x v="375"/>
    <x v="0"/>
    <x v="18"/>
    <x v="18"/>
    <x v="52"/>
    <x v="47"/>
    <x v="422"/>
    <x v="0"/>
    <x v="1310"/>
    <x v="569"/>
    <x v="753"/>
    <x v="0"/>
    <x v="285"/>
    <x v="184"/>
    <x v="0"/>
    <x v="941"/>
    <x v="30"/>
  </r>
  <r>
    <x v="185"/>
    <x v="739"/>
    <x v="638"/>
    <x v="1182"/>
    <x v="1182"/>
    <x v="0"/>
    <x v="4"/>
    <x v="4"/>
    <x v="42"/>
    <x v="30"/>
    <x v="286"/>
    <x v="0"/>
    <x v="874"/>
    <x v="70"/>
    <x v="59"/>
    <x v="472"/>
    <x v="413"/>
    <x v="99"/>
    <x v="0"/>
    <x v="578"/>
    <x v="33"/>
  </r>
  <r>
    <x v="65"/>
    <x v="5"/>
    <x v="639"/>
    <x v="1195"/>
    <x v="1195"/>
    <x v="0"/>
    <x v="4"/>
    <x v="4"/>
    <x v="60"/>
    <x v="192"/>
    <x v="146"/>
    <x v="1"/>
    <x v="368"/>
    <x v="7"/>
    <x v="615"/>
    <x v="0"/>
    <x v="507"/>
    <x v="106"/>
    <x v="0"/>
    <x v="1499"/>
    <x v="36"/>
  </r>
  <r>
    <x v="145"/>
    <x v="67"/>
    <x v="640"/>
    <x v="674"/>
    <x v="674"/>
    <x v="1"/>
    <x v="15"/>
    <x v="15"/>
    <x v="0"/>
    <x v="123"/>
    <x v="471"/>
    <x v="0"/>
    <x v="1547"/>
    <x v="566"/>
    <x v="393"/>
    <x v="0"/>
    <x v="684"/>
    <x v="546"/>
    <x v="1"/>
    <x v="1683"/>
    <x v="23"/>
  </r>
  <r>
    <x v="157"/>
    <x v="144"/>
    <x v="641"/>
    <x v="393"/>
    <x v="393"/>
    <x v="0"/>
    <x v="5"/>
    <x v="5"/>
    <x v="52"/>
    <x v="81"/>
    <x v="443"/>
    <x v="0"/>
    <x v="1121"/>
    <x v="109"/>
    <x v="153"/>
    <x v="0"/>
    <x v="483"/>
    <x v="168"/>
    <x v="0"/>
    <x v="1549"/>
    <x v="22"/>
  </r>
  <r>
    <x v="556"/>
    <x v="30"/>
    <x v="642"/>
    <x v="582"/>
    <x v="582"/>
    <x v="0"/>
    <x v="16"/>
    <x v="16"/>
    <x v="38"/>
    <x v="160"/>
    <x v="355"/>
    <x v="0"/>
    <x v="1251"/>
    <x v="354"/>
    <x v="551"/>
    <x v="0"/>
    <x v="536"/>
    <x v="208"/>
    <x v="0"/>
    <x v="1087"/>
    <x v="25"/>
  </r>
  <r>
    <x v="148"/>
    <x v="573"/>
    <x v="643"/>
    <x v="524"/>
    <x v="524"/>
    <x v="0"/>
    <x v="3"/>
    <x v="3"/>
    <x v="13"/>
    <x v="340"/>
    <x v="472"/>
    <x v="0"/>
    <x v="1437"/>
    <x v="590"/>
    <x v="673"/>
    <x v="0"/>
    <x v="527"/>
    <x v="574"/>
    <x v="1"/>
    <x v="308"/>
    <x v="47"/>
  </r>
  <r>
    <x v="439"/>
    <x v="610"/>
    <x v="644"/>
    <x v="1116"/>
    <x v="1116"/>
    <x v="0"/>
    <x v="13"/>
    <x v="13"/>
    <x v="57"/>
    <x v="230"/>
    <x v="512"/>
    <x v="0"/>
    <x v="1470"/>
    <x v="511"/>
    <x v="587"/>
    <x v="0"/>
    <x v="554"/>
    <x v="589"/>
    <x v="1"/>
    <x v="1215"/>
    <x v="14"/>
  </r>
  <r>
    <x v="53"/>
    <x v="213"/>
    <x v="645"/>
    <x v="796"/>
    <x v="796"/>
    <x v="0"/>
    <x v="12"/>
    <x v="12"/>
    <x v="44"/>
    <x v="301"/>
    <x v="565"/>
    <x v="0"/>
    <x v="1517"/>
    <x v="201"/>
    <x v="864"/>
    <x v="0"/>
    <x v="633"/>
    <x v="653"/>
    <x v="1"/>
    <x v="1371"/>
    <x v="26"/>
  </r>
  <r>
    <x v="541"/>
    <x v="66"/>
    <x v="646"/>
    <x v="1413"/>
    <x v="1413"/>
    <x v="0"/>
    <x v="15"/>
    <x v="15"/>
    <x v="2"/>
    <x v="181"/>
    <x v="380"/>
    <x v="0"/>
    <x v="1010"/>
    <x v="178"/>
    <x v="509"/>
    <x v="299"/>
    <x v="275"/>
    <x v="303"/>
    <x v="0"/>
    <x v="1069"/>
    <x v="25"/>
  </r>
  <r>
    <x v="119"/>
    <x v="801"/>
    <x v="647"/>
    <x v="912"/>
    <x v="912"/>
    <x v="0"/>
    <x v="12"/>
    <x v="12"/>
    <x v="46"/>
    <x v="225"/>
    <x v="299"/>
    <x v="0"/>
    <x v="1206"/>
    <x v="34"/>
    <x v="21"/>
    <x v="0"/>
    <x v="411"/>
    <x v="208"/>
    <x v="0"/>
    <x v="383"/>
    <x v="15"/>
  </r>
  <r>
    <x v="343"/>
    <x v="126"/>
    <x v="1061"/>
    <x v="1383"/>
    <x v="1383"/>
    <x v="1"/>
    <x v="7"/>
    <x v="7"/>
    <x v="48"/>
    <x v="275"/>
    <x v="222"/>
    <x v="1"/>
    <x v="622"/>
    <x v="814"/>
    <x v="402"/>
    <x v="0"/>
    <x v="277"/>
    <x v="444"/>
    <x v="1"/>
    <x v="1251"/>
    <x v="12"/>
  </r>
  <r>
    <x v="437"/>
    <x v="189"/>
    <x v="649"/>
    <x v="264"/>
    <x v="264"/>
    <x v="0"/>
    <x v="16"/>
    <x v="16"/>
    <x v="61"/>
    <x v="231"/>
    <x v="331"/>
    <x v="0"/>
    <x v="1268"/>
    <x v="616"/>
    <x v="968"/>
    <x v="0"/>
    <x v="613"/>
    <x v="365"/>
    <x v="1"/>
    <x v="167"/>
    <x v="13"/>
  </r>
  <r>
    <x v="80"/>
    <x v="558"/>
    <x v="650"/>
    <x v="577"/>
    <x v="577"/>
    <x v="1"/>
    <x v="15"/>
    <x v="15"/>
    <x v="43"/>
    <x v="361"/>
    <x v="395"/>
    <x v="0"/>
    <x v="1085"/>
    <x v="38"/>
    <x v="876"/>
    <x v="0"/>
    <x v="765"/>
    <x v="745"/>
    <x v="1"/>
    <x v="804"/>
    <x v="15"/>
  </r>
  <r>
    <x v="359"/>
    <x v="612"/>
    <x v="651"/>
    <x v="1078"/>
    <x v="1078"/>
    <x v="0"/>
    <x v="7"/>
    <x v="7"/>
    <x v="64"/>
    <x v="291"/>
    <x v="13"/>
    <x v="1"/>
    <x v="32"/>
    <x v="41"/>
    <x v="1197"/>
    <x v="0"/>
    <x v="418"/>
    <x v="164"/>
    <x v="0"/>
    <x v="603"/>
    <x v="23"/>
  </r>
  <r>
    <x v="103"/>
    <x v="589"/>
    <x v="652"/>
    <x v="1129"/>
    <x v="1129"/>
    <x v="0"/>
    <x v="5"/>
    <x v="5"/>
    <x v="66"/>
    <x v="362"/>
    <x v="569"/>
    <x v="0"/>
    <x v="1642"/>
    <x v="376"/>
    <x v="845"/>
    <x v="473"/>
    <x v="478"/>
    <x v="754"/>
    <x v="1"/>
    <x v="73"/>
    <x v="11"/>
  </r>
  <r>
    <x v="623"/>
    <x v="416"/>
    <x v="653"/>
    <x v="1373"/>
    <x v="1373"/>
    <x v="0"/>
    <x v="16"/>
    <x v="16"/>
    <x v="50"/>
    <x v="470"/>
    <x v="321"/>
    <x v="0"/>
    <x v="1254"/>
    <x v="222"/>
    <x v="787"/>
    <x v="618"/>
    <x v="239"/>
    <x v="86"/>
    <x v="0"/>
    <x v="993"/>
    <x v="25"/>
  </r>
  <r>
    <x v="625"/>
    <x v="603"/>
    <x v="654"/>
    <x v="994"/>
    <x v="994"/>
    <x v="0"/>
    <x v="16"/>
    <x v="16"/>
    <x v="34"/>
    <x v="164"/>
    <x v="403"/>
    <x v="0"/>
    <x v="1285"/>
    <x v="231"/>
    <x v="113"/>
    <x v="499"/>
    <x v="584"/>
    <x v="237"/>
    <x v="0"/>
    <x v="530"/>
    <x v="2"/>
  </r>
  <r>
    <x v="560"/>
    <x v="432"/>
    <x v="655"/>
    <x v="1445"/>
    <x v="1445"/>
    <x v="1"/>
    <x v="17"/>
    <x v="17"/>
    <x v="53"/>
    <x v="174"/>
    <x v="107"/>
    <x v="1"/>
    <x v="24"/>
    <x v="93"/>
    <x v="971"/>
    <x v="627"/>
    <x v="424"/>
    <x v="22"/>
    <x v="0"/>
    <x v="1325"/>
    <x v="23"/>
  </r>
  <r>
    <x v="347"/>
    <x v="595"/>
    <x v="656"/>
    <x v="247"/>
    <x v="247"/>
    <x v="0"/>
    <x v="20"/>
    <x v="20"/>
    <x v="66"/>
    <x v="214"/>
    <x v="504"/>
    <x v="0"/>
    <x v="1605"/>
    <x v="340"/>
    <x v="930"/>
    <x v="0"/>
    <x v="149"/>
    <x v="514"/>
    <x v="1"/>
    <x v="111"/>
    <x v="38"/>
  </r>
  <r>
    <x v="76"/>
    <x v="174"/>
    <x v="657"/>
    <x v="1742"/>
    <x v="1742"/>
    <x v="0"/>
    <x v="1"/>
    <x v="1"/>
    <x v="55"/>
    <x v="106"/>
    <x v="430"/>
    <x v="0"/>
    <x v="516"/>
    <x v="109"/>
    <x v="5"/>
    <x v="390"/>
    <x v="508"/>
    <x v="278"/>
    <x v="0"/>
    <x v="1622"/>
    <x v="36"/>
  </r>
  <r>
    <x v="495"/>
    <x v="751"/>
    <x v="657"/>
    <x v="538"/>
    <x v="538"/>
    <x v="0"/>
    <x v="12"/>
    <x v="12"/>
    <x v="47"/>
    <x v="274"/>
    <x v="462"/>
    <x v="0"/>
    <x v="1498"/>
    <x v="88"/>
    <x v="613"/>
    <x v="164"/>
    <x v="559"/>
    <x v="433"/>
    <x v="1"/>
    <x v="828"/>
    <x v="25"/>
  </r>
  <r>
    <x v="471"/>
    <x v="724"/>
    <x v="657"/>
    <x v="200"/>
    <x v="200"/>
    <x v="0"/>
    <x v="12"/>
    <x v="12"/>
    <x v="47"/>
    <x v="307"/>
    <x v="507"/>
    <x v="0"/>
    <x v="924"/>
    <x v="417"/>
    <x v="245"/>
    <x v="277"/>
    <x v="460"/>
    <x v="574"/>
    <x v="1"/>
    <x v="1216"/>
    <x v="11"/>
  </r>
  <r>
    <x v="634"/>
    <x v="165"/>
    <x v="1320"/>
    <x v="1365"/>
    <x v="1365"/>
    <x v="0"/>
    <x v="18"/>
    <x v="18"/>
    <x v="61"/>
    <x v="355"/>
    <x v="363"/>
    <x v="0"/>
    <x v="1279"/>
    <x v="261"/>
    <x v="1079"/>
    <x v="0"/>
    <x v="484"/>
    <x v="570"/>
    <x v="1"/>
    <x v="563"/>
    <x v="25"/>
  </r>
  <r>
    <x v="401"/>
    <x v="454"/>
    <x v="1513"/>
    <x v="1270"/>
    <x v="1270"/>
    <x v="1"/>
    <x v="18"/>
    <x v="18"/>
    <x v="61"/>
    <x v="141"/>
    <x v="386"/>
    <x v="0"/>
    <x v="1172"/>
    <x v="760"/>
    <x v="982"/>
    <x v="0"/>
    <x v="752"/>
    <x v="567"/>
    <x v="1"/>
    <x v="1704"/>
    <x v="11"/>
  </r>
  <r>
    <x v="83"/>
    <x v="681"/>
    <x v="660"/>
    <x v="775"/>
    <x v="775"/>
    <x v="0"/>
    <x v="7"/>
    <x v="7"/>
    <x v="68"/>
    <x v="412"/>
    <x v="424"/>
    <x v="0"/>
    <x v="635"/>
    <x v="406"/>
    <x v="1006"/>
    <x v="0"/>
    <x v="677"/>
    <x v="585"/>
    <x v="1"/>
    <x v="521"/>
    <x v="29"/>
  </r>
  <r>
    <x v="193"/>
    <x v="98"/>
    <x v="1072"/>
    <x v="1761"/>
    <x v="1761"/>
    <x v="0"/>
    <x v="7"/>
    <x v="7"/>
    <x v="53"/>
    <x v="435"/>
    <x v="283"/>
    <x v="0"/>
    <x v="624"/>
    <x v="681"/>
    <x v="853"/>
    <x v="226"/>
    <x v="413"/>
    <x v="423"/>
    <x v="1"/>
    <x v="1016"/>
    <x v="11"/>
  </r>
  <r>
    <x v="731"/>
    <x v="159"/>
    <x v="662"/>
    <x v="362"/>
    <x v="362"/>
    <x v="0"/>
    <x v="19"/>
    <x v="19"/>
    <x v="66"/>
    <x v="253"/>
    <x v="78"/>
    <x v="1"/>
    <x v="58"/>
    <x v="264"/>
    <x v="1106"/>
    <x v="0"/>
    <x v="276"/>
    <x v="62"/>
    <x v="0"/>
    <x v="883"/>
    <x v="28"/>
  </r>
  <r>
    <x v="454"/>
    <x v="223"/>
    <x v="663"/>
    <x v="988"/>
    <x v="988"/>
    <x v="0"/>
    <x v="15"/>
    <x v="15"/>
    <x v="58"/>
    <x v="407"/>
    <x v="59"/>
    <x v="1"/>
    <x v="259"/>
    <x v="546"/>
    <x v="220"/>
    <x v="277"/>
    <x v="215"/>
    <x v="156"/>
    <x v="0"/>
    <x v="509"/>
    <x v="15"/>
  </r>
  <r>
    <x v="155"/>
    <x v="716"/>
    <x v="664"/>
    <x v="778"/>
    <x v="778"/>
    <x v="0"/>
    <x v="5"/>
    <x v="5"/>
    <x v="43"/>
    <x v="418"/>
    <x v="533"/>
    <x v="0"/>
    <x v="1092"/>
    <x v="57"/>
    <x v="506"/>
    <x v="0"/>
    <x v="441"/>
    <x v="751"/>
    <x v="1"/>
    <x v="1068"/>
    <x v="30"/>
  </r>
  <r>
    <x v="212"/>
    <x v="157"/>
    <x v="665"/>
    <x v="1739"/>
    <x v="1739"/>
    <x v="1"/>
    <x v="5"/>
    <x v="5"/>
    <x v="47"/>
    <x v="443"/>
    <x v="391"/>
    <x v="0"/>
    <x v="629"/>
    <x v="644"/>
    <x v="803"/>
    <x v="0"/>
    <x v="282"/>
    <x v="743"/>
    <x v="1"/>
    <x v="1605"/>
    <x v="15"/>
  </r>
  <r>
    <x v="407"/>
    <x v="209"/>
    <x v="666"/>
    <x v="827"/>
    <x v="827"/>
    <x v="0"/>
    <x v="13"/>
    <x v="13"/>
    <x v="46"/>
    <x v="181"/>
    <x v="518"/>
    <x v="0"/>
    <x v="1654"/>
    <x v="189"/>
    <x v="657"/>
    <x v="0"/>
    <x v="46"/>
    <x v="670"/>
    <x v="1"/>
    <x v="844"/>
    <x v="13"/>
  </r>
  <r>
    <x v="240"/>
    <x v="316"/>
    <x v="667"/>
    <x v="379"/>
    <x v="379"/>
    <x v="1"/>
    <x v="6"/>
    <x v="6"/>
    <x v="55"/>
    <x v="545"/>
    <x v="516"/>
    <x v="0"/>
    <x v="1644"/>
    <x v="537"/>
    <x v="1049"/>
    <x v="155"/>
    <x v="1"/>
    <x v="714"/>
    <x v="1"/>
    <x v="715"/>
    <x v="30"/>
  </r>
  <r>
    <x v="34"/>
    <x v="361"/>
    <x v="668"/>
    <x v="1772"/>
    <x v="1772"/>
    <x v="1"/>
    <x v="15"/>
    <x v="15"/>
    <x v="48"/>
    <x v="311"/>
    <x v="147"/>
    <x v="1"/>
    <x v="344"/>
    <x v="486"/>
    <x v="670"/>
    <x v="192"/>
    <x v="551"/>
    <x v="54"/>
    <x v="0"/>
    <x v="1524"/>
    <x v="7"/>
  </r>
  <r>
    <x v="371"/>
    <x v="130"/>
    <x v="1087"/>
    <x v="794"/>
    <x v="794"/>
    <x v="0"/>
    <x v="18"/>
    <x v="18"/>
    <x v="60"/>
    <x v="451"/>
    <x v="513"/>
    <x v="0"/>
    <x v="1555"/>
    <x v="168"/>
    <x v="819"/>
    <x v="283"/>
    <x v="465"/>
    <x v="376"/>
    <x v="1"/>
    <x v="899"/>
    <x v="13"/>
  </r>
  <r>
    <x v="268"/>
    <x v="394"/>
    <x v="670"/>
    <x v="454"/>
    <x v="454"/>
    <x v="1"/>
    <x v="9"/>
    <x v="9"/>
    <x v="33"/>
    <x v="302"/>
    <x v="348"/>
    <x v="0"/>
    <x v="314"/>
    <x v="652"/>
    <x v="1040"/>
    <x v="0"/>
    <x v="419"/>
    <x v="722"/>
    <x v="1"/>
    <x v="182"/>
    <x v="7"/>
  </r>
  <r>
    <x v="568"/>
    <x v="468"/>
    <x v="671"/>
    <x v="682"/>
    <x v="682"/>
    <x v="1"/>
    <x v="19"/>
    <x v="19"/>
    <x v="7"/>
    <x v="415"/>
    <x v="157"/>
    <x v="1"/>
    <x v="956"/>
    <x v="447"/>
    <x v="959"/>
    <x v="0"/>
    <x v="431"/>
    <x v="67"/>
    <x v="0"/>
    <x v="674"/>
    <x v="25"/>
  </r>
  <r>
    <x v="529"/>
    <x v="101"/>
    <x v="672"/>
    <x v="595"/>
    <x v="595"/>
    <x v="0"/>
    <x v="13"/>
    <x v="13"/>
    <x v="36"/>
    <x v="121"/>
    <x v="449"/>
    <x v="0"/>
    <x v="890"/>
    <x v="129"/>
    <x v="132"/>
    <x v="23"/>
    <x v="425"/>
    <x v="553"/>
    <x v="1"/>
    <x v="1829"/>
    <x v="0"/>
  </r>
  <r>
    <x v="472"/>
    <x v="338"/>
    <x v="673"/>
    <x v="753"/>
    <x v="753"/>
    <x v="0"/>
    <x v="12"/>
    <x v="12"/>
    <x v="28"/>
    <x v="450"/>
    <x v="539"/>
    <x v="0"/>
    <x v="572"/>
    <x v="733"/>
    <x v="756"/>
    <x v="743"/>
    <x v="692"/>
    <x v="435"/>
    <x v="1"/>
    <x v="1200"/>
    <x v="23"/>
  </r>
  <r>
    <x v="40"/>
    <x v="532"/>
    <x v="674"/>
    <x v="719"/>
    <x v="719"/>
    <x v="1"/>
    <x v="0"/>
    <x v="0"/>
    <x v="35"/>
    <x v="362"/>
    <x v="80"/>
    <x v="1"/>
    <x v="21"/>
    <x v="740"/>
    <x v="1041"/>
    <x v="0"/>
    <x v="484"/>
    <x v="367"/>
    <x v="1"/>
    <x v="100"/>
    <x v="15"/>
  </r>
  <r>
    <x v="827"/>
    <x v="515"/>
    <x v="675"/>
    <x v="373"/>
    <x v="373"/>
    <x v="1"/>
    <x v="21"/>
    <x v="21"/>
    <x v="55"/>
    <x v="500"/>
    <x v="414"/>
    <x v="0"/>
    <x v="1111"/>
    <x v="620"/>
    <x v="247"/>
    <x v="47"/>
    <x v="514"/>
    <x v="408"/>
    <x v="1"/>
    <x v="465"/>
    <x v="15"/>
  </r>
  <r>
    <x v="80"/>
    <x v="558"/>
    <x v="676"/>
    <x v="1000"/>
    <x v="1000"/>
    <x v="1"/>
    <x v="4"/>
    <x v="4"/>
    <x v="61"/>
    <x v="557"/>
    <x v="346"/>
    <x v="0"/>
    <x v="1049"/>
    <x v="585"/>
    <x v="942"/>
    <x v="0"/>
    <x v="131"/>
    <x v="720"/>
    <x v="1"/>
    <x v="680"/>
    <x v="15"/>
  </r>
  <r>
    <x v="397"/>
    <x v="398"/>
    <x v="677"/>
    <x v="818"/>
    <x v="818"/>
    <x v="0"/>
    <x v="10"/>
    <x v="10"/>
    <x v="59"/>
    <x v="341"/>
    <x v="441"/>
    <x v="0"/>
    <x v="1316"/>
    <x v="160"/>
    <x v="9"/>
    <x v="0"/>
    <x v="181"/>
    <x v="674"/>
    <x v="1"/>
    <x v="1328"/>
    <x v="23"/>
  </r>
  <r>
    <x v="614"/>
    <x v="110"/>
    <x v="678"/>
    <x v="294"/>
    <x v="294"/>
    <x v="1"/>
    <x v="16"/>
    <x v="16"/>
    <x v="59"/>
    <x v="427"/>
    <x v="124"/>
    <x v="1"/>
    <x v="279"/>
    <x v="815"/>
    <x v="621"/>
    <x v="42"/>
    <x v="106"/>
    <x v="71"/>
    <x v="0"/>
    <x v="1693"/>
    <x v="11"/>
  </r>
  <r>
    <x v="476"/>
    <x v="211"/>
    <x v="679"/>
    <x v="153"/>
    <x v="153"/>
    <x v="0"/>
    <x v="14"/>
    <x v="14"/>
    <x v="44"/>
    <x v="163"/>
    <x v="568"/>
    <x v="0"/>
    <x v="1661"/>
    <x v="173"/>
    <x v="290"/>
    <x v="480"/>
    <x v="523"/>
    <x v="320"/>
    <x v="0"/>
    <x v="1754"/>
    <x v="25"/>
  </r>
  <r>
    <x v="439"/>
    <x v="610"/>
    <x v="680"/>
    <x v="1189"/>
    <x v="1189"/>
    <x v="0"/>
    <x v="11"/>
    <x v="11"/>
    <x v="49"/>
    <x v="479"/>
    <x v="202"/>
    <x v="1"/>
    <x v="160"/>
    <x v="686"/>
    <x v="183"/>
    <x v="430"/>
    <x v="232"/>
    <x v="588"/>
    <x v="1"/>
    <x v="1100"/>
    <x v="14"/>
  </r>
  <r>
    <x v="454"/>
    <x v="223"/>
    <x v="681"/>
    <x v="1518"/>
    <x v="1518"/>
    <x v="0"/>
    <x v="18"/>
    <x v="18"/>
    <x v="63"/>
    <x v="516"/>
    <x v="230"/>
    <x v="1"/>
    <x v="192"/>
    <x v="285"/>
    <x v="168"/>
    <x v="411"/>
    <x v="77"/>
    <x v="391"/>
    <x v="1"/>
    <x v="1364"/>
    <x v="15"/>
  </r>
  <r>
    <x v="454"/>
    <x v="223"/>
    <x v="681"/>
    <x v="1518"/>
    <x v="1518"/>
    <x v="0"/>
    <x v="18"/>
    <x v="18"/>
    <x v="0"/>
    <x v="525"/>
    <x v="222"/>
    <x v="1"/>
    <x v="167"/>
    <x v="316"/>
    <x v="198"/>
    <x v="376"/>
    <x v="77"/>
    <x v="379"/>
    <x v="1"/>
    <x v="1363"/>
    <x v="15"/>
  </r>
  <r>
    <x v="692"/>
    <x v="224"/>
    <x v="682"/>
    <x v="204"/>
    <x v="204"/>
    <x v="0"/>
    <x v="19"/>
    <x v="19"/>
    <x v="51"/>
    <x v="171"/>
    <x v="468"/>
    <x v="0"/>
    <x v="1220"/>
    <x v="524"/>
    <x v="360"/>
    <x v="0"/>
    <x v="117"/>
    <x v="369"/>
    <x v="1"/>
    <x v="725"/>
    <x v="23"/>
  </r>
  <r>
    <x v="118"/>
    <x v="175"/>
    <x v="683"/>
    <x v="1347"/>
    <x v="1347"/>
    <x v="1"/>
    <x v="6"/>
    <x v="6"/>
    <x v="43"/>
    <x v="380"/>
    <x v="458"/>
    <x v="0"/>
    <x v="1644"/>
    <x v="696"/>
    <x v="1002"/>
    <x v="0"/>
    <x v="491"/>
    <x v="386"/>
    <x v="1"/>
    <x v="219"/>
    <x v="18"/>
  </r>
  <r>
    <x v="695"/>
    <x v="504"/>
    <x v="79"/>
    <x v="1569"/>
    <x v="1569"/>
    <x v="0"/>
    <x v="18"/>
    <x v="18"/>
    <x v="57"/>
    <x v="266"/>
    <x v="552"/>
    <x v="0"/>
    <x v="1386"/>
    <x v="90"/>
    <x v="464"/>
    <x v="657"/>
    <x v="412"/>
    <x v="269"/>
    <x v="0"/>
    <x v="1477"/>
    <x v="25"/>
  </r>
  <r>
    <x v="602"/>
    <x v="658"/>
    <x v="685"/>
    <x v="430"/>
    <x v="430"/>
    <x v="0"/>
    <x v="21"/>
    <x v="21"/>
    <x v="59"/>
    <x v="118"/>
    <x v="283"/>
    <x v="0"/>
    <x v="982"/>
    <x v="534"/>
    <x v="891"/>
    <x v="0"/>
    <x v="232"/>
    <x v="201"/>
    <x v="0"/>
    <x v="728"/>
    <x v="23"/>
  </r>
  <r>
    <x v="698"/>
    <x v="149"/>
    <x v="686"/>
    <x v="397"/>
    <x v="397"/>
    <x v="0"/>
    <x v="20"/>
    <x v="20"/>
    <x v="58"/>
    <x v="476"/>
    <x v="168"/>
    <x v="1"/>
    <x v="851"/>
    <x v="456"/>
    <x v="946"/>
    <x v="98"/>
    <x v="33"/>
    <x v="635"/>
    <x v="1"/>
    <x v="710"/>
    <x v="23"/>
  </r>
  <r>
    <x v="136"/>
    <x v="472"/>
    <x v="687"/>
    <x v="415"/>
    <x v="415"/>
    <x v="1"/>
    <x v="12"/>
    <x v="12"/>
    <x v="49"/>
    <x v="418"/>
    <x v="116"/>
    <x v="1"/>
    <x v="335"/>
    <x v="270"/>
    <x v="164"/>
    <x v="12"/>
    <x v="523"/>
    <x v="265"/>
    <x v="0"/>
    <x v="1497"/>
    <x v="11"/>
  </r>
  <r>
    <x v="539"/>
    <x v="499"/>
    <x v="688"/>
    <x v="851"/>
    <x v="851"/>
    <x v="0"/>
    <x v="14"/>
    <x v="14"/>
    <x v="36"/>
    <x v="325"/>
    <x v="497"/>
    <x v="0"/>
    <x v="1067"/>
    <x v="244"/>
    <x v="386"/>
    <x v="0"/>
    <x v="412"/>
    <x v="665"/>
    <x v="1"/>
    <x v="1460"/>
    <x v="25"/>
  </r>
  <r>
    <x v="401"/>
    <x v="454"/>
    <x v="689"/>
    <x v="1223"/>
    <x v="1223"/>
    <x v="0"/>
    <x v="13"/>
    <x v="13"/>
    <x v="0"/>
    <x v="279"/>
    <x v="262"/>
    <x v="0"/>
    <x v="567"/>
    <x v="160"/>
    <x v="22"/>
    <x v="138"/>
    <x v="412"/>
    <x v="140"/>
    <x v="0"/>
    <x v="1611"/>
    <x v="11"/>
  </r>
  <r>
    <x v="354"/>
    <x v="737"/>
    <x v="690"/>
    <x v="1484"/>
    <x v="1484"/>
    <x v="0"/>
    <x v="7"/>
    <x v="7"/>
    <x v="65"/>
    <x v="275"/>
    <x v="344"/>
    <x v="0"/>
    <x v="1274"/>
    <x v="123"/>
    <x v="995"/>
    <x v="0"/>
    <x v="405"/>
    <x v="217"/>
    <x v="0"/>
    <x v="980"/>
    <x v="23"/>
  </r>
  <r>
    <x v="289"/>
    <x v="738"/>
    <x v="691"/>
    <x v="1132"/>
    <x v="1132"/>
    <x v="1"/>
    <x v="7"/>
    <x v="7"/>
    <x v="60"/>
    <x v="492"/>
    <x v="250"/>
    <x v="1"/>
    <x v="263"/>
    <x v="710"/>
    <x v="596"/>
    <x v="0"/>
    <x v="17"/>
    <x v="470"/>
    <x v="1"/>
    <x v="444"/>
    <x v="11"/>
  </r>
  <r>
    <x v="554"/>
    <x v="637"/>
    <x v="692"/>
    <x v="1320"/>
    <x v="1320"/>
    <x v="1"/>
    <x v="14"/>
    <x v="14"/>
    <x v="34"/>
    <x v="373"/>
    <x v="522"/>
    <x v="0"/>
    <x v="1325"/>
    <x v="487"/>
    <x v="193"/>
    <x v="0"/>
    <x v="398"/>
    <x v="522"/>
    <x v="1"/>
    <x v="810"/>
    <x v="13"/>
  </r>
  <r>
    <x v="220"/>
    <x v="797"/>
    <x v="693"/>
    <x v="1679"/>
    <x v="1679"/>
    <x v="0"/>
    <x v="4"/>
    <x v="4"/>
    <x v="46"/>
    <x v="368"/>
    <x v="135"/>
    <x v="1"/>
    <x v="1415"/>
    <x v="198"/>
    <x v="849"/>
    <x v="0"/>
    <x v="185"/>
    <x v="365"/>
    <x v="1"/>
    <x v="753"/>
    <x v="15"/>
  </r>
  <r>
    <x v="101"/>
    <x v="565"/>
    <x v="694"/>
    <x v="906"/>
    <x v="906"/>
    <x v="0"/>
    <x v="3"/>
    <x v="3"/>
    <x v="64"/>
    <x v="96"/>
    <x v="364"/>
    <x v="0"/>
    <x v="936"/>
    <x v="77"/>
    <x v="117"/>
    <x v="0"/>
    <x v="399"/>
    <x v="382"/>
    <x v="1"/>
    <x v="1732"/>
    <x v="46"/>
  </r>
  <r>
    <x v="532"/>
    <x v="163"/>
    <x v="695"/>
    <x v="1360"/>
    <x v="1360"/>
    <x v="0"/>
    <x v="15"/>
    <x v="15"/>
    <x v="45"/>
    <x v="89"/>
    <x v="110"/>
    <x v="1"/>
    <x v="507"/>
    <x v="113"/>
    <x v="872"/>
    <x v="486"/>
    <x v="418"/>
    <x v="122"/>
    <x v="0"/>
    <x v="1493"/>
    <x v="23"/>
  </r>
  <r>
    <x v="683"/>
    <x v="200"/>
    <x v="1198"/>
    <x v="1318"/>
    <x v="1318"/>
    <x v="1"/>
    <x v="18"/>
    <x v="18"/>
    <x v="56"/>
    <x v="211"/>
    <x v="366"/>
    <x v="0"/>
    <x v="975"/>
    <x v="821"/>
    <x v="489"/>
    <x v="35"/>
    <x v="648"/>
    <x v="109"/>
    <x v="0"/>
    <x v="1512"/>
    <x v="11"/>
  </r>
  <r>
    <x v="538"/>
    <x v="404"/>
    <x v="696"/>
    <x v="113"/>
    <x v="113"/>
    <x v="1"/>
    <x v="19"/>
    <x v="19"/>
    <x v="0"/>
    <x v="528"/>
    <x v="227"/>
    <x v="1"/>
    <x v="379"/>
    <x v="521"/>
    <x v="37"/>
    <x v="274"/>
    <x v="390"/>
    <x v="270"/>
    <x v="0"/>
    <x v="1580"/>
    <x v="7"/>
  </r>
  <r>
    <x v="30"/>
    <x v="489"/>
    <x v="697"/>
    <x v="1771"/>
    <x v="1771"/>
    <x v="0"/>
    <x v="7"/>
    <x v="7"/>
    <x v="60"/>
    <x v="284"/>
    <x v="249"/>
    <x v="1"/>
    <x v="222"/>
    <x v="193"/>
    <x v="213"/>
    <x v="726"/>
    <x v="179"/>
    <x v="255"/>
    <x v="0"/>
    <x v="1070"/>
    <x v="23"/>
  </r>
  <r>
    <x v="687"/>
    <x v="61"/>
    <x v="698"/>
    <x v="563"/>
    <x v="563"/>
    <x v="0"/>
    <x v="18"/>
    <x v="18"/>
    <x v="0"/>
    <x v="307"/>
    <x v="193"/>
    <x v="1"/>
    <x v="950"/>
    <x v="229"/>
    <x v="767"/>
    <x v="0"/>
    <x v="381"/>
    <x v="233"/>
    <x v="0"/>
    <x v="923"/>
    <x v="48"/>
  </r>
  <r>
    <x v="694"/>
    <x v="408"/>
    <x v="13"/>
    <x v="1217"/>
    <x v="1217"/>
    <x v="1"/>
    <x v="18"/>
    <x v="18"/>
    <x v="55"/>
    <x v="520"/>
    <x v="282"/>
    <x v="0"/>
    <x v="846"/>
    <x v="791"/>
    <x v="895"/>
    <x v="0"/>
    <x v="492"/>
    <x v="393"/>
    <x v="1"/>
    <x v="962"/>
    <x v="11"/>
  </r>
  <r>
    <x v="382"/>
    <x v="615"/>
    <x v="700"/>
    <x v="210"/>
    <x v="210"/>
    <x v="1"/>
    <x v="9"/>
    <x v="9"/>
    <x v="52"/>
    <x v="472"/>
    <x v="176"/>
    <x v="1"/>
    <x v="261"/>
    <x v="467"/>
    <x v="898"/>
    <x v="0"/>
    <x v="678"/>
    <x v="451"/>
    <x v="1"/>
    <x v="817"/>
    <x v="15"/>
  </r>
  <r>
    <x v="33"/>
    <x v="427"/>
    <x v="701"/>
    <x v="400"/>
    <x v="400"/>
    <x v="0"/>
    <x v="6"/>
    <x v="6"/>
    <x v="33"/>
    <x v="183"/>
    <x v="385"/>
    <x v="0"/>
    <x v="914"/>
    <x v="403"/>
    <x v="176"/>
    <x v="684"/>
    <x v="617"/>
    <x v="265"/>
    <x v="0"/>
    <x v="945"/>
    <x v="25"/>
  </r>
  <r>
    <x v="307"/>
    <x v="52"/>
    <x v="702"/>
    <x v="90"/>
    <x v="90"/>
    <x v="0"/>
    <x v="8"/>
    <x v="8"/>
    <x v="57"/>
    <x v="173"/>
    <x v="548"/>
    <x v="0"/>
    <x v="1232"/>
    <x v="102"/>
    <x v="158"/>
    <x v="0"/>
    <x v="657"/>
    <x v="603"/>
    <x v="1"/>
    <x v="596"/>
    <x v="38"/>
  </r>
  <r>
    <x v="219"/>
    <x v="551"/>
    <x v="703"/>
    <x v="1398"/>
    <x v="1398"/>
    <x v="0"/>
    <x v="4"/>
    <x v="4"/>
    <x v="44"/>
    <x v="469"/>
    <x v="485"/>
    <x v="0"/>
    <x v="1335"/>
    <x v="645"/>
    <x v="845"/>
    <x v="0"/>
    <x v="164"/>
    <x v="527"/>
    <x v="1"/>
    <x v="368"/>
    <x v="7"/>
  </r>
  <r>
    <x v="541"/>
    <x v="66"/>
    <x v="704"/>
    <x v="554"/>
    <x v="554"/>
    <x v="0"/>
    <x v="14"/>
    <x v="14"/>
    <x v="54"/>
    <x v="148"/>
    <x v="390"/>
    <x v="0"/>
    <x v="1371"/>
    <x v="118"/>
    <x v="1037"/>
    <x v="330"/>
    <x v="605"/>
    <x v="471"/>
    <x v="1"/>
    <x v="1176"/>
    <x v="25"/>
  </r>
  <r>
    <x v="396"/>
    <x v="273"/>
    <x v="705"/>
    <x v="905"/>
    <x v="905"/>
    <x v="0"/>
    <x v="14"/>
    <x v="14"/>
    <x v="46"/>
    <x v="328"/>
    <x v="422"/>
    <x v="0"/>
    <x v="779"/>
    <x v="181"/>
    <x v="280"/>
    <x v="40"/>
    <x v="604"/>
    <x v="590"/>
    <x v="1"/>
    <x v="1113"/>
    <x v="11"/>
  </r>
  <r>
    <x v="708"/>
    <x v="832"/>
    <x v="710"/>
    <x v="1297"/>
    <x v="1297"/>
    <x v="0"/>
    <x v="18"/>
    <x v="18"/>
    <x v="0"/>
    <x v="370"/>
    <x v="84"/>
    <x v="1"/>
    <x v="142"/>
    <x v="314"/>
    <x v="691"/>
    <x v="222"/>
    <x v="613"/>
    <x v="14"/>
    <x v="0"/>
    <x v="842"/>
    <x v="25"/>
  </r>
  <r>
    <x v="271"/>
    <x v="669"/>
    <x v="706"/>
    <x v="1654"/>
    <x v="1654"/>
    <x v="0"/>
    <x v="8"/>
    <x v="8"/>
    <x v="49"/>
    <x v="342"/>
    <x v="523"/>
    <x v="0"/>
    <x v="1474"/>
    <x v="24"/>
    <x v="432"/>
    <x v="0"/>
    <x v="629"/>
    <x v="661"/>
    <x v="1"/>
    <x v="695"/>
    <x v="34"/>
  </r>
  <r>
    <x v="54"/>
    <x v="592"/>
    <x v="850"/>
    <x v="717"/>
    <x v="717"/>
    <x v="0"/>
    <x v="18"/>
    <x v="18"/>
    <x v="54"/>
    <x v="267"/>
    <x v="303"/>
    <x v="0"/>
    <x v="626"/>
    <x v="613"/>
    <x v="363"/>
    <x v="0"/>
    <x v="412"/>
    <x v="364"/>
    <x v="1"/>
    <x v="1665"/>
    <x v="23"/>
  </r>
  <r>
    <x v="604"/>
    <x v="689"/>
    <x v="1596"/>
    <x v="585"/>
    <x v="585"/>
    <x v="0"/>
    <x v="18"/>
    <x v="18"/>
    <x v="54"/>
    <x v="303"/>
    <x v="326"/>
    <x v="0"/>
    <x v="552"/>
    <x v="721"/>
    <x v="352"/>
    <x v="465"/>
    <x v="105"/>
    <x v="559"/>
    <x v="1"/>
    <x v="1812"/>
    <x v="23"/>
  </r>
  <r>
    <x v="246"/>
    <x v="501"/>
    <x v="709"/>
    <x v="1440"/>
    <x v="1440"/>
    <x v="0"/>
    <x v="18"/>
    <x v="18"/>
    <x v="52"/>
    <x v="465"/>
    <x v="129"/>
    <x v="1"/>
    <x v="954"/>
    <x v="203"/>
    <x v="1046"/>
    <x v="539"/>
    <x v="420"/>
    <x v="252"/>
    <x v="0"/>
    <x v="415"/>
    <x v="23"/>
  </r>
  <r>
    <x v="437"/>
    <x v="189"/>
    <x v="1647"/>
    <x v="529"/>
    <x v="529"/>
    <x v="0"/>
    <x v="18"/>
    <x v="18"/>
    <x v="54"/>
    <x v="41"/>
    <x v="515"/>
    <x v="0"/>
    <x v="1463"/>
    <x v="227"/>
    <x v="155"/>
    <x v="314"/>
    <x v="333"/>
    <x v="220"/>
    <x v="0"/>
    <x v="726"/>
    <x v="13"/>
  </r>
  <r>
    <x v="510"/>
    <x v="477"/>
    <x v="712"/>
    <x v="1611"/>
    <x v="1611"/>
    <x v="0"/>
    <x v="13"/>
    <x v="13"/>
    <x v="37"/>
    <x v="419"/>
    <x v="310"/>
    <x v="0"/>
    <x v="689"/>
    <x v="139"/>
    <x v="429"/>
    <x v="522"/>
    <x v="289"/>
    <x v="152"/>
    <x v="0"/>
    <x v="977"/>
    <x v="25"/>
  </r>
  <r>
    <x v="587"/>
    <x v="227"/>
    <x v="713"/>
    <x v="1643"/>
    <x v="1643"/>
    <x v="0"/>
    <x v="16"/>
    <x v="16"/>
    <x v="53"/>
    <x v="271"/>
    <x v="361"/>
    <x v="0"/>
    <x v="210"/>
    <x v="97"/>
    <x v="207"/>
    <x v="626"/>
    <x v="293"/>
    <x v="308"/>
    <x v="0"/>
    <x v="942"/>
    <x v="25"/>
  </r>
  <r>
    <x v="491"/>
    <x v="73"/>
    <x v="1139"/>
    <x v="1531"/>
    <x v="1531"/>
    <x v="0"/>
    <x v="12"/>
    <x v="12"/>
    <x v="60"/>
    <x v="323"/>
    <x v="453"/>
    <x v="0"/>
    <x v="658"/>
    <x v="232"/>
    <x v="1070"/>
    <x v="0"/>
    <x v="302"/>
    <x v="571"/>
    <x v="1"/>
    <x v="607"/>
    <x v="11"/>
  </r>
  <r>
    <x v="199"/>
    <x v="767"/>
    <x v="715"/>
    <x v="1059"/>
    <x v="1059"/>
    <x v="0"/>
    <x v="5"/>
    <x v="5"/>
    <x v="58"/>
    <x v="137"/>
    <x v="430"/>
    <x v="0"/>
    <x v="882"/>
    <x v="163"/>
    <x v="239"/>
    <x v="0"/>
    <x v="443"/>
    <x v="298"/>
    <x v="0"/>
    <x v="202"/>
    <x v="46"/>
  </r>
  <r>
    <x v="284"/>
    <x v="746"/>
    <x v="716"/>
    <x v="782"/>
    <x v="782"/>
    <x v="0"/>
    <x v="10"/>
    <x v="10"/>
    <x v="50"/>
    <x v="391"/>
    <x v="215"/>
    <x v="1"/>
    <x v="1175"/>
    <x v="65"/>
    <x v="704"/>
    <x v="0"/>
    <x v="569"/>
    <x v="297"/>
    <x v="0"/>
    <x v="736"/>
    <x v="30"/>
  </r>
  <r>
    <x v="712"/>
    <x v="296"/>
    <x v="717"/>
    <x v="1363"/>
    <x v="1363"/>
    <x v="1"/>
    <x v="18"/>
    <x v="18"/>
    <x v="63"/>
    <x v="131"/>
    <x v="10"/>
    <x v="1"/>
    <x v="7"/>
    <x v="748"/>
    <x v="1171"/>
    <x v="0"/>
    <x v="405"/>
    <x v="71"/>
    <x v="0"/>
    <x v="281"/>
    <x v="11"/>
  </r>
  <r>
    <x v="34"/>
    <x v="361"/>
    <x v="718"/>
    <x v="987"/>
    <x v="987"/>
    <x v="1"/>
    <x v="2"/>
    <x v="2"/>
    <x v="45"/>
    <x v="433"/>
    <x v="522"/>
    <x v="0"/>
    <x v="892"/>
    <x v="699"/>
    <x v="1018"/>
    <x v="202"/>
    <x v="24"/>
    <x v="626"/>
    <x v="1"/>
    <x v="464"/>
    <x v="7"/>
  </r>
  <r>
    <x v="397"/>
    <x v="398"/>
    <x v="719"/>
    <x v="134"/>
    <x v="134"/>
    <x v="0"/>
    <x v="10"/>
    <x v="10"/>
    <x v="59"/>
    <x v="334"/>
    <x v="360"/>
    <x v="0"/>
    <x v="1521"/>
    <x v="385"/>
    <x v="157"/>
    <x v="0"/>
    <x v="436"/>
    <x v="529"/>
    <x v="1"/>
    <x v="1273"/>
    <x v="23"/>
  </r>
  <r>
    <x v="438"/>
    <x v="728"/>
    <x v="720"/>
    <x v="809"/>
    <x v="809"/>
    <x v="0"/>
    <x v="14"/>
    <x v="14"/>
    <x v="45"/>
    <x v="257"/>
    <x v="95"/>
    <x v="1"/>
    <x v="375"/>
    <x v="108"/>
    <x v="236"/>
    <x v="60"/>
    <x v="18"/>
    <x v="512"/>
    <x v="1"/>
    <x v="45"/>
    <x v="23"/>
  </r>
  <r>
    <x v="438"/>
    <x v="728"/>
    <x v="720"/>
    <x v="809"/>
    <x v="809"/>
    <x v="0"/>
    <x v="14"/>
    <x v="14"/>
    <x v="62"/>
    <x v="257"/>
    <x v="95"/>
    <x v="1"/>
    <x v="375"/>
    <x v="108"/>
    <x v="236"/>
    <x v="60"/>
    <x v="18"/>
    <x v="512"/>
    <x v="1"/>
    <x v="45"/>
    <x v="23"/>
  </r>
  <r>
    <x v="604"/>
    <x v="689"/>
    <x v="290"/>
    <x v="927"/>
    <x v="927"/>
    <x v="0"/>
    <x v="18"/>
    <x v="18"/>
    <x v="53"/>
    <x v="227"/>
    <x v="400"/>
    <x v="0"/>
    <x v="982"/>
    <x v="674"/>
    <x v="654"/>
    <x v="49"/>
    <x v="242"/>
    <x v="558"/>
    <x v="1"/>
    <x v="217"/>
    <x v="23"/>
  </r>
  <r>
    <x v="12"/>
    <x v="113"/>
    <x v="522"/>
    <x v="1726"/>
    <x v="1726"/>
    <x v="0"/>
    <x v="2"/>
    <x v="2"/>
    <x v="41"/>
    <x v="454"/>
    <x v="522"/>
    <x v="0"/>
    <x v="666"/>
    <x v="557"/>
    <x v="496"/>
    <x v="741"/>
    <x v="548"/>
    <x v="406"/>
    <x v="1"/>
    <x v="1671"/>
    <x v="23"/>
  </r>
  <r>
    <x v="318"/>
    <x v="109"/>
    <x v="956"/>
    <x v="538"/>
    <x v="538"/>
    <x v="0"/>
    <x v="7"/>
    <x v="7"/>
    <x v="35"/>
    <x v="350"/>
    <x v="412"/>
    <x v="0"/>
    <x v="680"/>
    <x v="342"/>
    <x v="913"/>
    <x v="388"/>
    <x v="53"/>
    <x v="393"/>
    <x v="1"/>
    <x v="1218"/>
    <x v="25"/>
  </r>
  <r>
    <x v="439"/>
    <x v="610"/>
    <x v="723"/>
    <x v="1160"/>
    <x v="1160"/>
    <x v="0"/>
    <x v="11"/>
    <x v="11"/>
    <x v="45"/>
    <x v="457"/>
    <x v="344"/>
    <x v="0"/>
    <x v="601"/>
    <x v="614"/>
    <x v="386"/>
    <x v="252"/>
    <x v="534"/>
    <x v="625"/>
    <x v="1"/>
    <x v="1151"/>
    <x v="14"/>
  </r>
  <r>
    <x v="58"/>
    <x v="661"/>
    <x v="724"/>
    <x v="1364"/>
    <x v="1364"/>
    <x v="0"/>
    <x v="2"/>
    <x v="2"/>
    <x v="41"/>
    <x v="458"/>
    <x v="257"/>
    <x v="1"/>
    <x v="129"/>
    <x v="339"/>
    <x v="351"/>
    <x v="374"/>
    <x v="4"/>
    <x v="668"/>
    <x v="1"/>
    <x v="1264"/>
    <x v="15"/>
  </r>
  <r>
    <x v="37"/>
    <x v="245"/>
    <x v="724"/>
    <x v="1057"/>
    <x v="1057"/>
    <x v="0"/>
    <x v="12"/>
    <x v="12"/>
    <x v="49"/>
    <x v="283"/>
    <x v="542"/>
    <x v="0"/>
    <x v="1584"/>
    <x v="508"/>
    <x v="444"/>
    <x v="0"/>
    <x v="121"/>
    <x v="560"/>
    <x v="1"/>
    <x v="1238"/>
    <x v="29"/>
  </r>
  <r>
    <x v="683"/>
    <x v="200"/>
    <x v="1657"/>
    <x v="1214"/>
    <x v="1214"/>
    <x v="1"/>
    <x v="18"/>
    <x v="18"/>
    <x v="53"/>
    <x v="238"/>
    <x v="326"/>
    <x v="0"/>
    <x v="1556"/>
    <x v="137"/>
    <x v="912"/>
    <x v="0"/>
    <x v="246"/>
    <x v="168"/>
    <x v="0"/>
    <x v="987"/>
    <x v="11"/>
  </r>
  <r>
    <x v="790"/>
    <x v="435"/>
    <x v="725"/>
    <x v="339"/>
    <x v="339"/>
    <x v="0"/>
    <x v="20"/>
    <x v="20"/>
    <x v="67"/>
    <x v="387"/>
    <x v="121"/>
    <x v="1"/>
    <x v="229"/>
    <x v="711"/>
    <x v="1130"/>
    <x v="69"/>
    <x v="408"/>
    <x v="266"/>
    <x v="0"/>
    <x v="264"/>
    <x v="25"/>
  </r>
  <r>
    <x v="242"/>
    <x v="326"/>
    <x v="726"/>
    <x v="1152"/>
    <x v="1152"/>
    <x v="0"/>
    <x v="6"/>
    <x v="6"/>
    <x v="45"/>
    <x v="430"/>
    <x v="119"/>
    <x v="1"/>
    <x v="1331"/>
    <x v="550"/>
    <x v="396"/>
    <x v="0"/>
    <x v="404"/>
    <x v="238"/>
    <x v="0"/>
    <x v="675"/>
    <x v="11"/>
  </r>
  <r>
    <x v="291"/>
    <x v="112"/>
    <x v="727"/>
    <x v="385"/>
    <x v="385"/>
    <x v="0"/>
    <x v="7"/>
    <x v="7"/>
    <x v="40"/>
    <x v="277"/>
    <x v="451"/>
    <x v="0"/>
    <x v="1420"/>
    <x v="173"/>
    <x v="470"/>
    <x v="654"/>
    <x v="284"/>
    <x v="602"/>
    <x v="1"/>
    <x v="1193"/>
    <x v="42"/>
  </r>
  <r>
    <x v="466"/>
    <x v="58"/>
    <x v="728"/>
    <x v="1247"/>
    <x v="1247"/>
    <x v="1"/>
    <x v="11"/>
    <x v="11"/>
    <x v="48"/>
    <x v="348"/>
    <x v="426"/>
    <x v="0"/>
    <x v="1277"/>
    <x v="702"/>
    <x v="805"/>
    <x v="0"/>
    <x v="686"/>
    <x v="497"/>
    <x v="1"/>
    <x v="176"/>
    <x v="11"/>
  </r>
  <r>
    <x v="548"/>
    <x v="331"/>
    <x v="729"/>
    <x v="26"/>
    <x v="26"/>
    <x v="1"/>
    <x v="14"/>
    <x v="14"/>
    <x v="37"/>
    <x v="345"/>
    <x v="501"/>
    <x v="0"/>
    <x v="1609"/>
    <x v="44"/>
    <x v="319"/>
    <x v="223"/>
    <x v="476"/>
    <x v="673"/>
    <x v="1"/>
    <x v="1092"/>
    <x v="25"/>
  </r>
  <r>
    <x v="548"/>
    <x v="331"/>
    <x v="730"/>
    <x v="28"/>
    <x v="28"/>
    <x v="1"/>
    <x v="15"/>
    <x v="15"/>
    <x v="54"/>
    <x v="346"/>
    <x v="506"/>
    <x v="0"/>
    <x v="1611"/>
    <x v="32"/>
    <x v="341"/>
    <x v="236"/>
    <x v="457"/>
    <x v="646"/>
    <x v="1"/>
    <x v="1090"/>
    <x v="25"/>
  </r>
  <r>
    <x v="169"/>
    <x v="256"/>
    <x v="731"/>
    <x v="1521"/>
    <x v="1521"/>
    <x v="0"/>
    <x v="3"/>
    <x v="3"/>
    <x v="39"/>
    <x v="128"/>
    <x v="357"/>
    <x v="0"/>
    <x v="1281"/>
    <x v="535"/>
    <x v="347"/>
    <x v="0"/>
    <x v="532"/>
    <x v="405"/>
    <x v="1"/>
    <x v="1699"/>
    <x v="15"/>
  </r>
  <r>
    <x v="418"/>
    <x v="765"/>
    <x v="732"/>
    <x v="1526"/>
    <x v="1526"/>
    <x v="1"/>
    <x v="9"/>
    <x v="9"/>
    <x v="48"/>
    <x v="358"/>
    <x v="24"/>
    <x v="1"/>
    <x v="57"/>
    <x v="88"/>
    <x v="384"/>
    <x v="0"/>
    <x v="423"/>
    <x v="1"/>
    <x v="0"/>
    <x v="238"/>
    <x v="15"/>
  </r>
  <r>
    <x v="18"/>
    <x v="222"/>
    <x v="733"/>
    <x v="1626"/>
    <x v="1626"/>
    <x v="1"/>
    <x v="13"/>
    <x v="13"/>
    <x v="57"/>
    <x v="229"/>
    <x v="546"/>
    <x v="0"/>
    <x v="1128"/>
    <x v="822"/>
    <x v="791"/>
    <x v="0"/>
    <x v="596"/>
    <x v="250"/>
    <x v="0"/>
    <x v="1621"/>
    <x v="7"/>
  </r>
  <r>
    <x v="490"/>
    <x v="41"/>
    <x v="734"/>
    <x v="1266"/>
    <x v="1266"/>
    <x v="0"/>
    <x v="12"/>
    <x v="12"/>
    <x v="1"/>
    <x v="472"/>
    <x v="104"/>
    <x v="1"/>
    <x v="304"/>
    <x v="80"/>
    <x v="938"/>
    <x v="0"/>
    <x v="311"/>
    <x v="747"/>
    <x v="1"/>
    <x v="371"/>
    <x v="37"/>
  </r>
  <r>
    <x v="151"/>
    <x v="203"/>
    <x v="735"/>
    <x v="1536"/>
    <x v="1536"/>
    <x v="0"/>
    <x v="7"/>
    <x v="7"/>
    <x v="49"/>
    <x v="295"/>
    <x v="308"/>
    <x v="0"/>
    <x v="680"/>
    <x v="668"/>
    <x v="1075"/>
    <x v="0"/>
    <x v="512"/>
    <x v="588"/>
    <x v="1"/>
    <x v="200"/>
    <x v="11"/>
  </r>
  <r>
    <x v="151"/>
    <x v="203"/>
    <x v="736"/>
    <x v="1642"/>
    <x v="1642"/>
    <x v="0"/>
    <x v="6"/>
    <x v="6"/>
    <x v="55"/>
    <x v="348"/>
    <x v="97"/>
    <x v="1"/>
    <x v="264"/>
    <x v="830"/>
    <x v="1088"/>
    <x v="0"/>
    <x v="12"/>
    <x v="604"/>
    <x v="1"/>
    <x v="1821"/>
    <x v="11"/>
  </r>
  <r>
    <x v="35"/>
    <x v="436"/>
    <x v="737"/>
    <x v="1027"/>
    <x v="1027"/>
    <x v="0"/>
    <x v="3"/>
    <x v="3"/>
    <x v="47"/>
    <x v="119"/>
    <x v="337"/>
    <x v="0"/>
    <x v="302"/>
    <x v="112"/>
    <x v="436"/>
    <x v="363"/>
    <x v="422"/>
    <x v="402"/>
    <x v="1"/>
    <x v="1511"/>
    <x v="24"/>
  </r>
  <r>
    <x v="371"/>
    <x v="130"/>
    <x v="738"/>
    <x v="1117"/>
    <x v="1117"/>
    <x v="0"/>
    <x v="14"/>
    <x v="14"/>
    <x v="56"/>
    <x v="330"/>
    <x v="469"/>
    <x v="0"/>
    <x v="926"/>
    <x v="222"/>
    <x v="1083"/>
    <x v="0"/>
    <x v="534"/>
    <x v="417"/>
    <x v="1"/>
    <x v="1059"/>
    <x v="13"/>
  </r>
  <r>
    <x v="304"/>
    <x v="391"/>
    <x v="739"/>
    <x v="1087"/>
    <x v="1087"/>
    <x v="0"/>
    <x v="7"/>
    <x v="7"/>
    <x v="49"/>
    <x v="56"/>
    <x v="573"/>
    <x v="0"/>
    <x v="1505"/>
    <x v="448"/>
    <x v="466"/>
    <x v="0"/>
    <x v="424"/>
    <x v="259"/>
    <x v="0"/>
    <x v="1633"/>
    <x v="38"/>
  </r>
  <r>
    <x v="627"/>
    <x v="232"/>
    <x v="740"/>
    <x v="1706"/>
    <x v="1706"/>
    <x v="0"/>
    <x v="15"/>
    <x v="15"/>
    <x v="57"/>
    <x v="216"/>
    <x v="0"/>
    <x v="1"/>
    <x v="0"/>
    <x v="141"/>
    <x v="1140"/>
    <x v="0"/>
    <x v="204"/>
    <x v="107"/>
    <x v="0"/>
    <x v="1604"/>
    <x v="23"/>
  </r>
  <r>
    <x v="483"/>
    <x v="527"/>
    <x v="741"/>
    <x v="348"/>
    <x v="348"/>
    <x v="1"/>
    <x v="18"/>
    <x v="18"/>
    <x v="63"/>
    <x v="299"/>
    <x v="315"/>
    <x v="0"/>
    <x v="406"/>
    <x v="576"/>
    <x v="537"/>
    <x v="188"/>
    <x v="287"/>
    <x v="541"/>
    <x v="1"/>
    <x v="565"/>
    <x v="13"/>
  </r>
  <r>
    <x v="389"/>
    <x v="115"/>
    <x v="742"/>
    <x v="1650"/>
    <x v="1650"/>
    <x v="1"/>
    <x v="9"/>
    <x v="9"/>
    <x v="47"/>
    <x v="362"/>
    <x v="311"/>
    <x v="0"/>
    <x v="546"/>
    <x v="432"/>
    <x v="354"/>
    <x v="0"/>
    <x v="411"/>
    <x v="232"/>
    <x v="0"/>
    <x v="109"/>
    <x v="11"/>
  </r>
  <r>
    <x v="14"/>
    <x v="517"/>
    <x v="743"/>
    <x v="1780"/>
    <x v="1780"/>
    <x v="0"/>
    <x v="1"/>
    <x v="1"/>
    <x v="40"/>
    <x v="161"/>
    <x v="403"/>
    <x v="0"/>
    <x v="656"/>
    <x v="74"/>
    <x v="107"/>
    <x v="545"/>
    <x v="600"/>
    <x v="7"/>
    <x v="0"/>
    <x v="1373"/>
    <x v="25"/>
  </r>
  <r>
    <x v="56"/>
    <x v="161"/>
    <x v="743"/>
    <x v="1568"/>
    <x v="1568"/>
    <x v="0"/>
    <x v="1"/>
    <x v="1"/>
    <x v="47"/>
    <x v="234"/>
    <x v="96"/>
    <x v="1"/>
    <x v="144"/>
    <x v="120"/>
    <x v="1067"/>
    <x v="0"/>
    <x v="415"/>
    <x v="164"/>
    <x v="0"/>
    <x v="1154"/>
    <x v="23"/>
  </r>
  <r>
    <x v="0"/>
    <x v="122"/>
    <x v="984"/>
    <x v="509"/>
    <x v="509"/>
    <x v="0"/>
    <x v="2"/>
    <x v="2"/>
    <x v="51"/>
    <x v="400"/>
    <x v="391"/>
    <x v="0"/>
    <x v="698"/>
    <x v="65"/>
    <x v="989"/>
    <x v="395"/>
    <x v="166"/>
    <x v="755"/>
    <x v="1"/>
    <x v="353"/>
    <x v="23"/>
  </r>
  <r>
    <x v="78"/>
    <x v="372"/>
    <x v="745"/>
    <x v="1689"/>
    <x v="1689"/>
    <x v="0"/>
    <x v="2"/>
    <x v="2"/>
    <x v="51"/>
    <x v="360"/>
    <x v="108"/>
    <x v="1"/>
    <x v="612"/>
    <x v="113"/>
    <x v="987"/>
    <x v="208"/>
    <x v="692"/>
    <x v="435"/>
    <x v="1"/>
    <x v="1386"/>
    <x v="30"/>
  </r>
  <r>
    <x v="244"/>
    <x v="24"/>
    <x v="746"/>
    <x v="1321"/>
    <x v="1321"/>
    <x v="1"/>
    <x v="8"/>
    <x v="8"/>
    <x v="39"/>
    <x v="494"/>
    <x v="83"/>
    <x v="1"/>
    <x v="70"/>
    <x v="159"/>
    <x v="540"/>
    <x v="13"/>
    <x v="598"/>
    <x v="208"/>
    <x v="0"/>
    <x v="505"/>
    <x v="23"/>
  </r>
  <r>
    <x v="716"/>
    <x v="536"/>
    <x v="501"/>
    <x v="1140"/>
    <x v="1140"/>
    <x v="0"/>
    <x v="18"/>
    <x v="18"/>
    <x v="52"/>
    <x v="330"/>
    <x v="273"/>
    <x v="0"/>
    <x v="560"/>
    <x v="92"/>
    <x v="384"/>
    <x v="345"/>
    <x v="227"/>
    <x v="116"/>
    <x v="0"/>
    <x v="633"/>
    <x v="25"/>
  </r>
  <r>
    <x v="554"/>
    <x v="637"/>
    <x v="748"/>
    <x v="453"/>
    <x v="453"/>
    <x v="0"/>
    <x v="16"/>
    <x v="16"/>
    <x v="51"/>
    <x v="388"/>
    <x v="401"/>
    <x v="0"/>
    <x v="1510"/>
    <x v="44"/>
    <x v="1077"/>
    <x v="0"/>
    <x v="432"/>
    <x v="619"/>
    <x v="1"/>
    <x v="1208"/>
    <x v="13"/>
  </r>
  <r>
    <x v="66"/>
    <x v="136"/>
    <x v="749"/>
    <x v="963"/>
    <x v="963"/>
    <x v="0"/>
    <x v="2"/>
    <x v="2"/>
    <x v="38"/>
    <x v="371"/>
    <x v="267"/>
    <x v="0"/>
    <x v="983"/>
    <x v="84"/>
    <x v="669"/>
    <x v="286"/>
    <x v="411"/>
    <x v="100"/>
    <x v="0"/>
    <x v="210"/>
    <x v="30"/>
  </r>
  <r>
    <x v="355"/>
    <x v="662"/>
    <x v="750"/>
    <x v="20"/>
    <x v="20"/>
    <x v="0"/>
    <x v="8"/>
    <x v="8"/>
    <x v="47"/>
    <x v="335"/>
    <x v="91"/>
    <x v="1"/>
    <x v="370"/>
    <x v="791"/>
    <x v="1135"/>
    <x v="0"/>
    <x v="737"/>
    <x v="549"/>
    <x v="1"/>
    <x v="698"/>
    <x v="55"/>
  </r>
  <r>
    <x v="352"/>
    <x v="352"/>
    <x v="751"/>
    <x v="1016"/>
    <x v="1016"/>
    <x v="0"/>
    <x v="13"/>
    <x v="13"/>
    <x v="50"/>
    <x v="175"/>
    <x v="214"/>
    <x v="1"/>
    <x v="469"/>
    <x v="52"/>
    <x v="959"/>
    <x v="0"/>
    <x v="450"/>
    <x v="57"/>
    <x v="0"/>
    <x v="653"/>
    <x v="30"/>
  </r>
  <r>
    <x v="201"/>
    <x v="76"/>
    <x v="116"/>
    <x v="813"/>
    <x v="813"/>
    <x v="1"/>
    <x v="7"/>
    <x v="7"/>
    <x v="4"/>
    <x v="522"/>
    <x v="36"/>
    <x v="1"/>
    <x v="769"/>
    <x v="570"/>
    <x v="624"/>
    <x v="0"/>
    <x v="386"/>
    <x v="577"/>
    <x v="1"/>
    <x v="515"/>
    <x v="17"/>
  </r>
  <r>
    <x v="347"/>
    <x v="595"/>
    <x v="753"/>
    <x v="179"/>
    <x v="179"/>
    <x v="0"/>
    <x v="7"/>
    <x v="7"/>
    <x v="56"/>
    <x v="201"/>
    <x v="415"/>
    <x v="0"/>
    <x v="1143"/>
    <x v="605"/>
    <x v="733"/>
    <x v="0"/>
    <x v="424"/>
    <x v="505"/>
    <x v="1"/>
    <x v="1711"/>
    <x v="38"/>
  </r>
  <r>
    <x v="376"/>
    <x v="583"/>
    <x v="770"/>
    <x v="1430"/>
    <x v="1430"/>
    <x v="0"/>
    <x v="8"/>
    <x v="8"/>
    <x v="43"/>
    <x v="409"/>
    <x v="332"/>
    <x v="0"/>
    <x v="776"/>
    <x v="599"/>
    <x v="926"/>
    <x v="0"/>
    <x v="433"/>
    <x v="644"/>
    <x v="1"/>
    <x v="1316"/>
    <x v="15"/>
  </r>
  <r>
    <x v="692"/>
    <x v="224"/>
    <x v="771"/>
    <x v="773"/>
    <x v="773"/>
    <x v="1"/>
    <x v="19"/>
    <x v="19"/>
    <x v="64"/>
    <x v="468"/>
    <x v="155"/>
    <x v="1"/>
    <x v="605"/>
    <x v="541"/>
    <x v="570"/>
    <x v="0"/>
    <x v="272"/>
    <x v="351"/>
    <x v="1"/>
    <x v="417"/>
    <x v="23"/>
  </r>
  <r>
    <x v="152"/>
    <x v="49"/>
    <x v="772"/>
    <x v="1284"/>
    <x v="1284"/>
    <x v="0"/>
    <x v="21"/>
    <x v="21"/>
    <x v="26"/>
    <x v="218"/>
    <x v="245"/>
    <x v="1"/>
    <x v="250"/>
    <x v="788"/>
    <x v="909"/>
    <x v="0"/>
    <x v="38"/>
    <x v="532"/>
    <x v="1"/>
    <x v="1817"/>
    <x v="23"/>
  </r>
  <r>
    <x v="507"/>
    <x v="731"/>
    <x v="773"/>
    <x v="881"/>
    <x v="881"/>
    <x v="0"/>
    <x v="12"/>
    <x v="12"/>
    <x v="50"/>
    <x v="241"/>
    <x v="115"/>
    <x v="1"/>
    <x v="418"/>
    <x v="25"/>
    <x v="1047"/>
    <x v="0"/>
    <x v="570"/>
    <x v="218"/>
    <x v="0"/>
    <x v="1305"/>
    <x v="0"/>
  </r>
  <r>
    <x v="191"/>
    <x v="90"/>
    <x v="774"/>
    <x v="1344"/>
    <x v="1344"/>
    <x v="0"/>
    <x v="10"/>
    <x v="10"/>
    <x v="52"/>
    <x v="267"/>
    <x v="132"/>
    <x v="1"/>
    <x v="553"/>
    <x v="61"/>
    <x v="849"/>
    <x v="0"/>
    <x v="639"/>
    <x v="274"/>
    <x v="0"/>
    <x v="225"/>
    <x v="30"/>
  </r>
  <r>
    <x v="269"/>
    <x v="438"/>
    <x v="775"/>
    <x v="1013"/>
    <x v="1013"/>
    <x v="0"/>
    <x v="6"/>
    <x v="6"/>
    <x v="32"/>
    <x v="341"/>
    <x v="266"/>
    <x v="0"/>
    <x v="815"/>
    <x v="194"/>
    <x v="375"/>
    <x v="0"/>
    <x v="625"/>
    <x v="472"/>
    <x v="1"/>
    <x v="223"/>
    <x v="37"/>
  </r>
  <r>
    <x v="101"/>
    <x v="565"/>
    <x v="776"/>
    <x v="1343"/>
    <x v="1343"/>
    <x v="0"/>
    <x v="10"/>
    <x v="10"/>
    <x v="52"/>
    <x v="125"/>
    <x v="511"/>
    <x v="0"/>
    <x v="684"/>
    <x v="101"/>
    <x v="11"/>
    <x v="0"/>
    <x v="346"/>
    <x v="406"/>
    <x v="1"/>
    <x v="215"/>
    <x v="46"/>
  </r>
  <r>
    <x v="62"/>
    <x v="647"/>
    <x v="777"/>
    <x v="685"/>
    <x v="685"/>
    <x v="0"/>
    <x v="4"/>
    <x v="4"/>
    <x v="46"/>
    <x v="190"/>
    <x v="114"/>
    <x v="1"/>
    <x v="548"/>
    <x v="28"/>
    <x v="1038"/>
    <x v="0"/>
    <x v="377"/>
    <x v="138"/>
    <x v="0"/>
    <x v="67"/>
    <x v="33"/>
  </r>
  <r>
    <x v="0"/>
    <x v="122"/>
    <x v="1183"/>
    <x v="606"/>
    <x v="606"/>
    <x v="0"/>
    <x v="2"/>
    <x v="2"/>
    <x v="63"/>
    <x v="386"/>
    <x v="434"/>
    <x v="0"/>
    <x v="778"/>
    <x v="179"/>
    <x v="1017"/>
    <x v="242"/>
    <x v="640"/>
    <x v="706"/>
    <x v="1"/>
    <x v="360"/>
    <x v="23"/>
  </r>
  <r>
    <x v="360"/>
    <x v="770"/>
    <x v="779"/>
    <x v="1671"/>
    <x v="1671"/>
    <x v="0"/>
    <x v="11"/>
    <x v="11"/>
    <x v="54"/>
    <x v="287"/>
    <x v="208"/>
    <x v="1"/>
    <x v="269"/>
    <x v="137"/>
    <x v="246"/>
    <x v="0"/>
    <x v="129"/>
    <x v="247"/>
    <x v="0"/>
    <x v="1122"/>
    <x v="15"/>
  </r>
  <r>
    <x v="193"/>
    <x v="98"/>
    <x v="416"/>
    <x v="788"/>
    <x v="788"/>
    <x v="0"/>
    <x v="7"/>
    <x v="7"/>
    <x v="47"/>
    <x v="297"/>
    <x v="385"/>
    <x v="0"/>
    <x v="832"/>
    <x v="649"/>
    <x v="898"/>
    <x v="0"/>
    <x v="244"/>
    <x v="440"/>
    <x v="1"/>
    <x v="212"/>
    <x v="11"/>
  </r>
  <r>
    <x v="129"/>
    <x v="181"/>
    <x v="781"/>
    <x v="1436"/>
    <x v="1436"/>
    <x v="0"/>
    <x v="4"/>
    <x v="4"/>
    <x v="44"/>
    <x v="323"/>
    <x v="150"/>
    <x v="1"/>
    <x v="230"/>
    <x v="40"/>
    <x v="1116"/>
    <x v="0"/>
    <x v="415"/>
    <x v="138"/>
    <x v="0"/>
    <x v="906"/>
    <x v="23"/>
  </r>
  <r>
    <x v="468"/>
    <x v="123"/>
    <x v="1679"/>
    <x v="127"/>
    <x v="127"/>
    <x v="1"/>
    <x v="14"/>
    <x v="14"/>
    <x v="64"/>
    <x v="502"/>
    <x v="293"/>
    <x v="0"/>
    <x v="842"/>
    <x v="173"/>
    <x v="578"/>
    <x v="336"/>
    <x v="612"/>
    <x v="737"/>
    <x v="1"/>
    <x v="807"/>
    <x v="23"/>
  </r>
  <r>
    <x v="137"/>
    <x v="788"/>
    <x v="755"/>
    <x v="1406"/>
    <x v="1406"/>
    <x v="1"/>
    <x v="3"/>
    <x v="3"/>
    <x v="45"/>
    <x v="548"/>
    <x v="168"/>
    <x v="1"/>
    <x v="611"/>
    <x v="587"/>
    <x v="487"/>
    <x v="0"/>
    <x v="406"/>
    <x v="423"/>
    <x v="1"/>
    <x v="1440"/>
    <x v="11"/>
  </r>
  <r>
    <x v="99"/>
    <x v="364"/>
    <x v="756"/>
    <x v="81"/>
    <x v="81"/>
    <x v="0"/>
    <x v="4"/>
    <x v="4"/>
    <x v="39"/>
    <x v="353"/>
    <x v="291"/>
    <x v="0"/>
    <x v="1171"/>
    <x v="720"/>
    <x v="848"/>
    <x v="0"/>
    <x v="566"/>
    <x v="600"/>
    <x v="1"/>
    <x v="305"/>
    <x v="15"/>
  </r>
  <r>
    <x v="651"/>
    <x v="267"/>
    <x v="67"/>
    <x v="590"/>
    <x v="590"/>
    <x v="0"/>
    <x v="18"/>
    <x v="18"/>
    <x v="48"/>
    <x v="324"/>
    <x v="391"/>
    <x v="0"/>
    <x v="870"/>
    <x v="267"/>
    <x v="457"/>
    <x v="0"/>
    <x v="88"/>
    <x v="582"/>
    <x v="1"/>
    <x v="356"/>
    <x v="23"/>
  </r>
  <r>
    <x v="82"/>
    <x v="559"/>
    <x v="758"/>
    <x v="1267"/>
    <x v="1267"/>
    <x v="0"/>
    <x v="2"/>
    <x v="2"/>
    <x v="1"/>
    <x v="257"/>
    <x v="211"/>
    <x v="1"/>
    <x v="915"/>
    <x v="105"/>
    <x v="878"/>
    <x v="144"/>
    <x v="568"/>
    <x v="443"/>
    <x v="1"/>
    <x v="207"/>
    <x v="14"/>
  </r>
  <r>
    <x v="309"/>
    <x v="720"/>
    <x v="759"/>
    <x v="1505"/>
    <x v="1505"/>
    <x v="1"/>
    <x v="7"/>
    <x v="7"/>
    <x v="0"/>
    <x v="366"/>
    <x v="38"/>
    <x v="1"/>
    <x v="34"/>
    <x v="391"/>
    <x v="263"/>
    <x v="0"/>
    <x v="495"/>
    <x v="353"/>
    <x v="1"/>
    <x v="1526"/>
    <x v="15"/>
  </r>
  <r>
    <x v="0"/>
    <x v="122"/>
    <x v="760"/>
    <x v="1049"/>
    <x v="1049"/>
    <x v="0"/>
    <x v="3"/>
    <x v="3"/>
    <x v="44"/>
    <x v="172"/>
    <x v="154"/>
    <x v="1"/>
    <x v="358"/>
    <x v="4"/>
    <x v="1144"/>
    <x v="0"/>
    <x v="416"/>
    <x v="265"/>
    <x v="0"/>
    <x v="65"/>
    <x v="23"/>
  </r>
  <r>
    <x v="371"/>
    <x v="130"/>
    <x v="761"/>
    <x v="602"/>
    <x v="602"/>
    <x v="0"/>
    <x v="11"/>
    <x v="11"/>
    <x v="41"/>
    <x v="232"/>
    <x v="285"/>
    <x v="0"/>
    <x v="417"/>
    <x v="69"/>
    <x v="246"/>
    <x v="708"/>
    <x v="606"/>
    <x v="282"/>
    <x v="0"/>
    <x v="1309"/>
    <x v="13"/>
  </r>
  <r>
    <x v="489"/>
    <x v="212"/>
    <x v="762"/>
    <x v="1686"/>
    <x v="1686"/>
    <x v="1"/>
    <x v="13"/>
    <x v="13"/>
    <x v="56"/>
    <x v="68"/>
    <x v="407"/>
    <x v="0"/>
    <x v="1453"/>
    <x v="761"/>
    <x v="639"/>
    <x v="0"/>
    <x v="746"/>
    <x v="285"/>
    <x v="0"/>
    <x v="1566"/>
    <x v="11"/>
  </r>
  <r>
    <x v="16"/>
    <x v="48"/>
    <x v="763"/>
    <x v="1301"/>
    <x v="1301"/>
    <x v="0"/>
    <x v="1"/>
    <x v="1"/>
    <x v="50"/>
    <x v="396"/>
    <x v="317"/>
    <x v="0"/>
    <x v="664"/>
    <x v="292"/>
    <x v="1074"/>
    <x v="0"/>
    <x v="238"/>
    <x v="482"/>
    <x v="1"/>
    <x v="873"/>
    <x v="23"/>
  </r>
  <r>
    <x v="99"/>
    <x v="364"/>
    <x v="764"/>
    <x v="1478"/>
    <x v="1478"/>
    <x v="1"/>
    <x v="3"/>
    <x v="3"/>
    <x v="52"/>
    <x v="343"/>
    <x v="191"/>
    <x v="1"/>
    <x v="182"/>
    <x v="616"/>
    <x v="998"/>
    <x v="0"/>
    <x v="204"/>
    <x v="393"/>
    <x v="1"/>
    <x v="138"/>
    <x v="15"/>
  </r>
  <r>
    <x v="790"/>
    <x v="435"/>
    <x v="765"/>
    <x v="45"/>
    <x v="45"/>
    <x v="0"/>
    <x v="21"/>
    <x v="21"/>
    <x v="2"/>
    <x v="234"/>
    <x v="334"/>
    <x v="0"/>
    <x v="315"/>
    <x v="665"/>
    <x v="914"/>
    <x v="0"/>
    <x v="539"/>
    <x v="374"/>
    <x v="1"/>
    <x v="579"/>
    <x v="25"/>
  </r>
  <r>
    <x v="309"/>
    <x v="720"/>
    <x v="766"/>
    <x v="1048"/>
    <x v="1048"/>
    <x v="0"/>
    <x v="7"/>
    <x v="7"/>
    <x v="0"/>
    <x v="357"/>
    <x v="25"/>
    <x v="1"/>
    <x v="19"/>
    <x v="573"/>
    <x v="797"/>
    <x v="0"/>
    <x v="260"/>
    <x v="61"/>
    <x v="0"/>
    <x v="507"/>
    <x v="15"/>
  </r>
  <r>
    <x v="168"/>
    <x v="673"/>
    <x v="767"/>
    <x v="1566"/>
    <x v="1566"/>
    <x v="0"/>
    <x v="4"/>
    <x v="4"/>
    <x v="54"/>
    <x v="400"/>
    <x v="267"/>
    <x v="0"/>
    <x v="802"/>
    <x v="636"/>
    <x v="844"/>
    <x v="0"/>
    <x v="420"/>
    <x v="583"/>
    <x v="1"/>
    <x v="186"/>
    <x v="11"/>
  </r>
  <r>
    <x v="454"/>
    <x v="223"/>
    <x v="768"/>
    <x v="689"/>
    <x v="689"/>
    <x v="1"/>
    <x v="20"/>
    <x v="20"/>
    <x v="54"/>
    <x v="522"/>
    <x v="190"/>
    <x v="1"/>
    <x v="191"/>
    <x v="779"/>
    <x v="1001"/>
    <x v="0"/>
    <x v="280"/>
    <x v="334"/>
    <x v="0"/>
    <x v="1576"/>
    <x v="15"/>
  </r>
  <r>
    <x v="145"/>
    <x v="67"/>
    <x v="769"/>
    <x v="887"/>
    <x v="887"/>
    <x v="0"/>
    <x v="4"/>
    <x v="4"/>
    <x v="56"/>
    <x v="104"/>
    <x v="54"/>
    <x v="1"/>
    <x v="253"/>
    <x v="39"/>
    <x v="757"/>
    <x v="0"/>
    <x v="421"/>
    <x v="89"/>
    <x v="0"/>
    <x v="1599"/>
    <x v="23"/>
  </r>
  <r>
    <x v="193"/>
    <x v="98"/>
    <x v="782"/>
    <x v="1444"/>
    <x v="1444"/>
    <x v="0"/>
    <x v="11"/>
    <x v="11"/>
    <x v="47"/>
    <x v="232"/>
    <x v="131"/>
    <x v="1"/>
    <x v="337"/>
    <x v="797"/>
    <x v="917"/>
    <x v="0"/>
    <x v="597"/>
    <x v="261"/>
    <x v="0"/>
    <x v="275"/>
    <x v="11"/>
  </r>
  <r>
    <x v="492"/>
    <x v="687"/>
    <x v="783"/>
    <x v="955"/>
    <x v="955"/>
    <x v="0"/>
    <x v="12"/>
    <x v="12"/>
    <x v="21"/>
    <x v="234"/>
    <x v="226"/>
    <x v="1"/>
    <x v="1422"/>
    <x v="90"/>
    <x v="1069"/>
    <x v="0"/>
    <x v="429"/>
    <x v="379"/>
    <x v="1"/>
    <x v="231"/>
    <x v="30"/>
  </r>
  <r>
    <x v="545"/>
    <x v="350"/>
    <x v="783"/>
    <x v="576"/>
    <x v="576"/>
    <x v="0"/>
    <x v="15"/>
    <x v="15"/>
    <x v="61"/>
    <x v="47"/>
    <x v="296"/>
    <x v="0"/>
    <x v="1039"/>
    <x v="539"/>
    <x v="875"/>
    <x v="0"/>
    <x v="414"/>
    <x v="167"/>
    <x v="0"/>
    <x v="1707"/>
    <x v="23"/>
  </r>
  <r>
    <x v="190"/>
    <x v="9"/>
    <x v="784"/>
    <x v="282"/>
    <x v="282"/>
    <x v="1"/>
    <x v="5"/>
    <x v="5"/>
    <x v="67"/>
    <x v="522"/>
    <x v="314"/>
    <x v="0"/>
    <x v="1602"/>
    <x v="798"/>
    <x v="982"/>
    <x v="0"/>
    <x v="196"/>
    <x v="602"/>
    <x v="1"/>
    <x v="236"/>
    <x v="11"/>
  </r>
  <r>
    <x v="460"/>
    <x v="428"/>
    <x v="785"/>
    <x v="1339"/>
    <x v="1339"/>
    <x v="0"/>
    <x v="11"/>
    <x v="11"/>
    <x v="45"/>
    <x v="264"/>
    <x v="566"/>
    <x v="0"/>
    <x v="1670"/>
    <x v="196"/>
    <x v="140"/>
    <x v="0"/>
    <x v="426"/>
    <x v="715"/>
    <x v="1"/>
    <x v="1578"/>
    <x v="25"/>
  </r>
  <r>
    <x v="430"/>
    <x v="298"/>
    <x v="786"/>
    <x v="500"/>
    <x v="500"/>
    <x v="0"/>
    <x v="10"/>
    <x v="10"/>
    <x v="37"/>
    <x v="88"/>
    <x v="506"/>
    <x v="0"/>
    <x v="1034"/>
    <x v="180"/>
    <x v="428"/>
    <x v="0"/>
    <x v="655"/>
    <x v="517"/>
    <x v="1"/>
    <x v="1658"/>
    <x v="28"/>
  </r>
  <r>
    <x v="454"/>
    <x v="223"/>
    <x v="787"/>
    <x v="772"/>
    <x v="772"/>
    <x v="1"/>
    <x v="20"/>
    <x v="20"/>
    <x v="61"/>
    <x v="467"/>
    <x v="228"/>
    <x v="1"/>
    <x v="653"/>
    <x v="590"/>
    <x v="668"/>
    <x v="317"/>
    <x v="672"/>
    <x v="206"/>
    <x v="0"/>
    <x v="253"/>
    <x v="15"/>
  </r>
  <r>
    <x v="457"/>
    <x v="357"/>
    <x v="788"/>
    <x v="365"/>
    <x v="365"/>
    <x v="0"/>
    <x v="12"/>
    <x v="12"/>
    <x v="51"/>
    <x v="397"/>
    <x v="349"/>
    <x v="0"/>
    <x v="1249"/>
    <x v="77"/>
    <x v="481"/>
    <x v="0"/>
    <x v="634"/>
    <x v="667"/>
    <x v="1"/>
    <x v="716"/>
    <x v="11"/>
  </r>
  <r>
    <x v="755"/>
    <x v="228"/>
    <x v="789"/>
    <x v="169"/>
    <x v="169"/>
    <x v="0"/>
    <x v="20"/>
    <x v="20"/>
    <x v="64"/>
    <x v="329"/>
    <x v="370"/>
    <x v="0"/>
    <x v="819"/>
    <x v="614"/>
    <x v="914"/>
    <x v="209"/>
    <x v="422"/>
    <x v="59"/>
    <x v="0"/>
    <x v="1088"/>
    <x v="25"/>
  </r>
  <r>
    <x v="179"/>
    <x v="169"/>
    <x v="790"/>
    <x v="959"/>
    <x v="959"/>
    <x v="0"/>
    <x v="4"/>
    <x v="4"/>
    <x v="58"/>
    <x v="78"/>
    <x v="192"/>
    <x v="1"/>
    <x v="772"/>
    <x v="26"/>
    <x v="648"/>
    <x v="130"/>
    <x v="591"/>
    <x v="78"/>
    <x v="0"/>
    <x v="1509"/>
    <x v="47"/>
  </r>
  <r>
    <x v="536"/>
    <x v="202"/>
    <x v="791"/>
    <x v="951"/>
    <x v="951"/>
    <x v="0"/>
    <x v="14"/>
    <x v="14"/>
    <x v="38"/>
    <x v="371"/>
    <x v="424"/>
    <x v="0"/>
    <x v="1219"/>
    <x v="381"/>
    <x v="201"/>
    <x v="505"/>
    <x v="617"/>
    <x v="289"/>
    <x v="0"/>
    <x v="1049"/>
    <x v="25"/>
  </r>
  <r>
    <x v="19"/>
    <x v="460"/>
    <x v="792"/>
    <x v="749"/>
    <x v="749"/>
    <x v="0"/>
    <x v="2"/>
    <x v="2"/>
    <x v="69"/>
    <x v="191"/>
    <x v="464"/>
    <x v="0"/>
    <x v="643"/>
    <x v="313"/>
    <x v="342"/>
    <x v="0"/>
    <x v="511"/>
    <x v="252"/>
    <x v="0"/>
    <x v="647"/>
    <x v="46"/>
  </r>
  <r>
    <x v="351"/>
    <x v="628"/>
    <x v="793"/>
    <x v="874"/>
    <x v="874"/>
    <x v="0"/>
    <x v="8"/>
    <x v="8"/>
    <x v="45"/>
    <x v="251"/>
    <x v="455"/>
    <x v="0"/>
    <x v="1455"/>
    <x v="162"/>
    <x v="208"/>
    <x v="498"/>
    <x v="607"/>
    <x v="519"/>
    <x v="1"/>
    <x v="1037"/>
    <x v="47"/>
  </r>
  <r>
    <x v="576"/>
    <x v="505"/>
    <x v="794"/>
    <x v="310"/>
    <x v="310"/>
    <x v="0"/>
    <x v="18"/>
    <x v="18"/>
    <x v="62"/>
    <x v="140"/>
    <x v="133"/>
    <x v="1"/>
    <x v="641"/>
    <x v="152"/>
    <x v="851"/>
    <x v="0"/>
    <x v="698"/>
    <x v="63"/>
    <x v="0"/>
    <x v="1350"/>
    <x v="25"/>
  </r>
  <r>
    <x v="634"/>
    <x v="165"/>
    <x v="1574"/>
    <x v="943"/>
    <x v="943"/>
    <x v="0"/>
    <x v="18"/>
    <x v="18"/>
    <x v="46"/>
    <x v="240"/>
    <x v="370"/>
    <x v="0"/>
    <x v="1418"/>
    <x v="187"/>
    <x v="586"/>
    <x v="0"/>
    <x v="463"/>
    <x v="164"/>
    <x v="0"/>
    <x v="1292"/>
    <x v="25"/>
  </r>
  <r>
    <x v="241"/>
    <x v="748"/>
    <x v="796"/>
    <x v="1447"/>
    <x v="1447"/>
    <x v="0"/>
    <x v="5"/>
    <x v="5"/>
    <x v="54"/>
    <x v="235"/>
    <x v="396"/>
    <x v="0"/>
    <x v="1143"/>
    <x v="23"/>
    <x v="15"/>
    <x v="307"/>
    <x v="704"/>
    <x v="578"/>
    <x v="1"/>
    <x v="655"/>
    <x v="22"/>
  </r>
  <r>
    <x v="143"/>
    <x v="303"/>
    <x v="797"/>
    <x v="1268"/>
    <x v="1268"/>
    <x v="1"/>
    <x v="5"/>
    <x v="5"/>
    <x v="45"/>
    <x v="326"/>
    <x v="153"/>
    <x v="1"/>
    <x v="642"/>
    <x v="454"/>
    <x v="1118"/>
    <x v="0"/>
    <x v="226"/>
    <x v="177"/>
    <x v="0"/>
    <x v="1159"/>
    <x v="15"/>
  </r>
  <r>
    <x v="33"/>
    <x v="427"/>
    <x v="798"/>
    <x v="347"/>
    <x v="347"/>
    <x v="0"/>
    <x v="3"/>
    <x v="3"/>
    <x v="48"/>
    <x v="324"/>
    <x v="494"/>
    <x v="0"/>
    <x v="490"/>
    <x v="381"/>
    <x v="873"/>
    <x v="301"/>
    <x v="175"/>
    <x v="540"/>
    <x v="1"/>
    <x v="1018"/>
    <x v="25"/>
  </r>
  <r>
    <x v="5"/>
    <x v="695"/>
    <x v="799"/>
    <x v="1573"/>
    <x v="1573"/>
    <x v="1"/>
    <x v="1"/>
    <x v="1"/>
    <x v="46"/>
    <x v="381"/>
    <x v="78"/>
    <x v="1"/>
    <x v="223"/>
    <x v="450"/>
    <x v="1004"/>
    <x v="0"/>
    <x v="444"/>
    <x v="140"/>
    <x v="0"/>
    <x v="872"/>
    <x v="15"/>
  </r>
  <r>
    <x v="41"/>
    <x v="78"/>
    <x v="799"/>
    <x v="1208"/>
    <x v="1208"/>
    <x v="0"/>
    <x v="7"/>
    <x v="7"/>
    <x v="49"/>
    <x v="87"/>
    <x v="193"/>
    <x v="1"/>
    <x v="1018"/>
    <x v="78"/>
    <x v="961"/>
    <x v="0"/>
    <x v="236"/>
    <x v="60"/>
    <x v="0"/>
    <x v="1343"/>
    <x v="23"/>
  </r>
  <r>
    <x v="8"/>
    <x v="201"/>
    <x v="800"/>
    <x v="841"/>
    <x v="841"/>
    <x v="0"/>
    <x v="3"/>
    <x v="3"/>
    <x v="51"/>
    <x v="365"/>
    <x v="205"/>
    <x v="1"/>
    <x v="1371"/>
    <x v="666"/>
    <x v="1056"/>
    <x v="102"/>
    <x v="473"/>
    <x v="729"/>
    <x v="1"/>
    <x v="433"/>
    <x v="30"/>
  </r>
  <r>
    <x v="400"/>
    <x v="314"/>
    <x v="801"/>
    <x v="233"/>
    <x v="233"/>
    <x v="0"/>
    <x v="13"/>
    <x v="13"/>
    <x v="1"/>
    <x v="132"/>
    <x v="449"/>
    <x v="0"/>
    <x v="547"/>
    <x v="307"/>
    <x v="44"/>
    <x v="614"/>
    <x v="640"/>
    <x v="326"/>
    <x v="0"/>
    <x v="1199"/>
    <x v="7"/>
  </r>
  <r>
    <x v="439"/>
    <x v="610"/>
    <x v="802"/>
    <x v="972"/>
    <x v="972"/>
    <x v="0"/>
    <x v="13"/>
    <x v="13"/>
    <x v="60"/>
    <x v="305"/>
    <x v="455"/>
    <x v="0"/>
    <x v="1561"/>
    <x v="237"/>
    <x v="371"/>
    <x v="0"/>
    <x v="623"/>
    <x v="481"/>
    <x v="1"/>
    <x v="928"/>
    <x v="14"/>
  </r>
  <r>
    <x v="59"/>
    <x v="663"/>
    <x v="803"/>
    <x v="873"/>
    <x v="873"/>
    <x v="0"/>
    <x v="9"/>
    <x v="9"/>
    <x v="43"/>
    <x v="230"/>
    <x v="444"/>
    <x v="0"/>
    <x v="1074"/>
    <x v="78"/>
    <x v="383"/>
    <x v="0"/>
    <x v="532"/>
    <x v="439"/>
    <x v="1"/>
    <x v="1191"/>
    <x v="40"/>
  </r>
  <r>
    <x v="708"/>
    <x v="832"/>
    <x v="1224"/>
    <x v="459"/>
    <x v="459"/>
    <x v="1"/>
    <x v="18"/>
    <x v="18"/>
    <x v="45"/>
    <x v="223"/>
    <x v="303"/>
    <x v="0"/>
    <x v="1203"/>
    <x v="235"/>
    <x v="846"/>
    <x v="0"/>
    <x v="323"/>
    <x v="276"/>
    <x v="0"/>
    <x v="1043"/>
    <x v="25"/>
  </r>
  <r>
    <x v="228"/>
    <x v="255"/>
    <x v="805"/>
    <x v="1683"/>
    <x v="1683"/>
    <x v="1"/>
    <x v="5"/>
    <x v="5"/>
    <x v="53"/>
    <x v="182"/>
    <x v="150"/>
    <x v="1"/>
    <x v="187"/>
    <x v="261"/>
    <x v="963"/>
    <x v="0"/>
    <x v="422"/>
    <x v="417"/>
    <x v="1"/>
    <x v="1786"/>
    <x v="15"/>
  </r>
  <r>
    <x v="653"/>
    <x v="507"/>
    <x v="806"/>
    <x v="37"/>
    <x v="37"/>
    <x v="0"/>
    <x v="17"/>
    <x v="17"/>
    <x v="34"/>
    <x v="433"/>
    <x v="278"/>
    <x v="0"/>
    <x v="1297"/>
    <x v="137"/>
    <x v="268"/>
    <x v="589"/>
    <x v="282"/>
    <x v="386"/>
    <x v="1"/>
    <x v="1065"/>
    <x v="25"/>
  </r>
  <r>
    <x v="446"/>
    <x v="764"/>
    <x v="807"/>
    <x v="6"/>
    <x v="6"/>
    <x v="0"/>
    <x v="11"/>
    <x v="11"/>
    <x v="2"/>
    <x v="252"/>
    <x v="378"/>
    <x v="0"/>
    <x v="95"/>
    <x v="19"/>
    <x v="1103"/>
    <x v="770"/>
    <x v="432"/>
    <x v="52"/>
    <x v="0"/>
    <x v="538"/>
    <x v="38"/>
  </r>
  <r>
    <x v="0"/>
    <x v="122"/>
    <x v="297"/>
    <x v="259"/>
    <x v="259"/>
    <x v="0"/>
    <x v="10"/>
    <x v="10"/>
    <x v="60"/>
    <x v="424"/>
    <x v="334"/>
    <x v="0"/>
    <x v="864"/>
    <x v="258"/>
    <x v="885"/>
    <x v="452"/>
    <x v="200"/>
    <x v="588"/>
    <x v="1"/>
    <x v="792"/>
    <x v="23"/>
  </r>
  <r>
    <x v="95"/>
    <x v="366"/>
    <x v="809"/>
    <x v="290"/>
    <x v="290"/>
    <x v="0"/>
    <x v="3"/>
    <x v="3"/>
    <x v="29"/>
    <x v="292"/>
    <x v="562"/>
    <x v="0"/>
    <x v="1600"/>
    <x v="290"/>
    <x v="493"/>
    <x v="352"/>
    <x v="101"/>
    <x v="502"/>
    <x v="1"/>
    <x v="295"/>
    <x v="30"/>
  </r>
  <r>
    <x v="348"/>
    <x v="399"/>
    <x v="810"/>
    <x v="188"/>
    <x v="188"/>
    <x v="0"/>
    <x v="8"/>
    <x v="8"/>
    <x v="45"/>
    <x v="128"/>
    <x v="554"/>
    <x v="0"/>
    <x v="1600"/>
    <x v="108"/>
    <x v="3"/>
    <x v="406"/>
    <x v="622"/>
    <x v="639"/>
    <x v="1"/>
    <x v="1250"/>
    <x v="23"/>
  </r>
  <r>
    <x v="667"/>
    <x v="426"/>
    <x v="811"/>
    <x v="833"/>
    <x v="833"/>
    <x v="0"/>
    <x v="19"/>
    <x v="19"/>
    <x v="61"/>
    <x v="275"/>
    <x v="146"/>
    <x v="1"/>
    <x v="420"/>
    <x v="405"/>
    <x v="861"/>
    <x v="0"/>
    <x v="304"/>
    <x v="356"/>
    <x v="1"/>
    <x v="496"/>
    <x v="25"/>
  </r>
  <r>
    <x v="21"/>
    <x v="702"/>
    <x v="812"/>
    <x v="1233"/>
    <x v="1233"/>
    <x v="0"/>
    <x v="2"/>
    <x v="2"/>
    <x v="48"/>
    <x v="269"/>
    <x v="278"/>
    <x v="0"/>
    <x v="284"/>
    <x v="52"/>
    <x v="366"/>
    <x v="511"/>
    <x v="430"/>
    <x v="397"/>
    <x v="1"/>
    <x v="1366"/>
    <x v="23"/>
  </r>
  <r>
    <x v="457"/>
    <x v="357"/>
    <x v="813"/>
    <x v="257"/>
    <x v="257"/>
    <x v="0"/>
    <x v="13"/>
    <x v="13"/>
    <x v="56"/>
    <x v="303"/>
    <x v="319"/>
    <x v="0"/>
    <x v="1053"/>
    <x v="331"/>
    <x v="406"/>
    <x v="0"/>
    <x v="408"/>
    <x v="201"/>
    <x v="0"/>
    <x v="269"/>
    <x v="11"/>
  </r>
  <r>
    <x v="81"/>
    <x v="680"/>
    <x v="814"/>
    <x v="980"/>
    <x v="980"/>
    <x v="0"/>
    <x v="2"/>
    <x v="2"/>
    <x v="62"/>
    <x v="483"/>
    <x v="209"/>
    <x v="1"/>
    <x v="1103"/>
    <x v="412"/>
    <x v="654"/>
    <x v="0"/>
    <x v="602"/>
    <x v="487"/>
    <x v="1"/>
    <x v="333"/>
    <x v="11"/>
  </r>
  <r>
    <x v="468"/>
    <x v="123"/>
    <x v="815"/>
    <x v="1446"/>
    <x v="1446"/>
    <x v="0"/>
    <x v="13"/>
    <x v="13"/>
    <x v="60"/>
    <x v="211"/>
    <x v="435"/>
    <x v="0"/>
    <x v="363"/>
    <x v="225"/>
    <x v="1040"/>
    <x v="0"/>
    <x v="269"/>
    <x v="320"/>
    <x v="0"/>
    <x v="1579"/>
    <x v="23"/>
  </r>
  <r>
    <x v="575"/>
    <x v="2"/>
    <x v="816"/>
    <x v="584"/>
    <x v="584"/>
    <x v="1"/>
    <x v="19"/>
    <x v="19"/>
    <x v="57"/>
    <x v="454"/>
    <x v="119"/>
    <x v="1"/>
    <x v="267"/>
    <x v="613"/>
    <x v="511"/>
    <x v="502"/>
    <x v="418"/>
    <x v="365"/>
    <x v="1"/>
    <x v="14"/>
    <x v="11"/>
  </r>
  <r>
    <x v="141"/>
    <x v="707"/>
    <x v="817"/>
    <x v="1500"/>
    <x v="1500"/>
    <x v="1"/>
    <x v="3"/>
    <x v="3"/>
    <x v="50"/>
    <x v="148"/>
    <x v="374"/>
    <x v="0"/>
    <x v="1284"/>
    <x v="85"/>
    <x v="143"/>
    <x v="475"/>
    <x v="447"/>
    <x v="13"/>
    <x v="0"/>
    <x v="816"/>
    <x v="46"/>
  </r>
  <r>
    <x v="329"/>
    <x v="829"/>
    <x v="818"/>
    <x v="1243"/>
    <x v="1243"/>
    <x v="1"/>
    <x v="8"/>
    <x v="8"/>
    <x v="52"/>
    <x v="514"/>
    <x v="181"/>
    <x v="1"/>
    <x v="221"/>
    <x v="335"/>
    <x v="836"/>
    <x v="0"/>
    <x v="435"/>
    <x v="444"/>
    <x v="1"/>
    <x v="144"/>
    <x v="11"/>
  </r>
  <r>
    <x v="4"/>
    <x v="0"/>
    <x v="819"/>
    <x v="250"/>
    <x v="250"/>
    <x v="0"/>
    <x v="2"/>
    <x v="2"/>
    <x v="46"/>
    <x v="279"/>
    <x v="474"/>
    <x v="0"/>
    <x v="1081"/>
    <x v="469"/>
    <x v="598"/>
    <x v="59"/>
    <x v="117"/>
    <x v="694"/>
    <x v="1"/>
    <x v="1684"/>
    <x v="23"/>
  </r>
  <r>
    <x v="49"/>
    <x v="497"/>
    <x v="820"/>
    <x v="450"/>
    <x v="450"/>
    <x v="0"/>
    <x v="7"/>
    <x v="7"/>
    <x v="0"/>
    <x v="433"/>
    <x v="235"/>
    <x v="1"/>
    <x v="1006"/>
    <x v="252"/>
    <x v="806"/>
    <x v="0"/>
    <x v="13"/>
    <x v="655"/>
    <x v="1"/>
    <x v="381"/>
    <x v="30"/>
  </r>
  <r>
    <x v="3"/>
    <x v="114"/>
    <x v="821"/>
    <x v="921"/>
    <x v="921"/>
    <x v="0"/>
    <x v="2"/>
    <x v="2"/>
    <x v="64"/>
    <x v="186"/>
    <x v="513"/>
    <x v="0"/>
    <x v="1280"/>
    <x v="207"/>
    <x v="479"/>
    <x v="224"/>
    <x v="633"/>
    <x v="383"/>
    <x v="1"/>
    <x v="903"/>
    <x v="46"/>
  </r>
  <r>
    <x v="148"/>
    <x v="573"/>
    <x v="821"/>
    <x v="949"/>
    <x v="949"/>
    <x v="0"/>
    <x v="5"/>
    <x v="5"/>
    <x v="46"/>
    <x v="247"/>
    <x v="336"/>
    <x v="0"/>
    <x v="923"/>
    <x v="30"/>
    <x v="148"/>
    <x v="522"/>
    <x v="616"/>
    <x v="608"/>
    <x v="1"/>
    <x v="1128"/>
    <x v="47"/>
  </r>
  <r>
    <x v="65"/>
    <x v="5"/>
    <x v="822"/>
    <x v="1248"/>
    <x v="1248"/>
    <x v="0"/>
    <x v="10"/>
    <x v="10"/>
    <x v="42"/>
    <x v="168"/>
    <x v="534"/>
    <x v="0"/>
    <x v="1029"/>
    <x v="329"/>
    <x v="128"/>
    <x v="136"/>
    <x v="422"/>
    <x v="149"/>
    <x v="0"/>
    <x v="1181"/>
    <x v="36"/>
  </r>
  <r>
    <x v="705"/>
    <x v="11"/>
    <x v="1593"/>
    <x v="744"/>
    <x v="744"/>
    <x v="0"/>
    <x v="18"/>
    <x v="18"/>
    <x v="41"/>
    <x v="318"/>
    <x v="543"/>
    <x v="0"/>
    <x v="1429"/>
    <x v="141"/>
    <x v="225"/>
    <x v="706"/>
    <x v="25"/>
    <x v="537"/>
    <x v="1"/>
    <x v="863"/>
    <x v="2"/>
  </r>
  <r>
    <x v="93"/>
    <x v="1"/>
    <x v="824"/>
    <x v="1502"/>
    <x v="1502"/>
    <x v="0"/>
    <x v="3"/>
    <x v="3"/>
    <x v="43"/>
    <x v="295"/>
    <x v="311"/>
    <x v="0"/>
    <x v="1120"/>
    <x v="152"/>
    <x v="356"/>
    <x v="169"/>
    <x v="216"/>
    <x v="106"/>
    <x v="0"/>
    <x v="439"/>
    <x v="15"/>
  </r>
  <r>
    <x v="86"/>
    <x v="300"/>
    <x v="825"/>
    <x v="1410"/>
    <x v="1410"/>
    <x v="0"/>
    <x v="3"/>
    <x v="3"/>
    <x v="48"/>
    <x v="272"/>
    <x v="529"/>
    <x v="0"/>
    <x v="589"/>
    <x v="188"/>
    <x v="690"/>
    <x v="629"/>
    <x v="607"/>
    <x v="440"/>
    <x v="1"/>
    <x v="1389"/>
    <x v="23"/>
  </r>
  <r>
    <x v="126"/>
    <x v="709"/>
    <x v="826"/>
    <x v="338"/>
    <x v="338"/>
    <x v="0"/>
    <x v="2"/>
    <x v="2"/>
    <x v="39"/>
    <x v="208"/>
    <x v="266"/>
    <x v="0"/>
    <x v="917"/>
    <x v="1"/>
    <x v="850"/>
    <x v="53"/>
    <x v="372"/>
    <x v="203"/>
    <x v="0"/>
    <x v="638"/>
    <x v="25"/>
  </r>
  <r>
    <x v="34"/>
    <x v="361"/>
    <x v="827"/>
    <x v="1228"/>
    <x v="1228"/>
    <x v="1"/>
    <x v="3"/>
    <x v="3"/>
    <x v="49"/>
    <x v="253"/>
    <x v="444"/>
    <x v="0"/>
    <x v="1286"/>
    <x v="778"/>
    <x v="417"/>
    <x v="383"/>
    <x v="145"/>
    <x v="530"/>
    <x v="1"/>
    <x v="154"/>
    <x v="7"/>
  </r>
  <r>
    <x v="80"/>
    <x v="558"/>
    <x v="1391"/>
    <x v="1674"/>
    <x v="1674"/>
    <x v="0"/>
    <x v="18"/>
    <x v="18"/>
    <x v="38"/>
    <x v="166"/>
    <x v="408"/>
    <x v="0"/>
    <x v="1052"/>
    <x v="743"/>
    <x v="914"/>
    <x v="0"/>
    <x v="473"/>
    <x v="716"/>
    <x v="1"/>
    <x v="188"/>
    <x v="15"/>
  </r>
  <r>
    <x v="453"/>
    <x v="13"/>
    <x v="829"/>
    <x v="871"/>
    <x v="871"/>
    <x v="0"/>
    <x v="11"/>
    <x v="11"/>
    <x v="51"/>
    <x v="292"/>
    <x v="541"/>
    <x v="0"/>
    <x v="1333"/>
    <x v="334"/>
    <x v="606"/>
    <x v="0"/>
    <x v="254"/>
    <x v="691"/>
    <x v="1"/>
    <x v="1387"/>
    <x v="52"/>
  </r>
  <r>
    <x v="532"/>
    <x v="163"/>
    <x v="830"/>
    <x v="1315"/>
    <x v="1315"/>
    <x v="0"/>
    <x v="13"/>
    <x v="13"/>
    <x v="58"/>
    <x v="35"/>
    <x v="32"/>
    <x v="1"/>
    <x v="546"/>
    <x v="64"/>
    <x v="1179"/>
    <x v="0"/>
    <x v="424"/>
    <x v="16"/>
    <x v="0"/>
    <x v="23"/>
    <x v="23"/>
  </r>
  <r>
    <x v="641"/>
    <x v="563"/>
    <x v="831"/>
    <x v="867"/>
    <x v="867"/>
    <x v="1"/>
    <x v="16"/>
    <x v="16"/>
    <x v="0"/>
    <x v="320"/>
    <x v="310"/>
    <x v="0"/>
    <x v="1433"/>
    <x v="436"/>
    <x v="379"/>
    <x v="0"/>
    <x v="697"/>
    <x v="345"/>
    <x v="1"/>
    <x v="302"/>
    <x v="23"/>
  </r>
  <r>
    <x v="99"/>
    <x v="364"/>
    <x v="832"/>
    <x v="202"/>
    <x v="202"/>
    <x v="0"/>
    <x v="4"/>
    <x v="4"/>
    <x v="56"/>
    <x v="476"/>
    <x v="368"/>
    <x v="0"/>
    <x v="775"/>
    <x v="651"/>
    <x v="307"/>
    <x v="132"/>
    <x v="111"/>
    <x v="749"/>
    <x v="1"/>
    <x v="511"/>
    <x v="15"/>
  </r>
  <r>
    <x v="268"/>
    <x v="394"/>
    <x v="833"/>
    <x v="286"/>
    <x v="286"/>
    <x v="1"/>
    <x v="6"/>
    <x v="6"/>
    <x v="59"/>
    <x v="272"/>
    <x v="434"/>
    <x v="0"/>
    <x v="1069"/>
    <x v="766"/>
    <x v="1155"/>
    <x v="0"/>
    <x v="606"/>
    <x v="545"/>
    <x v="1"/>
    <x v="190"/>
    <x v="7"/>
  </r>
  <r>
    <x v="739"/>
    <x v="818"/>
    <x v="834"/>
    <x v="2"/>
    <x v="2"/>
    <x v="1"/>
    <x v="19"/>
    <x v="19"/>
    <x v="69"/>
    <x v="500"/>
    <x v="46"/>
    <x v="1"/>
    <x v="83"/>
    <x v="701"/>
    <x v="1106"/>
    <x v="115"/>
    <x v="590"/>
    <x v="284"/>
    <x v="0"/>
    <x v="1355"/>
    <x v="7"/>
  </r>
  <r>
    <x v="620"/>
    <x v="421"/>
    <x v="835"/>
    <x v="417"/>
    <x v="417"/>
    <x v="0"/>
    <x v="15"/>
    <x v="15"/>
    <x v="36"/>
    <x v="321"/>
    <x v="138"/>
    <x v="1"/>
    <x v="288"/>
    <x v="90"/>
    <x v="1165"/>
    <x v="691"/>
    <x v="444"/>
    <x v="21"/>
    <x v="0"/>
    <x v="1048"/>
    <x v="25"/>
  </r>
  <r>
    <x v="805"/>
    <x v="219"/>
    <x v="836"/>
    <x v="434"/>
    <x v="434"/>
    <x v="1"/>
    <x v="21"/>
    <x v="21"/>
    <x v="43"/>
    <x v="419"/>
    <x v="259"/>
    <x v="1"/>
    <x v="1617"/>
    <x v="374"/>
    <x v="785"/>
    <x v="0"/>
    <x v="182"/>
    <x v="303"/>
    <x v="0"/>
    <x v="1715"/>
    <x v="23"/>
  </r>
  <r>
    <x v="746"/>
    <x v="831"/>
    <x v="837"/>
    <x v="15"/>
    <x v="15"/>
    <x v="0"/>
    <x v="18"/>
    <x v="18"/>
    <x v="43"/>
    <x v="440"/>
    <x v="487"/>
    <x v="0"/>
    <x v="1342"/>
    <x v="728"/>
    <x v="210"/>
    <x v="0"/>
    <x v="669"/>
    <x v="605"/>
    <x v="1"/>
    <x v="1655"/>
    <x v="52"/>
  </r>
  <r>
    <x v="777"/>
    <x v="72"/>
    <x v="838"/>
    <x v="88"/>
    <x v="88"/>
    <x v="0"/>
    <x v="20"/>
    <x v="20"/>
    <x v="46"/>
    <x v="424"/>
    <x v="98"/>
    <x v="1"/>
    <x v="52"/>
    <x v="709"/>
    <x v="1001"/>
    <x v="0"/>
    <x v="379"/>
    <x v="439"/>
    <x v="1"/>
    <x v="379"/>
    <x v="9"/>
  </r>
  <r>
    <x v="208"/>
    <x v="305"/>
    <x v="839"/>
    <x v="821"/>
    <x v="821"/>
    <x v="0"/>
    <x v="5"/>
    <x v="5"/>
    <x v="46"/>
    <x v="293"/>
    <x v="426"/>
    <x v="0"/>
    <x v="588"/>
    <x v="93"/>
    <x v="143"/>
    <x v="570"/>
    <x v="74"/>
    <x v="620"/>
    <x v="1"/>
    <x v="1361"/>
    <x v="25"/>
  </r>
  <r>
    <x v="8"/>
    <x v="201"/>
    <x v="840"/>
    <x v="1033"/>
    <x v="1033"/>
    <x v="0"/>
    <x v="1"/>
    <x v="1"/>
    <x v="56"/>
    <x v="405"/>
    <x v="286"/>
    <x v="0"/>
    <x v="1088"/>
    <x v="298"/>
    <x v="262"/>
    <x v="540"/>
    <x v="94"/>
    <x v="516"/>
    <x v="1"/>
    <x v="198"/>
    <x v="30"/>
  </r>
  <r>
    <x v="454"/>
    <x v="223"/>
    <x v="841"/>
    <x v="495"/>
    <x v="495"/>
    <x v="1"/>
    <x v="17"/>
    <x v="17"/>
    <x v="0"/>
    <x v="483"/>
    <x v="165"/>
    <x v="1"/>
    <x v="255"/>
    <x v="664"/>
    <x v="600"/>
    <x v="0"/>
    <x v="628"/>
    <x v="487"/>
    <x v="1"/>
    <x v="1482"/>
    <x v="15"/>
  </r>
  <r>
    <x v="454"/>
    <x v="223"/>
    <x v="841"/>
    <x v="495"/>
    <x v="495"/>
    <x v="1"/>
    <x v="17"/>
    <x v="17"/>
    <x v="58"/>
    <x v="482"/>
    <x v="162"/>
    <x v="1"/>
    <x v="283"/>
    <x v="650"/>
    <x v="652"/>
    <x v="0"/>
    <x v="620"/>
    <x v="489"/>
    <x v="1"/>
    <x v="1482"/>
    <x v="15"/>
  </r>
  <r>
    <x v="80"/>
    <x v="558"/>
    <x v="842"/>
    <x v="1177"/>
    <x v="1177"/>
    <x v="0"/>
    <x v="12"/>
    <x v="12"/>
    <x v="59"/>
    <x v="170"/>
    <x v="353"/>
    <x v="0"/>
    <x v="541"/>
    <x v="53"/>
    <x v="580"/>
    <x v="0"/>
    <x v="424"/>
    <x v="26"/>
    <x v="0"/>
    <x v="213"/>
    <x v="15"/>
  </r>
  <r>
    <x v="503"/>
    <x v="430"/>
    <x v="843"/>
    <x v="787"/>
    <x v="787"/>
    <x v="0"/>
    <x v="13"/>
    <x v="13"/>
    <x v="49"/>
    <x v="228"/>
    <x v="241"/>
    <x v="1"/>
    <x v="655"/>
    <x v="55"/>
    <x v="1097"/>
    <x v="0"/>
    <x v="403"/>
    <x v="189"/>
    <x v="0"/>
    <x v="1485"/>
    <x v="24"/>
  </r>
  <r>
    <x v="190"/>
    <x v="9"/>
    <x v="844"/>
    <x v="1172"/>
    <x v="1172"/>
    <x v="1"/>
    <x v="7"/>
    <x v="7"/>
    <x v="62"/>
    <x v="128"/>
    <x v="293"/>
    <x v="0"/>
    <x v="400"/>
    <x v="811"/>
    <x v="514"/>
    <x v="611"/>
    <x v="604"/>
    <x v="367"/>
    <x v="1"/>
    <x v="406"/>
    <x v="11"/>
  </r>
  <r>
    <x v="166"/>
    <x v="443"/>
    <x v="845"/>
    <x v="1166"/>
    <x v="1166"/>
    <x v="0"/>
    <x v="21"/>
    <x v="21"/>
    <x v="29"/>
    <x v="419"/>
    <x v="217"/>
    <x v="1"/>
    <x v="432"/>
    <x v="305"/>
    <x v="280"/>
    <x v="0"/>
    <x v="72"/>
    <x v="570"/>
    <x v="1"/>
    <x v="601"/>
    <x v="23"/>
  </r>
  <r>
    <x v="193"/>
    <x v="98"/>
    <x v="846"/>
    <x v="803"/>
    <x v="803"/>
    <x v="0"/>
    <x v="12"/>
    <x v="12"/>
    <x v="62"/>
    <x v="294"/>
    <x v="230"/>
    <x v="1"/>
    <x v="112"/>
    <x v="642"/>
    <x v="923"/>
    <x v="0"/>
    <x v="409"/>
    <x v="130"/>
    <x v="0"/>
    <x v="324"/>
    <x v="11"/>
  </r>
  <r>
    <x v="436"/>
    <x v="431"/>
    <x v="847"/>
    <x v="1247"/>
    <x v="1247"/>
    <x v="0"/>
    <x v="10"/>
    <x v="10"/>
    <x v="62"/>
    <x v="454"/>
    <x v="340"/>
    <x v="0"/>
    <x v="1120"/>
    <x v="59"/>
    <x v="480"/>
    <x v="291"/>
    <x v="485"/>
    <x v="573"/>
    <x v="1"/>
    <x v="864"/>
    <x v="23"/>
  </r>
  <r>
    <x v="88"/>
    <x v="508"/>
    <x v="848"/>
    <x v="1251"/>
    <x v="1251"/>
    <x v="0"/>
    <x v="9"/>
    <x v="9"/>
    <x v="50"/>
    <x v="542"/>
    <x v="395"/>
    <x v="0"/>
    <x v="1427"/>
    <x v="582"/>
    <x v="564"/>
    <x v="478"/>
    <x v="405"/>
    <x v="425"/>
    <x v="1"/>
    <x v="1000"/>
    <x v="30"/>
  </r>
  <r>
    <x v="709"/>
    <x v="711"/>
    <x v="849"/>
    <x v="360"/>
    <x v="360"/>
    <x v="0"/>
    <x v="18"/>
    <x v="18"/>
    <x v="49"/>
    <x v="282"/>
    <x v="532"/>
    <x v="0"/>
    <x v="1448"/>
    <x v="483"/>
    <x v="211"/>
    <x v="24"/>
    <x v="110"/>
    <x v="228"/>
    <x v="0"/>
    <x v="794"/>
    <x v="13"/>
  </r>
  <r>
    <x v="751"/>
    <x v="708"/>
    <x v="256"/>
    <x v="859"/>
    <x v="859"/>
    <x v="0"/>
    <x v="18"/>
    <x v="18"/>
    <x v="34"/>
    <x v="305"/>
    <x v="438"/>
    <x v="0"/>
    <x v="1295"/>
    <x v="107"/>
    <x v="676"/>
    <x v="483"/>
    <x v="463"/>
    <x v="546"/>
    <x v="1"/>
    <x v="636"/>
    <x v="25"/>
  </r>
  <r>
    <x v="6"/>
    <x v="242"/>
    <x v="851"/>
    <x v="1340"/>
    <x v="1340"/>
    <x v="1"/>
    <x v="6"/>
    <x v="6"/>
    <x v="53"/>
    <x v="552"/>
    <x v="235"/>
    <x v="1"/>
    <x v="1436"/>
    <x v="208"/>
    <x v="663"/>
    <x v="288"/>
    <x v="576"/>
    <x v="751"/>
    <x v="1"/>
    <x v="947"/>
    <x v="7"/>
  </r>
  <r>
    <x v="468"/>
    <x v="123"/>
    <x v="852"/>
    <x v="831"/>
    <x v="831"/>
    <x v="0"/>
    <x v="12"/>
    <x v="12"/>
    <x v="63"/>
    <x v="270"/>
    <x v="441"/>
    <x v="0"/>
    <x v="803"/>
    <x v="164"/>
    <x v="380"/>
    <x v="0"/>
    <x v="137"/>
    <x v="271"/>
    <x v="0"/>
    <x v="702"/>
    <x v="23"/>
  </r>
  <r>
    <x v="178"/>
    <x v="37"/>
    <x v="853"/>
    <x v="1425"/>
    <x v="1425"/>
    <x v="0"/>
    <x v="5"/>
    <x v="5"/>
    <x v="36"/>
    <x v="362"/>
    <x v="337"/>
    <x v="0"/>
    <x v="530"/>
    <x v="338"/>
    <x v="735"/>
    <x v="578"/>
    <x v="22"/>
    <x v="520"/>
    <x v="1"/>
    <x v="165"/>
    <x v="30"/>
  </r>
  <r>
    <x v="804"/>
    <x v="653"/>
    <x v="854"/>
    <x v="1386"/>
    <x v="1386"/>
    <x v="1"/>
    <x v="21"/>
    <x v="21"/>
    <x v="55"/>
    <x v="493"/>
    <x v="97"/>
    <x v="1"/>
    <x v="62"/>
    <x v="829"/>
    <x v="978"/>
    <x v="0"/>
    <x v="425"/>
    <x v="477"/>
    <x v="1"/>
    <x v="1468"/>
    <x v="23"/>
  </r>
  <r>
    <x v="493"/>
    <x v="254"/>
    <x v="855"/>
    <x v="150"/>
    <x v="150"/>
    <x v="0"/>
    <x v="12"/>
    <x v="12"/>
    <x v="49"/>
    <x v="245"/>
    <x v="436"/>
    <x v="0"/>
    <x v="1154"/>
    <x v="304"/>
    <x v="205"/>
    <x v="0"/>
    <x v="641"/>
    <x v="490"/>
    <x v="1"/>
    <x v="1118"/>
    <x v="25"/>
  </r>
  <r>
    <x v="416"/>
    <x v="519"/>
    <x v="856"/>
    <x v="1714"/>
    <x v="1714"/>
    <x v="0"/>
    <x v="9"/>
    <x v="9"/>
    <x v="63"/>
    <x v="101"/>
    <x v="531"/>
    <x v="0"/>
    <x v="1349"/>
    <x v="416"/>
    <x v="80"/>
    <x v="600"/>
    <x v="644"/>
    <x v="65"/>
    <x v="0"/>
    <x v="989"/>
    <x v="38"/>
  </r>
  <r>
    <x v="27"/>
    <x v="155"/>
    <x v="412"/>
    <x v="597"/>
    <x v="597"/>
    <x v="0"/>
    <x v="18"/>
    <x v="18"/>
    <x v="33"/>
    <x v="279"/>
    <x v="321"/>
    <x v="0"/>
    <x v="60"/>
    <x v="161"/>
    <x v="125"/>
    <x v="750"/>
    <x v="283"/>
    <x v="370"/>
    <x v="1"/>
    <x v="1327"/>
    <x v="2"/>
  </r>
  <r>
    <x v="100"/>
    <x v="119"/>
    <x v="96"/>
    <x v="1557"/>
    <x v="1557"/>
    <x v="0"/>
    <x v="4"/>
    <x v="4"/>
    <x v="36"/>
    <x v="335"/>
    <x v="387"/>
    <x v="0"/>
    <x v="876"/>
    <x v="74"/>
    <x v="293"/>
    <x v="282"/>
    <x v="209"/>
    <x v="395"/>
    <x v="1"/>
    <x v="574"/>
    <x v="15"/>
  </r>
  <r>
    <x v="372"/>
    <x v="185"/>
    <x v="823"/>
    <x v="709"/>
    <x v="709"/>
    <x v="0"/>
    <x v="18"/>
    <x v="18"/>
    <x v="31"/>
    <x v="100"/>
    <x v="521"/>
    <x v="0"/>
    <x v="1458"/>
    <x v="275"/>
    <x v="603"/>
    <x v="0"/>
    <x v="601"/>
    <x v="262"/>
    <x v="0"/>
    <x v="1534"/>
    <x v="36"/>
  </r>
  <r>
    <x v="119"/>
    <x v="801"/>
    <x v="1240"/>
    <x v="598"/>
    <x v="598"/>
    <x v="0"/>
    <x v="18"/>
    <x v="18"/>
    <x v="14"/>
    <x v="514"/>
    <x v="400"/>
    <x v="0"/>
    <x v="1323"/>
    <x v="542"/>
    <x v="806"/>
    <x v="252"/>
    <x v="528"/>
    <x v="678"/>
    <x v="1"/>
    <x v="671"/>
    <x v="15"/>
  </r>
  <r>
    <x v="154"/>
    <x v="323"/>
    <x v="861"/>
    <x v="471"/>
    <x v="471"/>
    <x v="0"/>
    <x v="4"/>
    <x v="4"/>
    <x v="40"/>
    <x v="340"/>
    <x v="318"/>
    <x v="0"/>
    <x v="974"/>
    <x v="590"/>
    <x v="203"/>
    <x v="746"/>
    <x v="192"/>
    <x v="393"/>
    <x v="1"/>
    <x v="419"/>
    <x v="25"/>
  </r>
  <r>
    <x v="290"/>
    <x v="160"/>
    <x v="862"/>
    <x v="1359"/>
    <x v="1359"/>
    <x v="0"/>
    <x v="9"/>
    <x v="9"/>
    <x v="54"/>
    <x v="364"/>
    <x v="259"/>
    <x v="1"/>
    <x v="1479"/>
    <x v="684"/>
    <x v="622"/>
    <x v="0"/>
    <x v="186"/>
    <x v="390"/>
    <x v="1"/>
    <x v="1457"/>
    <x v="15"/>
  </r>
  <r>
    <x v="365"/>
    <x v="704"/>
    <x v="863"/>
    <x v="280"/>
    <x v="280"/>
    <x v="1"/>
    <x v="10"/>
    <x v="10"/>
    <x v="62"/>
    <x v="393"/>
    <x v="313"/>
    <x v="0"/>
    <x v="1372"/>
    <x v="577"/>
    <x v="423"/>
    <x v="0"/>
    <x v="171"/>
    <x v="620"/>
    <x v="1"/>
    <x v="1575"/>
    <x v="11"/>
  </r>
  <r>
    <x v="447"/>
    <x v="406"/>
    <x v="864"/>
    <x v="1758"/>
    <x v="1758"/>
    <x v="0"/>
    <x v="11"/>
    <x v="11"/>
    <x v="43"/>
    <x v="223"/>
    <x v="477"/>
    <x v="0"/>
    <x v="1041"/>
    <x v="625"/>
    <x v="341"/>
    <x v="0"/>
    <x v="475"/>
    <x v="478"/>
    <x v="1"/>
    <x v="1619"/>
    <x v="30"/>
  </r>
  <r>
    <x v="65"/>
    <x v="5"/>
    <x v="865"/>
    <x v="1103"/>
    <x v="1103"/>
    <x v="0"/>
    <x v="2"/>
    <x v="2"/>
    <x v="64"/>
    <x v="181"/>
    <x v="465"/>
    <x v="0"/>
    <x v="697"/>
    <x v="34"/>
    <x v="292"/>
    <x v="209"/>
    <x v="472"/>
    <x v="382"/>
    <x v="1"/>
    <x v="473"/>
    <x v="36"/>
  </r>
  <r>
    <x v="254"/>
    <x v="382"/>
    <x v="867"/>
    <x v="746"/>
    <x v="746"/>
    <x v="0"/>
    <x v="6"/>
    <x v="6"/>
    <x v="56"/>
    <x v="386"/>
    <x v="332"/>
    <x v="0"/>
    <x v="1165"/>
    <x v="56"/>
    <x v="775"/>
    <x v="0"/>
    <x v="104"/>
    <x v="759"/>
    <x v="1"/>
    <x v="415"/>
    <x v="29"/>
  </r>
  <r>
    <x v="573"/>
    <x v="556"/>
    <x v="868"/>
    <x v="832"/>
    <x v="832"/>
    <x v="0"/>
    <x v="15"/>
    <x v="15"/>
    <x v="44"/>
    <x v="389"/>
    <x v="278"/>
    <x v="0"/>
    <x v="1168"/>
    <x v="64"/>
    <x v="854"/>
    <x v="0"/>
    <x v="415"/>
    <x v="123"/>
    <x v="0"/>
    <x v="1058"/>
    <x v="2"/>
  </r>
  <r>
    <x v="83"/>
    <x v="681"/>
    <x v="869"/>
    <x v="642"/>
    <x v="642"/>
    <x v="0"/>
    <x v="7"/>
    <x v="7"/>
    <x v="58"/>
    <x v="375"/>
    <x v="383"/>
    <x v="0"/>
    <x v="807"/>
    <x v="169"/>
    <x v="502"/>
    <x v="442"/>
    <x v="427"/>
    <x v="636"/>
    <x v="1"/>
    <x v="516"/>
    <x v="29"/>
  </r>
  <r>
    <x v="822"/>
    <x v="22"/>
    <x v="870"/>
    <x v="242"/>
    <x v="242"/>
    <x v="0"/>
    <x v="21"/>
    <x v="21"/>
    <x v="55"/>
    <x v="525"/>
    <x v="439"/>
    <x v="0"/>
    <x v="69"/>
    <x v="668"/>
    <x v="823"/>
    <x v="0"/>
    <x v="406"/>
    <x v="557"/>
    <x v="1"/>
    <x v="1349"/>
    <x v="9"/>
  </r>
  <r>
    <x v="9"/>
    <x v="537"/>
    <x v="871"/>
    <x v="1727"/>
    <x v="1727"/>
    <x v="0"/>
    <x v="3"/>
    <x v="3"/>
    <x v="63"/>
    <x v="355"/>
    <x v="408"/>
    <x v="0"/>
    <x v="725"/>
    <x v="123"/>
    <x v="313"/>
    <x v="674"/>
    <x v="145"/>
    <x v="681"/>
    <x v="1"/>
    <x v="1115"/>
    <x v="2"/>
  </r>
  <r>
    <x v="56"/>
    <x v="161"/>
    <x v="872"/>
    <x v="1501"/>
    <x v="1501"/>
    <x v="0"/>
    <x v="3"/>
    <x v="3"/>
    <x v="54"/>
    <x v="395"/>
    <x v="401"/>
    <x v="0"/>
    <x v="1375"/>
    <x v="271"/>
    <x v="388"/>
    <x v="232"/>
    <x v="757"/>
    <x v="486"/>
    <x v="1"/>
    <x v="708"/>
    <x v="23"/>
  </r>
  <r>
    <x v="295"/>
    <x v="176"/>
    <x v="873"/>
    <x v="915"/>
    <x v="915"/>
    <x v="1"/>
    <x v="7"/>
    <x v="7"/>
    <x v="49"/>
    <x v="516"/>
    <x v="75"/>
    <x v="1"/>
    <x v="176"/>
    <x v="817"/>
    <x v="535"/>
    <x v="0"/>
    <x v="357"/>
    <x v="456"/>
    <x v="1"/>
    <x v="49"/>
    <x v="11"/>
  </r>
  <r>
    <x v="10"/>
    <x v="302"/>
    <x v="866"/>
    <x v="1197"/>
    <x v="1197"/>
    <x v="0"/>
    <x v="13"/>
    <x v="13"/>
    <x v="1"/>
    <x v="252"/>
    <x v="329"/>
    <x v="0"/>
    <x v="181"/>
    <x v="40"/>
    <x v="519"/>
    <x v="685"/>
    <x v="643"/>
    <x v="632"/>
    <x v="1"/>
    <x v="1426"/>
    <x v="23"/>
  </r>
  <r>
    <x v="397"/>
    <x v="398"/>
    <x v="874"/>
    <x v="1045"/>
    <x v="1045"/>
    <x v="0"/>
    <x v="14"/>
    <x v="14"/>
    <x v="60"/>
    <x v="284"/>
    <x v="415"/>
    <x v="0"/>
    <x v="1368"/>
    <x v="157"/>
    <x v="110"/>
    <x v="292"/>
    <x v="759"/>
    <x v="592"/>
    <x v="1"/>
    <x v="1112"/>
    <x v="23"/>
  </r>
  <r>
    <x v="340"/>
    <x v="411"/>
    <x v="875"/>
    <x v="1423"/>
    <x v="1423"/>
    <x v="0"/>
    <x v="9"/>
    <x v="9"/>
    <x v="46"/>
    <x v="537"/>
    <x v="457"/>
    <x v="0"/>
    <x v="942"/>
    <x v="345"/>
    <x v="904"/>
    <x v="439"/>
    <x v="296"/>
    <x v="758"/>
    <x v="1"/>
    <x v="948"/>
    <x v="15"/>
  </r>
  <r>
    <x v="562"/>
    <x v="207"/>
    <x v="876"/>
    <x v="1422"/>
    <x v="1422"/>
    <x v="0"/>
    <x v="15"/>
    <x v="15"/>
    <x v="60"/>
    <x v="142"/>
    <x v="328"/>
    <x v="0"/>
    <x v="771"/>
    <x v="631"/>
    <x v="401"/>
    <x v="362"/>
    <x v="326"/>
    <x v="362"/>
    <x v="1"/>
    <x v="969"/>
    <x v="25"/>
  </r>
  <r>
    <x v="239"/>
    <x v="729"/>
    <x v="877"/>
    <x v="1326"/>
    <x v="1326"/>
    <x v="1"/>
    <x v="6"/>
    <x v="6"/>
    <x v="53"/>
    <x v="416"/>
    <x v="516"/>
    <x v="0"/>
    <x v="1488"/>
    <x v="813"/>
    <x v="852"/>
    <x v="0"/>
    <x v="223"/>
    <x v="528"/>
    <x v="1"/>
    <x v="369"/>
    <x v="7"/>
  </r>
  <r>
    <x v="642"/>
    <x v="492"/>
    <x v="878"/>
    <x v="108"/>
    <x v="108"/>
    <x v="0"/>
    <x v="17"/>
    <x v="17"/>
    <x v="59"/>
    <x v="358"/>
    <x v="409"/>
    <x v="0"/>
    <x v="1548"/>
    <x v="347"/>
    <x v="197"/>
    <x v="524"/>
    <x v="724"/>
    <x v="142"/>
    <x v="0"/>
    <x v="443"/>
    <x v="13"/>
  </r>
  <r>
    <x v="334"/>
    <x v="196"/>
    <x v="879"/>
    <x v="1026"/>
    <x v="1026"/>
    <x v="1"/>
    <x v="8"/>
    <x v="8"/>
    <x v="46"/>
    <x v="512"/>
    <x v="222"/>
    <x v="1"/>
    <x v="646"/>
    <x v="753"/>
    <x v="767"/>
    <x v="0"/>
    <x v="404"/>
    <x v="436"/>
    <x v="1"/>
    <x v="40"/>
    <x v="11"/>
  </r>
  <r>
    <x v="256"/>
    <x v="377"/>
    <x v="880"/>
    <x v="1262"/>
    <x v="1262"/>
    <x v="0"/>
    <x v="7"/>
    <x v="7"/>
    <x v="35"/>
    <x v="291"/>
    <x v="127"/>
    <x v="1"/>
    <x v="111"/>
    <x v="711"/>
    <x v="894"/>
    <x v="326"/>
    <x v="232"/>
    <x v="309"/>
    <x v="0"/>
    <x v="181"/>
    <x v="15"/>
  </r>
  <r>
    <x v="767"/>
    <x v="777"/>
    <x v="881"/>
    <x v="181"/>
    <x v="181"/>
    <x v="0"/>
    <x v="19"/>
    <x v="19"/>
    <x v="56"/>
    <x v="221"/>
    <x v="226"/>
    <x v="1"/>
    <x v="618"/>
    <x v="578"/>
    <x v="395"/>
    <x v="39"/>
    <x v="437"/>
    <x v="135"/>
    <x v="0"/>
    <x v="8"/>
    <x v="47"/>
  </r>
  <r>
    <x v="812"/>
    <x v="272"/>
    <x v="882"/>
    <x v="309"/>
    <x v="309"/>
    <x v="1"/>
    <x v="21"/>
    <x v="21"/>
    <x v="55"/>
    <x v="425"/>
    <x v="344"/>
    <x v="0"/>
    <x v="1596"/>
    <x v="494"/>
    <x v="849"/>
    <x v="0"/>
    <x v="487"/>
    <x v="570"/>
    <x v="1"/>
    <x v="1581"/>
    <x v="11"/>
  </r>
  <r>
    <x v="234"/>
    <x v="812"/>
    <x v="883"/>
    <x v="694"/>
    <x v="694"/>
    <x v="0"/>
    <x v="5"/>
    <x v="5"/>
    <x v="41"/>
    <x v="276"/>
    <x v="80"/>
    <x v="1"/>
    <x v="113"/>
    <x v="113"/>
    <x v="884"/>
    <x v="0"/>
    <x v="412"/>
    <x v="237"/>
    <x v="0"/>
    <x v="105"/>
    <x v="23"/>
  </r>
  <r>
    <x v="16"/>
    <x v="48"/>
    <x v="884"/>
    <x v="1443"/>
    <x v="1443"/>
    <x v="0"/>
    <x v="6"/>
    <x v="6"/>
    <x v="51"/>
    <x v="298"/>
    <x v="347"/>
    <x v="0"/>
    <x v="1434"/>
    <x v="69"/>
    <x v="720"/>
    <x v="0"/>
    <x v="354"/>
    <x v="182"/>
    <x v="0"/>
    <x v="583"/>
    <x v="23"/>
  </r>
  <r>
    <x v="598"/>
    <x v="600"/>
    <x v="885"/>
    <x v="1385"/>
    <x v="1385"/>
    <x v="0"/>
    <x v="14"/>
    <x v="14"/>
    <x v="59"/>
    <x v="148"/>
    <x v="150"/>
    <x v="1"/>
    <x v="275"/>
    <x v="303"/>
    <x v="1069"/>
    <x v="0"/>
    <x v="408"/>
    <x v="115"/>
    <x v="0"/>
    <x v="30"/>
    <x v="23"/>
  </r>
  <r>
    <x v="590"/>
    <x v="97"/>
    <x v="886"/>
    <x v="1609"/>
    <x v="1609"/>
    <x v="0"/>
    <x v="17"/>
    <x v="17"/>
    <x v="54"/>
    <x v="51"/>
    <x v="68"/>
    <x v="1"/>
    <x v="117"/>
    <x v="50"/>
    <x v="1188"/>
    <x v="3"/>
    <x v="308"/>
    <x v="66"/>
    <x v="0"/>
    <x v="676"/>
    <x v="23"/>
  </r>
  <r>
    <x v="340"/>
    <x v="411"/>
    <x v="887"/>
    <x v="1186"/>
    <x v="1186"/>
    <x v="0"/>
    <x v="9"/>
    <x v="9"/>
    <x v="44"/>
    <x v="441"/>
    <x v="322"/>
    <x v="0"/>
    <x v="879"/>
    <x v="672"/>
    <x v="933"/>
    <x v="0"/>
    <x v="507"/>
    <x v="599"/>
    <x v="1"/>
    <x v="339"/>
    <x v="15"/>
  </r>
  <r>
    <x v="445"/>
    <x v="410"/>
    <x v="888"/>
    <x v="1052"/>
    <x v="1052"/>
    <x v="1"/>
    <x v="10"/>
    <x v="10"/>
    <x v="52"/>
    <x v="242"/>
    <x v="383"/>
    <x v="0"/>
    <x v="1167"/>
    <x v="141"/>
    <x v="70"/>
    <x v="0"/>
    <x v="172"/>
    <x v="281"/>
    <x v="0"/>
    <x v="766"/>
    <x v="11"/>
  </r>
  <r>
    <x v="98"/>
    <x v="253"/>
    <x v="889"/>
    <x v="1031"/>
    <x v="1031"/>
    <x v="1"/>
    <x v="3"/>
    <x v="3"/>
    <x v="59"/>
    <x v="530"/>
    <x v="164"/>
    <x v="1"/>
    <x v="1215"/>
    <x v="572"/>
    <x v="970"/>
    <x v="0"/>
    <x v="197"/>
    <x v="709"/>
    <x v="1"/>
    <x v="230"/>
    <x v="15"/>
  </r>
  <r>
    <x v="798"/>
    <x v="27"/>
    <x v="890"/>
    <x v="67"/>
    <x v="67"/>
    <x v="0"/>
    <x v="20"/>
    <x v="20"/>
    <x v="68"/>
    <x v="287"/>
    <x v="164"/>
    <x v="1"/>
    <x v="694"/>
    <x v="66"/>
    <x v="1181"/>
    <x v="0"/>
    <x v="428"/>
    <x v="326"/>
    <x v="0"/>
    <x v="1588"/>
    <x v="48"/>
  </r>
  <r>
    <x v="65"/>
    <x v="5"/>
    <x v="891"/>
    <x v="1266"/>
    <x v="1266"/>
    <x v="0"/>
    <x v="14"/>
    <x v="14"/>
    <x v="38"/>
    <x v="119"/>
    <x v="463"/>
    <x v="0"/>
    <x v="989"/>
    <x v="131"/>
    <x v="419"/>
    <x v="0"/>
    <x v="415"/>
    <x v="333"/>
    <x v="0"/>
    <x v="271"/>
    <x v="36"/>
  </r>
  <r>
    <x v="39"/>
    <x v="117"/>
    <x v="219"/>
    <x v="103"/>
    <x v="103"/>
    <x v="0"/>
    <x v="2"/>
    <x v="2"/>
    <x v="22"/>
    <x v="482"/>
    <x v="351"/>
    <x v="0"/>
    <x v="883"/>
    <x v="632"/>
    <x v="1094"/>
    <x v="0"/>
    <x v="560"/>
    <x v="734"/>
    <x v="1"/>
    <x v="11"/>
    <x v="15"/>
  </r>
  <r>
    <x v="281"/>
    <x v="500"/>
    <x v="893"/>
    <x v="1432"/>
    <x v="1432"/>
    <x v="0"/>
    <x v="6"/>
    <x v="6"/>
    <x v="58"/>
    <x v="291"/>
    <x v="182"/>
    <x v="1"/>
    <x v="90"/>
    <x v="532"/>
    <x v="965"/>
    <x v="0"/>
    <x v="422"/>
    <x v="395"/>
    <x v="1"/>
    <x v="329"/>
    <x v="30"/>
  </r>
  <r>
    <x v="599"/>
    <x v="53"/>
    <x v="804"/>
    <x v="1283"/>
    <x v="1283"/>
    <x v="0"/>
    <x v="18"/>
    <x v="18"/>
    <x v="3"/>
    <x v="258"/>
    <x v="335"/>
    <x v="0"/>
    <x v="617"/>
    <x v="572"/>
    <x v="404"/>
    <x v="37"/>
    <x v="449"/>
    <x v="224"/>
    <x v="0"/>
    <x v="687"/>
    <x v="23"/>
  </r>
  <r>
    <x v="342"/>
    <x v="557"/>
    <x v="894"/>
    <x v="1372"/>
    <x v="1372"/>
    <x v="0"/>
    <x v="14"/>
    <x v="14"/>
    <x v="55"/>
    <x v="293"/>
    <x v="278"/>
    <x v="0"/>
    <x v="413"/>
    <x v="137"/>
    <x v="975"/>
    <x v="0"/>
    <x v="650"/>
    <x v="118"/>
    <x v="0"/>
    <x v="1044"/>
    <x v="30"/>
  </r>
  <r>
    <x v="361"/>
    <x v="332"/>
    <x v="895"/>
    <x v="21"/>
    <x v="21"/>
    <x v="0"/>
    <x v="14"/>
    <x v="14"/>
    <x v="29"/>
    <x v="397"/>
    <x v="355"/>
    <x v="0"/>
    <x v="1471"/>
    <x v="201"/>
    <x v="30"/>
    <x v="697"/>
    <x v="450"/>
    <x v="545"/>
    <x v="1"/>
    <x v="1243"/>
    <x v="52"/>
  </r>
  <r>
    <x v="714"/>
    <x v="190"/>
    <x v="1427"/>
    <x v="432"/>
    <x v="432"/>
    <x v="0"/>
    <x v="18"/>
    <x v="18"/>
    <x v="1"/>
    <x v="292"/>
    <x v="340"/>
    <x v="0"/>
    <x v="1273"/>
    <x v="727"/>
    <x v="880"/>
    <x v="0"/>
    <x v="482"/>
    <x v="382"/>
    <x v="1"/>
    <x v="1784"/>
    <x v="48"/>
  </r>
  <r>
    <x v="114"/>
    <x v="271"/>
    <x v="897"/>
    <x v="785"/>
    <x v="785"/>
    <x v="0"/>
    <x v="3"/>
    <x v="3"/>
    <x v="33"/>
    <x v="266"/>
    <x v="421"/>
    <x v="0"/>
    <x v="194"/>
    <x v="501"/>
    <x v="328"/>
    <x v="429"/>
    <x v="587"/>
    <x v="386"/>
    <x v="1"/>
    <x v="848"/>
    <x v="23"/>
  </r>
  <r>
    <x v="783"/>
    <x v="269"/>
    <x v="898"/>
    <x v="238"/>
    <x v="238"/>
    <x v="1"/>
    <x v="20"/>
    <x v="20"/>
    <x v="57"/>
    <x v="372"/>
    <x v="56"/>
    <x v="1"/>
    <x v="180"/>
    <x v="569"/>
    <x v="1186"/>
    <x v="0"/>
    <x v="475"/>
    <x v="228"/>
    <x v="0"/>
    <x v="1168"/>
    <x v="48"/>
  </r>
  <r>
    <x v="191"/>
    <x v="90"/>
    <x v="30"/>
    <x v="659"/>
    <x v="659"/>
    <x v="0"/>
    <x v="16"/>
    <x v="16"/>
    <x v="55"/>
    <x v="382"/>
    <x v="306"/>
    <x v="0"/>
    <x v="888"/>
    <x v="591"/>
    <x v="375"/>
    <x v="0"/>
    <x v="430"/>
    <x v="399"/>
    <x v="1"/>
    <x v="1381"/>
    <x v="30"/>
  </r>
  <r>
    <x v="371"/>
    <x v="130"/>
    <x v="900"/>
    <x v="1083"/>
    <x v="1083"/>
    <x v="0"/>
    <x v="14"/>
    <x v="14"/>
    <x v="52"/>
    <x v="345"/>
    <x v="482"/>
    <x v="0"/>
    <x v="1578"/>
    <x v="323"/>
    <x v="311"/>
    <x v="625"/>
    <x v="588"/>
    <x v="687"/>
    <x v="1"/>
    <x v="1213"/>
    <x v="13"/>
  </r>
  <r>
    <x v="541"/>
    <x v="66"/>
    <x v="901"/>
    <x v="380"/>
    <x v="380"/>
    <x v="0"/>
    <x v="13"/>
    <x v="13"/>
    <x v="63"/>
    <x v="219"/>
    <x v="489"/>
    <x v="0"/>
    <x v="619"/>
    <x v="90"/>
    <x v="600"/>
    <x v="767"/>
    <x v="599"/>
    <x v="309"/>
    <x v="0"/>
    <x v="1114"/>
    <x v="25"/>
  </r>
  <r>
    <x v="719"/>
    <x v="132"/>
    <x v="902"/>
    <x v="523"/>
    <x v="523"/>
    <x v="0"/>
    <x v="21"/>
    <x v="21"/>
    <x v="51"/>
    <x v="375"/>
    <x v="116"/>
    <x v="1"/>
    <x v="397"/>
    <x v="197"/>
    <x v="410"/>
    <x v="572"/>
    <x v="608"/>
    <x v="485"/>
    <x v="1"/>
    <x v="446"/>
    <x v="23"/>
  </r>
  <r>
    <x v="339"/>
    <x v="626"/>
    <x v="903"/>
    <x v="1591"/>
    <x v="1591"/>
    <x v="0"/>
    <x v="8"/>
    <x v="8"/>
    <x v="0"/>
    <x v="196"/>
    <x v="536"/>
    <x v="0"/>
    <x v="794"/>
    <x v="336"/>
    <x v="141"/>
    <x v="0"/>
    <x v="406"/>
    <x v="431"/>
    <x v="1"/>
    <x v="594"/>
    <x v="0"/>
  </r>
  <r>
    <x v="62"/>
    <x v="647"/>
    <x v="904"/>
    <x v="1122"/>
    <x v="1122"/>
    <x v="0"/>
    <x v="2"/>
    <x v="2"/>
    <x v="45"/>
    <x v="290"/>
    <x v="391"/>
    <x v="0"/>
    <x v="94"/>
    <x v="50"/>
    <x v="842"/>
    <x v="381"/>
    <x v="622"/>
    <x v="675"/>
    <x v="1"/>
    <x v="860"/>
    <x v="33"/>
  </r>
  <r>
    <x v="231"/>
    <x v="307"/>
    <x v="905"/>
    <x v="235"/>
    <x v="235"/>
    <x v="0"/>
    <x v="4"/>
    <x v="4"/>
    <x v="54"/>
    <x v="255"/>
    <x v="530"/>
    <x v="0"/>
    <x v="1405"/>
    <x v="118"/>
    <x v="55"/>
    <x v="0"/>
    <x v="179"/>
    <x v="444"/>
    <x v="1"/>
    <x v="664"/>
    <x v="46"/>
  </r>
  <r>
    <x v="642"/>
    <x v="492"/>
    <x v="906"/>
    <x v="55"/>
    <x v="55"/>
    <x v="0"/>
    <x v="17"/>
    <x v="17"/>
    <x v="35"/>
    <x v="381"/>
    <x v="477"/>
    <x v="0"/>
    <x v="1371"/>
    <x v="378"/>
    <x v="553"/>
    <x v="496"/>
    <x v="531"/>
    <x v="579"/>
    <x v="1"/>
    <x v="691"/>
    <x v="13"/>
  </r>
  <r>
    <x v="528"/>
    <x v="80"/>
    <x v="907"/>
    <x v="1718"/>
    <x v="1718"/>
    <x v="1"/>
    <x v="13"/>
    <x v="13"/>
    <x v="54"/>
    <x v="311"/>
    <x v="296"/>
    <x v="0"/>
    <x v="147"/>
    <x v="704"/>
    <x v="1050"/>
    <x v="0"/>
    <x v="423"/>
    <x v="46"/>
    <x v="0"/>
    <x v="244"/>
    <x v="11"/>
  </r>
  <r>
    <x v="497"/>
    <x v="238"/>
    <x v="908"/>
    <x v="600"/>
    <x v="600"/>
    <x v="0"/>
    <x v="12"/>
    <x v="12"/>
    <x v="49"/>
    <x v="317"/>
    <x v="395"/>
    <x v="0"/>
    <x v="536"/>
    <x v="112"/>
    <x v="502"/>
    <x v="682"/>
    <x v="435"/>
    <x v="605"/>
    <x v="1"/>
    <x v="912"/>
    <x v="34"/>
  </r>
  <r>
    <x v="248"/>
    <x v="164"/>
    <x v="909"/>
    <x v="1159"/>
    <x v="1159"/>
    <x v="0"/>
    <x v="8"/>
    <x v="8"/>
    <x v="54"/>
    <x v="336"/>
    <x v="325"/>
    <x v="0"/>
    <x v="683"/>
    <x v="610"/>
    <x v="994"/>
    <x v="0"/>
    <x v="306"/>
    <x v="272"/>
    <x v="0"/>
    <x v="1329"/>
    <x v="30"/>
  </r>
  <r>
    <x v="473"/>
    <x v="260"/>
    <x v="910"/>
    <x v="750"/>
    <x v="750"/>
    <x v="0"/>
    <x v="12"/>
    <x v="12"/>
    <x v="59"/>
    <x v="86"/>
    <x v="437"/>
    <x v="0"/>
    <x v="164"/>
    <x v="821"/>
    <x v="295"/>
    <x v="0"/>
    <x v="421"/>
    <x v="603"/>
    <x v="1"/>
    <x v="1045"/>
    <x v="11"/>
  </r>
  <r>
    <x v="224"/>
    <x v="63"/>
    <x v="911"/>
    <x v="1675"/>
    <x v="1675"/>
    <x v="0"/>
    <x v="4"/>
    <x v="4"/>
    <x v="61"/>
    <x v="249"/>
    <x v="174"/>
    <x v="1"/>
    <x v="763"/>
    <x v="24"/>
    <x v="315"/>
    <x v="0"/>
    <x v="402"/>
    <x v="357"/>
    <x v="1"/>
    <x v="686"/>
    <x v="46"/>
  </r>
  <r>
    <x v="168"/>
    <x v="673"/>
    <x v="912"/>
    <x v="1077"/>
    <x v="1077"/>
    <x v="0"/>
    <x v="4"/>
    <x v="4"/>
    <x v="47"/>
    <x v="392"/>
    <x v="380"/>
    <x v="0"/>
    <x v="938"/>
    <x v="762"/>
    <x v="762"/>
    <x v="0"/>
    <x v="417"/>
    <x v="427"/>
    <x v="1"/>
    <x v="431"/>
    <x v="11"/>
  </r>
  <r>
    <x v="602"/>
    <x v="658"/>
    <x v="913"/>
    <x v="61"/>
    <x v="61"/>
    <x v="0"/>
    <x v="16"/>
    <x v="16"/>
    <x v="65"/>
    <x v="291"/>
    <x v="229"/>
    <x v="1"/>
    <x v="414"/>
    <x v="123"/>
    <x v="1044"/>
    <x v="253"/>
    <x v="428"/>
    <x v="325"/>
    <x v="0"/>
    <x v="490"/>
    <x v="23"/>
  </r>
  <r>
    <x v="175"/>
    <x v="387"/>
    <x v="914"/>
    <x v="1624"/>
    <x v="1624"/>
    <x v="0"/>
    <x v="4"/>
    <x v="4"/>
    <x v="48"/>
    <x v="483"/>
    <x v="411"/>
    <x v="0"/>
    <x v="984"/>
    <x v="366"/>
    <x v="590"/>
    <x v="441"/>
    <x v="193"/>
    <x v="711"/>
    <x v="1"/>
    <x v="789"/>
    <x v="23"/>
  </r>
  <r>
    <x v="6"/>
    <x v="242"/>
    <x v="915"/>
    <x v="1690"/>
    <x v="1690"/>
    <x v="1"/>
    <x v="6"/>
    <x v="6"/>
    <x v="34"/>
    <x v="159"/>
    <x v="368"/>
    <x v="0"/>
    <x v="1456"/>
    <x v="792"/>
    <x v="430"/>
    <x v="446"/>
    <x v="408"/>
    <x v="251"/>
    <x v="0"/>
    <x v="72"/>
    <x v="7"/>
  </r>
  <r>
    <x v="6"/>
    <x v="242"/>
    <x v="915"/>
    <x v="1690"/>
    <x v="1690"/>
    <x v="1"/>
    <x v="6"/>
    <x v="6"/>
    <x v="53"/>
    <x v="159"/>
    <x v="368"/>
    <x v="0"/>
    <x v="1456"/>
    <x v="792"/>
    <x v="430"/>
    <x v="446"/>
    <x v="408"/>
    <x v="251"/>
    <x v="0"/>
    <x v="72"/>
    <x v="7"/>
  </r>
  <r>
    <x v="468"/>
    <x v="123"/>
    <x v="1603"/>
    <x v="219"/>
    <x v="219"/>
    <x v="0"/>
    <x v="12"/>
    <x v="12"/>
    <x v="61"/>
    <x v="427"/>
    <x v="312"/>
    <x v="0"/>
    <x v="893"/>
    <x v="401"/>
    <x v="1017"/>
    <x v="0"/>
    <x v="376"/>
    <x v="746"/>
    <x v="1"/>
    <x v="1750"/>
    <x v="23"/>
  </r>
  <r>
    <x v="606"/>
    <x v="516"/>
    <x v="917"/>
    <x v="155"/>
    <x v="155"/>
    <x v="0"/>
    <x v="17"/>
    <x v="17"/>
    <x v="56"/>
    <x v="409"/>
    <x v="425"/>
    <x v="0"/>
    <x v="797"/>
    <x v="205"/>
    <x v="622"/>
    <x v="2"/>
    <x v="415"/>
    <x v="744"/>
    <x v="1"/>
    <x v="1427"/>
    <x v="23"/>
  </r>
  <r>
    <x v="344"/>
    <x v="322"/>
    <x v="918"/>
    <x v="1471"/>
    <x v="1471"/>
    <x v="0"/>
    <x v="21"/>
    <x v="21"/>
    <x v="21"/>
    <x v="117"/>
    <x v="345"/>
    <x v="0"/>
    <x v="801"/>
    <x v="88"/>
    <x v="442"/>
    <x v="11"/>
    <x v="511"/>
    <x v="111"/>
    <x v="0"/>
    <x v="1236"/>
    <x v="36"/>
  </r>
  <r>
    <x v="727"/>
    <x v="358"/>
    <x v="1852"/>
    <x v="669"/>
    <x v="669"/>
    <x v="1"/>
    <x v="18"/>
    <x v="18"/>
    <x v="1"/>
    <x v="504"/>
    <x v="270"/>
    <x v="0"/>
    <x v="583"/>
    <x v="603"/>
    <x v="901"/>
    <x v="0"/>
    <x v="489"/>
    <x v="515"/>
    <x v="1"/>
    <x v="1026"/>
    <x v="13"/>
  </r>
  <r>
    <x v="635"/>
    <x v="31"/>
    <x v="920"/>
    <x v="177"/>
    <x v="177"/>
    <x v="0"/>
    <x v="16"/>
    <x v="16"/>
    <x v="61"/>
    <x v="139"/>
    <x v="14"/>
    <x v="1"/>
    <x v="126"/>
    <x v="71"/>
    <x v="1182"/>
    <x v="0"/>
    <x v="491"/>
    <x v="224"/>
    <x v="0"/>
    <x v="1528"/>
    <x v="23"/>
  </r>
  <r>
    <x v="112"/>
    <x v="354"/>
    <x v="921"/>
    <x v="1681"/>
    <x v="1681"/>
    <x v="0"/>
    <x v="3"/>
    <x v="3"/>
    <x v="51"/>
    <x v="505"/>
    <x v="325"/>
    <x v="0"/>
    <x v="804"/>
    <x v="594"/>
    <x v="906"/>
    <x v="647"/>
    <x v="437"/>
    <x v="714"/>
    <x v="1"/>
    <x v="960"/>
    <x v="23"/>
  </r>
  <r>
    <x v="467"/>
    <x v="542"/>
    <x v="922"/>
    <x v="1295"/>
    <x v="1295"/>
    <x v="1"/>
    <x v="11"/>
    <x v="11"/>
    <x v="54"/>
    <x v="156"/>
    <x v="112"/>
    <x v="1"/>
    <x v="171"/>
    <x v="21"/>
    <x v="487"/>
    <x v="271"/>
    <x v="311"/>
    <x v="300"/>
    <x v="0"/>
    <x v="1419"/>
    <x v="6"/>
  </r>
  <r>
    <x v="595"/>
    <x v="579"/>
    <x v="923"/>
    <x v="1515"/>
    <x v="1515"/>
    <x v="0"/>
    <x v="14"/>
    <x v="14"/>
    <x v="65"/>
    <x v="104"/>
    <x v="357"/>
    <x v="0"/>
    <x v="875"/>
    <x v="68"/>
    <x v="441"/>
    <x v="0"/>
    <x v="450"/>
    <x v="264"/>
    <x v="0"/>
    <x v="585"/>
    <x v="35"/>
  </r>
  <r>
    <x v="505"/>
    <x v="423"/>
    <x v="924"/>
    <x v="637"/>
    <x v="637"/>
    <x v="0"/>
    <x v="11"/>
    <x v="11"/>
    <x v="37"/>
    <x v="224"/>
    <x v="493"/>
    <x v="0"/>
    <x v="1575"/>
    <x v="141"/>
    <x v="486"/>
    <x v="0"/>
    <x v="630"/>
    <x v="739"/>
    <x v="1"/>
    <x v="273"/>
    <x v="23"/>
  </r>
  <r>
    <x v="559"/>
    <x v="584"/>
    <x v="925"/>
    <x v="390"/>
    <x v="390"/>
    <x v="0"/>
    <x v="14"/>
    <x v="14"/>
    <x v="0"/>
    <x v="293"/>
    <x v="437"/>
    <x v="0"/>
    <x v="1650"/>
    <x v="279"/>
    <x v="689"/>
    <x v="0"/>
    <x v="385"/>
    <x v="736"/>
    <x v="1"/>
    <x v="1105"/>
    <x v="23"/>
  </r>
  <r>
    <x v="259"/>
    <x v="722"/>
    <x v="926"/>
    <x v="1773"/>
    <x v="1773"/>
    <x v="1"/>
    <x v="10"/>
    <x v="10"/>
    <x v="61"/>
    <x v="46"/>
    <x v="462"/>
    <x v="0"/>
    <x v="1485"/>
    <x v="713"/>
    <x v="723"/>
    <x v="0"/>
    <x v="512"/>
    <x v="322"/>
    <x v="0"/>
    <x v="1640"/>
    <x v="11"/>
  </r>
  <r>
    <x v="131"/>
    <x v="344"/>
    <x v="927"/>
    <x v="1437"/>
    <x v="1437"/>
    <x v="0"/>
    <x v="3"/>
    <x v="3"/>
    <x v="50"/>
    <x v="502"/>
    <x v="368"/>
    <x v="0"/>
    <x v="1271"/>
    <x v="756"/>
    <x v="649"/>
    <x v="0"/>
    <x v="45"/>
    <x v="469"/>
    <x v="1"/>
    <x v="662"/>
    <x v="15"/>
  </r>
  <r>
    <x v="512"/>
    <x v="656"/>
    <x v="928"/>
    <x v="722"/>
    <x v="722"/>
    <x v="1"/>
    <x v="13"/>
    <x v="13"/>
    <x v="35"/>
    <x v="545"/>
    <x v="408"/>
    <x v="0"/>
    <x v="1527"/>
    <x v="327"/>
    <x v="89"/>
    <x v="580"/>
    <x v="80"/>
    <x v="533"/>
    <x v="1"/>
    <x v="1198"/>
    <x v="2"/>
  </r>
  <r>
    <x v="813"/>
    <x v="186"/>
    <x v="929"/>
    <x v="1238"/>
    <x v="1238"/>
    <x v="1"/>
    <x v="21"/>
    <x v="21"/>
    <x v="64"/>
    <x v="445"/>
    <x v="114"/>
    <x v="1"/>
    <x v="608"/>
    <x v="745"/>
    <x v="996"/>
    <x v="0"/>
    <x v="376"/>
    <x v="389"/>
    <x v="1"/>
    <x v="711"/>
    <x v="7"/>
  </r>
  <r>
    <x v="699"/>
    <x v="44"/>
    <x v="757"/>
    <x v="574"/>
    <x v="574"/>
    <x v="0"/>
    <x v="18"/>
    <x v="18"/>
    <x v="0"/>
    <x v="369"/>
    <x v="447"/>
    <x v="0"/>
    <x v="1395"/>
    <x v="93"/>
    <x v="1052"/>
    <x v="392"/>
    <x v="458"/>
    <x v="506"/>
    <x v="1"/>
    <x v="611"/>
    <x v="25"/>
  </r>
  <r>
    <x v="41"/>
    <x v="78"/>
    <x v="1410"/>
    <x v="1124"/>
    <x v="1124"/>
    <x v="0"/>
    <x v="1"/>
    <x v="1"/>
    <x v="54"/>
    <x v="265"/>
    <x v="227"/>
    <x v="1"/>
    <x v="913"/>
    <x v="7"/>
    <x v="961"/>
    <x v="0"/>
    <x v="234"/>
    <x v="516"/>
    <x v="1"/>
    <x v="1697"/>
    <x v="23"/>
  </r>
  <r>
    <x v="244"/>
    <x v="24"/>
    <x v="932"/>
    <x v="1125"/>
    <x v="1125"/>
    <x v="1"/>
    <x v="6"/>
    <x v="6"/>
    <x v="9"/>
    <x v="451"/>
    <x v="183"/>
    <x v="1"/>
    <x v="1144"/>
    <x v="566"/>
    <x v="457"/>
    <x v="0"/>
    <x v="411"/>
    <x v="210"/>
    <x v="0"/>
    <x v="220"/>
    <x v="23"/>
  </r>
  <r>
    <x v="257"/>
    <x v="753"/>
    <x v="933"/>
    <x v="525"/>
    <x v="525"/>
    <x v="0"/>
    <x v="6"/>
    <x v="6"/>
    <x v="51"/>
    <x v="383"/>
    <x v="445"/>
    <x v="0"/>
    <x v="1100"/>
    <x v="273"/>
    <x v="87"/>
    <x v="422"/>
    <x v="174"/>
    <x v="492"/>
    <x v="1"/>
    <x v="1013"/>
    <x v="2"/>
  </r>
  <r>
    <x v="401"/>
    <x v="454"/>
    <x v="934"/>
    <x v="1702"/>
    <x v="1702"/>
    <x v="1"/>
    <x v="10"/>
    <x v="10"/>
    <x v="55"/>
    <x v="461"/>
    <x v="67"/>
    <x v="1"/>
    <x v="67"/>
    <x v="486"/>
    <x v="653"/>
    <x v="591"/>
    <x v="441"/>
    <x v="296"/>
    <x v="0"/>
    <x v="1560"/>
    <x v="11"/>
  </r>
  <r>
    <x v="331"/>
    <x v="265"/>
    <x v="935"/>
    <x v="1239"/>
    <x v="1239"/>
    <x v="1"/>
    <x v="8"/>
    <x v="8"/>
    <x v="43"/>
    <x v="404"/>
    <x v="212"/>
    <x v="1"/>
    <x v="634"/>
    <x v="790"/>
    <x v="951"/>
    <x v="0"/>
    <x v="470"/>
    <x v="466"/>
    <x v="1"/>
    <x v="249"/>
    <x v="30"/>
  </r>
  <r>
    <x v="244"/>
    <x v="24"/>
    <x v="936"/>
    <x v="1139"/>
    <x v="1139"/>
    <x v="1"/>
    <x v="6"/>
    <x v="6"/>
    <x v="12"/>
    <x v="264"/>
    <x v="145"/>
    <x v="1"/>
    <x v="188"/>
    <x v="98"/>
    <x v="1036"/>
    <x v="0"/>
    <x v="535"/>
    <x v="453"/>
    <x v="1"/>
    <x v="241"/>
    <x v="23"/>
  </r>
  <r>
    <x v="296"/>
    <x v="641"/>
    <x v="937"/>
    <x v="958"/>
    <x v="958"/>
    <x v="0"/>
    <x v="7"/>
    <x v="7"/>
    <x v="42"/>
    <x v="186"/>
    <x v="496"/>
    <x v="0"/>
    <x v="1525"/>
    <x v="574"/>
    <x v="521"/>
    <x v="0"/>
    <x v="329"/>
    <x v="672"/>
    <x v="1"/>
    <x v="1725"/>
    <x v="28"/>
  </r>
  <r>
    <x v="541"/>
    <x v="66"/>
    <x v="938"/>
    <x v="148"/>
    <x v="148"/>
    <x v="0"/>
    <x v="19"/>
    <x v="19"/>
    <x v="39"/>
    <x v="290"/>
    <x v="267"/>
    <x v="0"/>
    <x v="827"/>
    <x v="335"/>
    <x v="874"/>
    <x v="252"/>
    <x v="177"/>
    <x v="140"/>
    <x v="0"/>
    <x v="586"/>
    <x v="25"/>
  </r>
  <r>
    <x v="0"/>
    <x v="122"/>
    <x v="1221"/>
    <x v="626"/>
    <x v="626"/>
    <x v="0"/>
    <x v="9"/>
    <x v="9"/>
    <x v="50"/>
    <x v="404"/>
    <x v="240"/>
    <x v="1"/>
    <x v="930"/>
    <x v="675"/>
    <x v="807"/>
    <x v="0"/>
    <x v="298"/>
    <x v="607"/>
    <x v="1"/>
    <x v="797"/>
    <x v="23"/>
  </r>
  <r>
    <x v="290"/>
    <x v="160"/>
    <x v="940"/>
    <x v="878"/>
    <x v="878"/>
    <x v="1"/>
    <x v="13"/>
    <x v="13"/>
    <x v="57"/>
    <x v="402"/>
    <x v="278"/>
    <x v="0"/>
    <x v="551"/>
    <x v="647"/>
    <x v="527"/>
    <x v="147"/>
    <x v="448"/>
    <x v="378"/>
    <x v="1"/>
    <x v="1541"/>
    <x v="15"/>
  </r>
  <r>
    <x v="738"/>
    <x v="12"/>
    <x v="941"/>
    <x v="133"/>
    <x v="133"/>
    <x v="1"/>
    <x v="20"/>
    <x v="20"/>
    <x v="59"/>
    <x v="424"/>
    <x v="191"/>
    <x v="1"/>
    <x v="922"/>
    <x v="155"/>
    <x v="1080"/>
    <x v="0"/>
    <x v="452"/>
    <x v="376"/>
    <x v="1"/>
    <x v="394"/>
    <x v="7"/>
  </r>
  <r>
    <x v="588"/>
    <x v="713"/>
    <x v="942"/>
    <x v="18"/>
    <x v="18"/>
    <x v="0"/>
    <x v="16"/>
    <x v="16"/>
    <x v="0"/>
    <x v="464"/>
    <x v="415"/>
    <x v="0"/>
    <x v="173"/>
    <x v="476"/>
    <x v="184"/>
    <x v="606"/>
    <x v="558"/>
    <x v="360"/>
    <x v="1"/>
    <x v="905"/>
    <x v="2"/>
  </r>
  <r>
    <x v="609"/>
    <x v="216"/>
    <x v="1025"/>
    <x v="826"/>
    <x v="826"/>
    <x v="0"/>
    <x v="18"/>
    <x v="18"/>
    <x v="0"/>
    <x v="246"/>
    <x v="301"/>
    <x v="0"/>
    <x v="820"/>
    <x v="178"/>
    <x v="435"/>
    <x v="0"/>
    <x v="99"/>
    <x v="92"/>
    <x v="0"/>
    <x v="631"/>
    <x v="13"/>
  </r>
  <r>
    <x v="40"/>
    <x v="532"/>
    <x v="944"/>
    <x v="964"/>
    <x v="964"/>
    <x v="1"/>
    <x v="7"/>
    <x v="7"/>
    <x v="53"/>
    <x v="526"/>
    <x v="413"/>
    <x v="0"/>
    <x v="306"/>
    <x v="586"/>
    <x v="510"/>
    <x v="619"/>
    <x v="65"/>
    <x v="634"/>
    <x v="1"/>
    <x v="1084"/>
    <x v="15"/>
  </r>
  <r>
    <x v="8"/>
    <x v="201"/>
    <x v="945"/>
    <x v="1250"/>
    <x v="1250"/>
    <x v="0"/>
    <x v="6"/>
    <x v="6"/>
    <x v="47"/>
    <x v="447"/>
    <x v="499"/>
    <x v="0"/>
    <x v="613"/>
    <x v="357"/>
    <x v="306"/>
    <x v="734"/>
    <x v="392"/>
    <x v="384"/>
    <x v="1"/>
    <x v="868"/>
    <x v="30"/>
  </r>
  <r>
    <x v="6"/>
    <x v="242"/>
    <x v="946"/>
    <x v="1752"/>
    <x v="1752"/>
    <x v="1"/>
    <x v="6"/>
    <x v="6"/>
    <x v="63"/>
    <x v="321"/>
    <x v="336"/>
    <x v="0"/>
    <x v="1098"/>
    <x v="719"/>
    <x v="336"/>
    <x v="488"/>
    <x v="629"/>
    <x v="3"/>
    <x v="0"/>
    <x v="1722"/>
    <x v="7"/>
  </r>
  <r>
    <x v="102"/>
    <x v="180"/>
    <x v="947"/>
    <x v="1781"/>
    <x v="1781"/>
    <x v="0"/>
    <x v="15"/>
    <x v="15"/>
    <x v="55"/>
    <x v="464"/>
    <x v="260"/>
    <x v="1"/>
    <x v="197"/>
    <x v="301"/>
    <x v="776"/>
    <x v="519"/>
    <x v="226"/>
    <x v="507"/>
    <x v="1"/>
    <x v="533"/>
    <x v="9"/>
  </r>
  <r>
    <x v="551"/>
    <x v="282"/>
    <x v="948"/>
    <x v="1108"/>
    <x v="1108"/>
    <x v="1"/>
    <x v="14"/>
    <x v="14"/>
    <x v="50"/>
    <x v="534"/>
    <x v="206"/>
    <x v="1"/>
    <x v="1000"/>
    <x v="685"/>
    <x v="485"/>
    <x v="470"/>
    <x v="471"/>
    <x v="339"/>
    <x v="0"/>
    <x v="1001"/>
    <x v="15"/>
  </r>
  <r>
    <x v="793"/>
    <x v="301"/>
    <x v="949"/>
    <x v="426"/>
    <x v="426"/>
    <x v="1"/>
    <x v="21"/>
    <x v="21"/>
    <x v="70"/>
    <x v="293"/>
    <x v="272"/>
    <x v="0"/>
    <x v="16"/>
    <x v="108"/>
    <x v="821"/>
    <x v="507"/>
    <x v="419"/>
    <x v="61"/>
    <x v="0"/>
    <x v="549"/>
    <x v="2"/>
  </r>
  <r>
    <x v="177"/>
    <x v="195"/>
    <x v="950"/>
    <x v="1337"/>
    <x v="1337"/>
    <x v="0"/>
    <x v="5"/>
    <x v="5"/>
    <x v="40"/>
    <x v="216"/>
    <x v="348"/>
    <x v="0"/>
    <x v="398"/>
    <x v="31"/>
    <x v="543"/>
    <x v="36"/>
    <x v="495"/>
    <x v="355"/>
    <x v="1"/>
    <x v="1543"/>
    <x v="23"/>
  </r>
  <r>
    <x v="476"/>
    <x v="211"/>
    <x v="951"/>
    <x v="520"/>
    <x v="520"/>
    <x v="0"/>
    <x v="14"/>
    <x v="14"/>
    <x v="41"/>
    <x v="20"/>
    <x v="526"/>
    <x v="0"/>
    <x v="1668"/>
    <x v="205"/>
    <x v="422"/>
    <x v="628"/>
    <x v="703"/>
    <x v="335"/>
    <x v="0"/>
    <x v="1432"/>
    <x v="25"/>
  </r>
  <r>
    <x v="133"/>
    <x v="544"/>
    <x v="952"/>
    <x v="1723"/>
    <x v="1723"/>
    <x v="0"/>
    <x v="2"/>
    <x v="2"/>
    <x v="0"/>
    <x v="204"/>
    <x v="43"/>
    <x v="1"/>
    <x v="48"/>
    <x v="237"/>
    <x v="1043"/>
    <x v="0"/>
    <x v="313"/>
    <x v="195"/>
    <x v="0"/>
    <x v="483"/>
    <x v="30"/>
  </r>
  <r>
    <x v="340"/>
    <x v="411"/>
    <x v="952"/>
    <x v="1415"/>
    <x v="1415"/>
    <x v="0"/>
    <x v="7"/>
    <x v="7"/>
    <x v="58"/>
    <x v="323"/>
    <x v="133"/>
    <x v="1"/>
    <x v="1198"/>
    <x v="31"/>
    <x v="693"/>
    <x v="0"/>
    <x v="404"/>
    <x v="176"/>
    <x v="0"/>
    <x v="818"/>
    <x v="15"/>
  </r>
  <r>
    <x v="33"/>
    <x v="427"/>
    <x v="953"/>
    <x v="1184"/>
    <x v="1184"/>
    <x v="0"/>
    <x v="3"/>
    <x v="3"/>
    <x v="41"/>
    <x v="238"/>
    <x v="374"/>
    <x v="0"/>
    <x v="577"/>
    <x v="170"/>
    <x v="495"/>
    <x v="687"/>
    <x v="90"/>
    <x v="324"/>
    <x v="0"/>
    <x v="1061"/>
    <x v="25"/>
  </r>
  <r>
    <x v="99"/>
    <x v="364"/>
    <x v="954"/>
    <x v="844"/>
    <x v="844"/>
    <x v="0"/>
    <x v="3"/>
    <x v="3"/>
    <x v="53"/>
    <x v="419"/>
    <x v="442"/>
    <x v="0"/>
    <x v="897"/>
    <x v="406"/>
    <x v="185"/>
    <x v="99"/>
    <x v="702"/>
    <x v="518"/>
    <x v="1"/>
    <x v="426"/>
    <x v="15"/>
  </r>
  <r>
    <x v="394"/>
    <x v="118"/>
    <x v="955"/>
    <x v="960"/>
    <x v="960"/>
    <x v="0"/>
    <x v="11"/>
    <x v="11"/>
    <x v="50"/>
    <x v="90"/>
    <x v="570"/>
    <x v="0"/>
    <x v="1522"/>
    <x v="606"/>
    <x v="137"/>
    <x v="97"/>
    <x v="464"/>
    <x v="261"/>
    <x v="0"/>
    <x v="1577"/>
    <x v="23"/>
  </r>
  <r>
    <x v="87"/>
    <x v="106"/>
    <x v="661"/>
    <x v="1360"/>
    <x v="1360"/>
    <x v="0"/>
    <x v="3"/>
    <x v="3"/>
    <x v="57"/>
    <x v="302"/>
    <x v="373"/>
    <x v="0"/>
    <x v="961"/>
    <x v="315"/>
    <x v="937"/>
    <x v="0"/>
    <x v="676"/>
    <x v="500"/>
    <x v="1"/>
    <x v="218"/>
    <x v="30"/>
  </r>
  <r>
    <x v="119"/>
    <x v="801"/>
    <x v="957"/>
    <x v="1459"/>
    <x v="1459"/>
    <x v="0"/>
    <x v="10"/>
    <x v="10"/>
    <x v="57"/>
    <x v="208"/>
    <x v="313"/>
    <x v="0"/>
    <x v="604"/>
    <x v="424"/>
    <x v="658"/>
    <x v="0"/>
    <x v="471"/>
    <x v="202"/>
    <x v="0"/>
    <x v="1451"/>
    <x v="15"/>
  </r>
  <r>
    <x v="791"/>
    <x v="412"/>
    <x v="958"/>
    <x v="420"/>
    <x v="420"/>
    <x v="0"/>
    <x v="20"/>
    <x v="20"/>
    <x v="59"/>
    <x v="343"/>
    <x v="250"/>
    <x v="1"/>
    <x v="726"/>
    <x v="190"/>
    <x v="827"/>
    <x v="0"/>
    <x v="438"/>
    <x v="194"/>
    <x v="0"/>
    <x v="1496"/>
    <x v="30"/>
  </r>
  <r>
    <x v="268"/>
    <x v="394"/>
    <x v="959"/>
    <x v="1549"/>
    <x v="1549"/>
    <x v="0"/>
    <x v="10"/>
    <x v="10"/>
    <x v="52"/>
    <x v="395"/>
    <x v="138"/>
    <x v="1"/>
    <x v="224"/>
    <x v="71"/>
    <x v="642"/>
    <x v="749"/>
    <x v="416"/>
    <x v="30"/>
    <x v="0"/>
    <x v="874"/>
    <x v="7"/>
  </r>
  <r>
    <x v="208"/>
    <x v="305"/>
    <x v="960"/>
    <x v="483"/>
    <x v="483"/>
    <x v="0"/>
    <x v="6"/>
    <x v="6"/>
    <x v="45"/>
    <x v="298"/>
    <x v="549"/>
    <x v="0"/>
    <x v="1226"/>
    <x v="343"/>
    <x v="111"/>
    <x v="601"/>
    <x v="226"/>
    <x v="530"/>
    <x v="1"/>
    <x v="809"/>
    <x v="25"/>
  </r>
  <r>
    <x v="401"/>
    <x v="454"/>
    <x v="961"/>
    <x v="1412"/>
    <x v="1412"/>
    <x v="1"/>
    <x v="15"/>
    <x v="15"/>
    <x v="54"/>
    <x v="304"/>
    <x v="236"/>
    <x v="1"/>
    <x v="456"/>
    <x v="74"/>
    <x v="372"/>
    <x v="0"/>
    <x v="369"/>
    <x v="338"/>
    <x v="0"/>
    <x v="1042"/>
    <x v="11"/>
  </r>
  <r>
    <x v="577"/>
    <x v="376"/>
    <x v="962"/>
    <x v="1215"/>
    <x v="1215"/>
    <x v="0"/>
    <x v="15"/>
    <x v="15"/>
    <x v="60"/>
    <x v="134"/>
    <x v="494"/>
    <x v="0"/>
    <x v="1026"/>
    <x v="183"/>
    <x v="235"/>
    <x v="481"/>
    <x v="407"/>
    <x v="92"/>
    <x v="0"/>
    <x v="1112"/>
    <x v="52"/>
  </r>
  <r>
    <x v="599"/>
    <x v="53"/>
    <x v="963"/>
    <x v="1146"/>
    <x v="1146"/>
    <x v="0"/>
    <x v="16"/>
    <x v="16"/>
    <x v="60"/>
    <x v="116"/>
    <x v="315"/>
    <x v="0"/>
    <x v="1169"/>
    <x v="81"/>
    <x v="339"/>
    <x v="0"/>
    <x v="233"/>
    <x v="113"/>
    <x v="0"/>
    <x v="468"/>
    <x v="23"/>
  </r>
  <r>
    <x v="497"/>
    <x v="238"/>
    <x v="964"/>
    <x v="1382"/>
    <x v="1382"/>
    <x v="0"/>
    <x v="17"/>
    <x v="17"/>
    <x v="64"/>
    <x v="11"/>
    <x v="209"/>
    <x v="1"/>
    <x v="405"/>
    <x v="223"/>
    <x v="974"/>
    <x v="0"/>
    <x v="429"/>
    <x v="143"/>
    <x v="0"/>
    <x v="1806"/>
    <x v="34"/>
  </r>
  <r>
    <x v="424"/>
    <x v="585"/>
    <x v="965"/>
    <x v="914"/>
    <x v="914"/>
    <x v="0"/>
    <x v="16"/>
    <x v="16"/>
    <x v="45"/>
    <x v="354"/>
    <x v="535"/>
    <x v="0"/>
    <x v="1381"/>
    <x v="318"/>
    <x v="905"/>
    <x v="0"/>
    <x v="388"/>
    <x v="566"/>
    <x v="1"/>
    <x v="921"/>
    <x v="23"/>
  </r>
  <r>
    <x v="248"/>
    <x v="164"/>
    <x v="966"/>
    <x v="822"/>
    <x v="822"/>
    <x v="0"/>
    <x v="11"/>
    <x v="11"/>
    <x v="44"/>
    <x v="518"/>
    <x v="267"/>
    <x v="0"/>
    <x v="912"/>
    <x v="603"/>
    <x v="441"/>
    <x v="0"/>
    <x v="629"/>
    <x v="686"/>
    <x v="1"/>
    <x v="678"/>
    <x v="30"/>
  </r>
  <r>
    <x v="438"/>
    <x v="728"/>
    <x v="967"/>
    <x v="1148"/>
    <x v="1148"/>
    <x v="0"/>
    <x v="10"/>
    <x v="10"/>
    <x v="60"/>
    <x v="252"/>
    <x v="342"/>
    <x v="0"/>
    <x v="1313"/>
    <x v="59"/>
    <x v="871"/>
    <x v="0"/>
    <x v="239"/>
    <x v="170"/>
    <x v="0"/>
    <x v="861"/>
    <x v="23"/>
  </r>
  <r>
    <x v="6"/>
    <x v="242"/>
    <x v="968"/>
    <x v="1490"/>
    <x v="1490"/>
    <x v="1"/>
    <x v="12"/>
    <x v="12"/>
    <x v="67"/>
    <x v="384"/>
    <x v="525"/>
    <x v="0"/>
    <x v="941"/>
    <x v="686"/>
    <x v="969"/>
    <x v="0"/>
    <x v="713"/>
    <x v="474"/>
    <x v="1"/>
    <x v="183"/>
    <x v="7"/>
  </r>
  <r>
    <x v="385"/>
    <x v="525"/>
    <x v="969"/>
    <x v="1127"/>
    <x v="1127"/>
    <x v="0"/>
    <x v="8"/>
    <x v="8"/>
    <x v="43"/>
    <x v="308"/>
    <x v="513"/>
    <x v="0"/>
    <x v="962"/>
    <x v="376"/>
    <x v="507"/>
    <x v="575"/>
    <x v="417"/>
    <x v="424"/>
    <x v="1"/>
    <x v="1038"/>
    <x v="23"/>
  </r>
  <r>
    <x v="455"/>
    <x v="678"/>
    <x v="970"/>
    <x v="209"/>
    <x v="209"/>
    <x v="0"/>
    <x v="13"/>
    <x v="13"/>
    <x v="65"/>
    <x v="488"/>
    <x v="279"/>
    <x v="0"/>
    <x v="1350"/>
    <x v="210"/>
    <x v="742"/>
    <x v="0"/>
    <x v="219"/>
    <x v="724"/>
    <x v="1"/>
    <x v="827"/>
    <x v="25"/>
  </r>
  <r>
    <x v="462"/>
    <x v="386"/>
    <x v="971"/>
    <x v="1099"/>
    <x v="1099"/>
    <x v="0"/>
    <x v="17"/>
    <x v="17"/>
    <x v="0"/>
    <x v="244"/>
    <x v="40"/>
    <x v="1"/>
    <x v="53"/>
    <x v="820"/>
    <x v="1191"/>
    <x v="0"/>
    <x v="575"/>
    <x v="356"/>
    <x v="1"/>
    <x v="540"/>
    <x v="23"/>
  </r>
  <r>
    <x v="538"/>
    <x v="404"/>
    <x v="972"/>
    <x v="655"/>
    <x v="655"/>
    <x v="1"/>
    <x v="19"/>
    <x v="19"/>
    <x v="66"/>
    <x v="433"/>
    <x v="189"/>
    <x v="1"/>
    <x v="273"/>
    <x v="533"/>
    <x v="991"/>
    <x v="0"/>
    <x v="457"/>
    <x v="604"/>
    <x v="1"/>
    <x v="1119"/>
    <x v="7"/>
  </r>
  <r>
    <x v="436"/>
    <x v="431"/>
    <x v="973"/>
    <x v="738"/>
    <x v="738"/>
    <x v="0"/>
    <x v="10"/>
    <x v="10"/>
    <x v="55"/>
    <x v="519"/>
    <x v="279"/>
    <x v="0"/>
    <x v="727"/>
    <x v="261"/>
    <x v="270"/>
    <x v="65"/>
    <x v="606"/>
    <x v="660"/>
    <x v="1"/>
    <x v="642"/>
    <x v="23"/>
  </r>
  <r>
    <x v="720"/>
    <x v="95"/>
    <x v="974"/>
    <x v="389"/>
    <x v="389"/>
    <x v="0"/>
    <x v="20"/>
    <x v="20"/>
    <x v="72"/>
    <x v="36"/>
    <x v="15"/>
    <x v="1"/>
    <x v="39"/>
    <x v="80"/>
    <x v="1203"/>
    <x v="0"/>
    <x v="372"/>
    <x v="34"/>
    <x v="0"/>
    <x v="802"/>
    <x v="25"/>
  </r>
  <r>
    <x v="49"/>
    <x v="497"/>
    <x v="975"/>
    <x v="1014"/>
    <x v="1014"/>
    <x v="0"/>
    <x v="3"/>
    <x v="3"/>
    <x v="28"/>
    <x v="356"/>
    <x v="390"/>
    <x v="0"/>
    <x v="1257"/>
    <x v="589"/>
    <x v="921"/>
    <x v="0"/>
    <x v="404"/>
    <x v="644"/>
    <x v="1"/>
    <x v="595"/>
    <x v="30"/>
  </r>
  <r>
    <x v="200"/>
    <x v="448"/>
    <x v="976"/>
    <x v="1469"/>
    <x v="1469"/>
    <x v="1"/>
    <x v="6"/>
    <x v="6"/>
    <x v="52"/>
    <x v="310"/>
    <x v="118"/>
    <x v="1"/>
    <x v="532"/>
    <x v="679"/>
    <x v="641"/>
    <x v="0"/>
    <x v="691"/>
    <x v="372"/>
    <x v="1"/>
    <x v="1433"/>
    <x v="11"/>
  </r>
  <r>
    <x v="437"/>
    <x v="189"/>
    <x v="977"/>
    <x v="456"/>
    <x v="456"/>
    <x v="0"/>
    <x v="16"/>
    <x v="16"/>
    <x v="36"/>
    <x v="280"/>
    <x v="491"/>
    <x v="0"/>
    <x v="1625"/>
    <x v="131"/>
    <x v="820"/>
    <x v="109"/>
    <x v="659"/>
    <x v="406"/>
    <x v="1"/>
    <x v="1046"/>
    <x v="13"/>
  </r>
  <r>
    <x v="175"/>
    <x v="387"/>
    <x v="978"/>
    <x v="1789"/>
    <x v="1789"/>
    <x v="1"/>
    <x v="8"/>
    <x v="8"/>
    <x v="43"/>
    <x v="489"/>
    <x v="282"/>
    <x v="0"/>
    <x v="519"/>
    <x v="284"/>
    <x v="1042"/>
    <x v="399"/>
    <x v="513"/>
    <x v="668"/>
    <x v="1"/>
    <x v="954"/>
    <x v="23"/>
  </r>
  <r>
    <x v="62"/>
    <x v="647"/>
    <x v="979"/>
    <x v="645"/>
    <x v="645"/>
    <x v="0"/>
    <x v="2"/>
    <x v="2"/>
    <x v="44"/>
    <x v="178"/>
    <x v="499"/>
    <x v="0"/>
    <x v="512"/>
    <x v="353"/>
    <x v="417"/>
    <x v="82"/>
    <x v="581"/>
    <x v="650"/>
    <x v="1"/>
    <x v="669"/>
    <x v="33"/>
  </r>
  <r>
    <x v="396"/>
    <x v="273"/>
    <x v="980"/>
    <x v="1058"/>
    <x v="1058"/>
    <x v="0"/>
    <x v="10"/>
    <x v="10"/>
    <x v="66"/>
    <x v="537"/>
    <x v="212"/>
    <x v="1"/>
    <x v="720"/>
    <x v="464"/>
    <x v="818"/>
    <x v="0"/>
    <x v="443"/>
    <x v="168"/>
    <x v="0"/>
    <x v="1206"/>
    <x v="11"/>
  </r>
  <r>
    <x v="688"/>
    <x v="288"/>
    <x v="981"/>
    <x v="1736"/>
    <x v="1736"/>
    <x v="1"/>
    <x v="18"/>
    <x v="18"/>
    <x v="60"/>
    <x v="357"/>
    <x v="26"/>
    <x v="1"/>
    <x v="201"/>
    <x v="419"/>
    <x v="1040"/>
    <x v="738"/>
    <x v="450"/>
    <x v="25"/>
    <x v="0"/>
    <x v="1498"/>
    <x v="11"/>
  </r>
  <r>
    <x v="290"/>
    <x v="160"/>
    <x v="982"/>
    <x v="1503"/>
    <x v="1503"/>
    <x v="1"/>
    <x v="16"/>
    <x v="16"/>
    <x v="58"/>
    <x v="473"/>
    <x v="136"/>
    <x v="1"/>
    <x v="610"/>
    <x v="229"/>
    <x v="409"/>
    <x v="18"/>
    <x v="491"/>
    <x v="450"/>
    <x v="1"/>
    <x v="476"/>
    <x v="15"/>
  </r>
  <r>
    <x v="756"/>
    <x v="383"/>
    <x v="983"/>
    <x v="1213"/>
    <x v="1213"/>
    <x v="1"/>
    <x v="20"/>
    <x v="20"/>
    <x v="70"/>
    <x v="150"/>
    <x v="172"/>
    <x v="1"/>
    <x v="290"/>
    <x v="662"/>
    <x v="1048"/>
    <x v="0"/>
    <x v="627"/>
    <x v="96"/>
    <x v="0"/>
    <x v="141"/>
    <x v="7"/>
  </r>
  <r>
    <x v="163"/>
    <x v="74"/>
    <x v="1705"/>
    <x v="894"/>
    <x v="894"/>
    <x v="0"/>
    <x v="4"/>
    <x v="4"/>
    <x v="35"/>
    <x v="485"/>
    <x v="282"/>
    <x v="0"/>
    <x v="969"/>
    <x v="391"/>
    <x v="798"/>
    <x v="103"/>
    <x v="120"/>
    <x v="717"/>
    <x v="1"/>
    <x v="482"/>
    <x v="15"/>
  </r>
  <r>
    <x v="691"/>
    <x v="151"/>
    <x v="1378"/>
    <x v="1003"/>
    <x v="1003"/>
    <x v="0"/>
    <x v="18"/>
    <x v="18"/>
    <x v="0"/>
    <x v="149"/>
    <x v="293"/>
    <x v="0"/>
    <x v="656"/>
    <x v="635"/>
    <x v="234"/>
    <x v="0"/>
    <x v="442"/>
    <x v="90"/>
    <x v="0"/>
    <x v="580"/>
    <x v="25"/>
  </r>
  <r>
    <x v="599"/>
    <x v="53"/>
    <x v="1418"/>
    <x v="950"/>
    <x v="950"/>
    <x v="1"/>
    <x v="18"/>
    <x v="18"/>
    <x v="0"/>
    <x v="283"/>
    <x v="339"/>
    <x v="0"/>
    <x v="638"/>
    <x v="706"/>
    <x v="574"/>
    <x v="0"/>
    <x v="586"/>
    <x v="439"/>
    <x v="1"/>
    <x v="1634"/>
    <x v="23"/>
  </r>
  <r>
    <x v="702"/>
    <x v="780"/>
    <x v="987"/>
    <x v="1006"/>
    <x v="1006"/>
    <x v="1"/>
    <x v="18"/>
    <x v="18"/>
    <x v="0"/>
    <x v="323"/>
    <x v="153"/>
    <x v="1"/>
    <x v="162"/>
    <x v="579"/>
    <x v="367"/>
    <x v="0"/>
    <x v="427"/>
    <x v="117"/>
    <x v="0"/>
    <x v="365"/>
    <x v="15"/>
  </r>
  <r>
    <x v="167"/>
    <x v="462"/>
    <x v="988"/>
    <x v="1648"/>
    <x v="1648"/>
    <x v="0"/>
    <x v="4"/>
    <x v="4"/>
    <x v="2"/>
    <x v="303"/>
    <x v="406"/>
    <x v="0"/>
    <x v="1339"/>
    <x v="698"/>
    <x v="962"/>
    <x v="0"/>
    <x v="484"/>
    <x v="551"/>
    <x v="1"/>
    <x v="352"/>
    <x v="15"/>
  </r>
  <r>
    <x v="538"/>
    <x v="404"/>
    <x v="989"/>
    <x v="1779"/>
    <x v="1779"/>
    <x v="1"/>
    <x v="14"/>
    <x v="14"/>
    <x v="53"/>
    <x v="127"/>
    <x v="330"/>
    <x v="0"/>
    <x v="370"/>
    <x v="725"/>
    <x v="640"/>
    <x v="112"/>
    <x v="695"/>
    <x v="95"/>
    <x v="0"/>
    <x v="255"/>
    <x v="7"/>
  </r>
  <r>
    <x v="342"/>
    <x v="557"/>
    <x v="990"/>
    <x v="1409"/>
    <x v="1409"/>
    <x v="0"/>
    <x v="10"/>
    <x v="10"/>
    <x v="50"/>
    <x v="366"/>
    <x v="246"/>
    <x v="1"/>
    <x v="815"/>
    <x v="90"/>
    <x v="1167"/>
    <x v="0"/>
    <x v="414"/>
    <x v="524"/>
    <x v="1"/>
    <x v="1258"/>
    <x v="30"/>
  </r>
  <r>
    <x v="801"/>
    <x v="482"/>
    <x v="991"/>
    <x v="69"/>
    <x v="69"/>
    <x v="0"/>
    <x v="21"/>
    <x v="21"/>
    <x v="0"/>
    <x v="266"/>
    <x v="403"/>
    <x v="0"/>
    <x v="1572"/>
    <x v="620"/>
    <x v="1170"/>
    <x v="0"/>
    <x v="414"/>
    <x v="454"/>
    <x v="1"/>
    <x v="1819"/>
    <x v="25"/>
  </r>
  <r>
    <x v="279"/>
    <x v="297"/>
    <x v="992"/>
    <x v="225"/>
    <x v="225"/>
    <x v="0"/>
    <x v="3"/>
    <x v="3"/>
    <x v="51"/>
    <x v="32"/>
    <x v="1"/>
    <x v="1"/>
    <x v="1"/>
    <x v="118"/>
    <x v="1207"/>
    <x v="451"/>
    <x v="407"/>
    <x v="168"/>
    <x v="0"/>
    <x v="1749"/>
    <x v="23"/>
  </r>
  <r>
    <x v="1"/>
    <x v="104"/>
    <x v="73"/>
    <x v="62"/>
    <x v="62"/>
    <x v="0"/>
    <x v="1"/>
    <x v="1"/>
    <x v="65"/>
    <x v="85"/>
    <x v="497"/>
    <x v="0"/>
    <x v="988"/>
    <x v="227"/>
    <x v="353"/>
    <x v="0"/>
    <x v="739"/>
    <x v="517"/>
    <x v="1"/>
    <x v="1564"/>
    <x v="47"/>
  </r>
  <r>
    <x v="204"/>
    <x v="456"/>
    <x v="994"/>
    <x v="1783"/>
    <x v="1783"/>
    <x v="1"/>
    <x v="21"/>
    <x v="21"/>
    <x v="33"/>
    <x v="479"/>
    <x v="116"/>
    <x v="1"/>
    <x v="190"/>
    <x v="726"/>
    <x v="858"/>
    <x v="295"/>
    <x v="563"/>
    <x v="344"/>
    <x v="1"/>
    <x v="290"/>
    <x v="15"/>
  </r>
  <r>
    <x v="730"/>
    <x v="614"/>
    <x v="995"/>
    <x v="148"/>
    <x v="148"/>
    <x v="1"/>
    <x v="19"/>
    <x v="19"/>
    <x v="63"/>
    <x v="424"/>
    <x v="186"/>
    <x v="1"/>
    <x v="277"/>
    <x v="736"/>
    <x v="363"/>
    <x v="0"/>
    <x v="636"/>
    <x v="289"/>
    <x v="0"/>
    <x v="1666"/>
    <x v="7"/>
  </r>
  <r>
    <x v="165"/>
    <x v="261"/>
    <x v="996"/>
    <x v="1325"/>
    <x v="1325"/>
    <x v="1"/>
    <x v="8"/>
    <x v="8"/>
    <x v="45"/>
    <x v="379"/>
    <x v="298"/>
    <x v="0"/>
    <x v="928"/>
    <x v="660"/>
    <x v="356"/>
    <x v="0"/>
    <x v="286"/>
    <x v="594"/>
    <x v="1"/>
    <x v="1565"/>
    <x v="11"/>
  </r>
  <r>
    <x v="209"/>
    <x v="648"/>
    <x v="997"/>
    <x v="633"/>
    <x v="633"/>
    <x v="0"/>
    <x v="5"/>
    <x v="5"/>
    <x v="43"/>
    <x v="509"/>
    <x v="487"/>
    <x v="0"/>
    <x v="987"/>
    <x v="581"/>
    <x v="361"/>
    <x v="753"/>
    <x v="29"/>
    <x v="481"/>
    <x v="1"/>
    <x v="1041"/>
    <x v="2"/>
  </r>
  <r>
    <x v="228"/>
    <x v="255"/>
    <x v="998"/>
    <x v="1393"/>
    <x v="1393"/>
    <x v="1"/>
    <x v="9"/>
    <x v="9"/>
    <x v="48"/>
    <x v="242"/>
    <x v="202"/>
    <x v="1"/>
    <x v="347"/>
    <x v="561"/>
    <x v="1035"/>
    <x v="0"/>
    <x v="501"/>
    <x v="401"/>
    <x v="1"/>
    <x v="177"/>
    <x v="15"/>
  </r>
  <r>
    <x v="235"/>
    <x v="503"/>
    <x v="999"/>
    <x v="604"/>
    <x v="604"/>
    <x v="1"/>
    <x v="9"/>
    <x v="9"/>
    <x v="48"/>
    <x v="436"/>
    <x v="451"/>
    <x v="0"/>
    <x v="1630"/>
    <x v="103"/>
    <x v="247"/>
    <x v="450"/>
    <x v="113"/>
    <x v="693"/>
    <x v="1"/>
    <x v="774"/>
    <x v="23"/>
  </r>
  <r>
    <x v="679"/>
    <x v="379"/>
    <x v="1000"/>
    <x v="146"/>
    <x v="146"/>
    <x v="0"/>
    <x v="19"/>
    <x v="19"/>
    <x v="37"/>
    <x v="374"/>
    <x v="392"/>
    <x v="0"/>
    <x v="1209"/>
    <x v="160"/>
    <x v="811"/>
    <x v="0"/>
    <x v="81"/>
    <x v="386"/>
    <x v="1"/>
    <x v="612"/>
    <x v="25"/>
  </r>
  <r>
    <x v="450"/>
    <x v="611"/>
    <x v="1001"/>
    <x v="324"/>
    <x v="324"/>
    <x v="0"/>
    <x v="11"/>
    <x v="11"/>
    <x v="40"/>
    <x v="101"/>
    <x v="473"/>
    <x v="0"/>
    <x v="1063"/>
    <x v="653"/>
    <x v="909"/>
    <x v="0"/>
    <x v="615"/>
    <x v="426"/>
    <x v="1"/>
    <x v="880"/>
    <x v="25"/>
  </r>
  <r>
    <x v="282"/>
    <x v="636"/>
    <x v="1002"/>
    <x v="1517"/>
    <x v="1517"/>
    <x v="1"/>
    <x v="12"/>
    <x v="12"/>
    <x v="54"/>
    <x v="114"/>
    <x v="504"/>
    <x v="0"/>
    <x v="1296"/>
    <x v="641"/>
    <x v="589"/>
    <x v="0"/>
    <x v="73"/>
    <x v="396"/>
    <x v="1"/>
    <x v="1620"/>
    <x v="15"/>
  </r>
  <r>
    <x v="553"/>
    <x v="668"/>
    <x v="1003"/>
    <x v="730"/>
    <x v="730"/>
    <x v="1"/>
    <x v="16"/>
    <x v="16"/>
    <x v="0"/>
    <x v="378"/>
    <x v="461"/>
    <x v="0"/>
    <x v="856"/>
    <x v="170"/>
    <x v="255"/>
    <x v="0"/>
    <x v="485"/>
    <x v="244"/>
    <x v="0"/>
    <x v="740"/>
    <x v="11"/>
  </r>
  <r>
    <x v="70"/>
    <x v="808"/>
    <x v="1005"/>
    <x v="371"/>
    <x v="371"/>
    <x v="0"/>
    <x v="5"/>
    <x v="5"/>
    <x v="43"/>
    <x v="97"/>
    <x v="238"/>
    <x v="1"/>
    <x v="918"/>
    <x v="26"/>
    <x v="981"/>
    <x v="356"/>
    <x v="414"/>
    <x v="230"/>
    <x v="0"/>
    <x v="650"/>
    <x v="23"/>
  </r>
  <r>
    <x v="82"/>
    <x v="559"/>
    <x v="1006"/>
    <x v="1455"/>
    <x v="1455"/>
    <x v="0"/>
    <x v="8"/>
    <x v="8"/>
    <x v="65"/>
    <x v="429"/>
    <x v="377"/>
    <x v="0"/>
    <x v="1028"/>
    <x v="141"/>
    <x v="477"/>
    <x v="450"/>
    <x v="425"/>
    <x v="612"/>
    <x v="1"/>
    <x v="1334"/>
    <x v="14"/>
  </r>
  <r>
    <x v="298"/>
    <x v="111"/>
    <x v="1432"/>
    <x v="1452"/>
    <x v="1452"/>
    <x v="0"/>
    <x v="7"/>
    <x v="7"/>
    <x v="51"/>
    <x v="203"/>
    <x v="333"/>
    <x v="0"/>
    <x v="997"/>
    <x v="568"/>
    <x v="917"/>
    <x v="129"/>
    <x v="674"/>
    <x v="460"/>
    <x v="1"/>
    <x v="1798"/>
    <x v="15"/>
  </r>
  <r>
    <x v="235"/>
    <x v="503"/>
    <x v="1007"/>
    <x v="230"/>
    <x v="230"/>
    <x v="0"/>
    <x v="16"/>
    <x v="16"/>
    <x v="0"/>
    <x v="372"/>
    <x v="324"/>
    <x v="0"/>
    <x v="758"/>
    <x v="43"/>
    <x v="418"/>
    <x v="0"/>
    <x v="170"/>
    <x v="705"/>
    <x v="1"/>
    <x v="910"/>
    <x v="23"/>
  </r>
  <r>
    <x v="59"/>
    <x v="663"/>
    <x v="1008"/>
    <x v="1477"/>
    <x v="1477"/>
    <x v="0"/>
    <x v="1"/>
    <x v="1"/>
    <x v="52"/>
    <x v="411"/>
    <x v="204"/>
    <x v="1"/>
    <x v="622"/>
    <x v="591"/>
    <x v="573"/>
    <x v="556"/>
    <x v="22"/>
    <x v="513"/>
    <x v="1"/>
    <x v="429"/>
    <x v="40"/>
  </r>
  <r>
    <x v="468"/>
    <x v="123"/>
    <x v="1009"/>
    <x v="1032"/>
    <x v="1032"/>
    <x v="0"/>
    <x v="12"/>
    <x v="12"/>
    <x v="61"/>
    <x v="256"/>
    <x v="420"/>
    <x v="0"/>
    <x v="1011"/>
    <x v="112"/>
    <x v="1037"/>
    <x v="0"/>
    <x v="408"/>
    <x v="297"/>
    <x v="0"/>
    <x v="1513"/>
    <x v="23"/>
  </r>
  <r>
    <x v="688"/>
    <x v="288"/>
    <x v="1010"/>
    <x v="473"/>
    <x v="473"/>
    <x v="1"/>
    <x v="19"/>
    <x v="19"/>
    <x v="65"/>
    <x v="465"/>
    <x v="71"/>
    <x v="1"/>
    <x v="103"/>
    <x v="819"/>
    <x v="352"/>
    <x v="669"/>
    <x v="469"/>
    <x v="148"/>
    <x v="0"/>
    <x v="1586"/>
    <x v="11"/>
  </r>
  <r>
    <x v="324"/>
    <x v="142"/>
    <x v="1011"/>
    <x v="258"/>
    <x v="258"/>
    <x v="0"/>
    <x v="8"/>
    <x v="8"/>
    <x v="59"/>
    <x v="436"/>
    <x v="86"/>
    <x v="1"/>
    <x v="1033"/>
    <x v="42"/>
    <x v="1050"/>
    <x v="0"/>
    <x v="158"/>
    <x v="567"/>
    <x v="1"/>
    <x v="506"/>
    <x v="30"/>
  </r>
  <r>
    <x v="591"/>
    <x v="85"/>
    <x v="581"/>
    <x v="517"/>
    <x v="517"/>
    <x v="0"/>
    <x v="18"/>
    <x v="18"/>
    <x v="51"/>
    <x v="365"/>
    <x v="358"/>
    <x v="0"/>
    <x v="1001"/>
    <x v="369"/>
    <x v="885"/>
    <x v="0"/>
    <x v="601"/>
    <x v="689"/>
    <x v="1"/>
    <x v="924"/>
    <x v="33"/>
  </r>
  <r>
    <x v="619"/>
    <x v="638"/>
    <x v="1013"/>
    <x v="286"/>
    <x v="286"/>
    <x v="0"/>
    <x v="16"/>
    <x v="16"/>
    <x v="63"/>
    <x v="181"/>
    <x v="383"/>
    <x v="0"/>
    <x v="1207"/>
    <x v="92"/>
    <x v="250"/>
    <x v="0"/>
    <x v="436"/>
    <x v="390"/>
    <x v="1"/>
    <x v="1748"/>
    <x v="23"/>
  </r>
  <r>
    <x v="723"/>
    <x v="285"/>
    <x v="1713"/>
    <x v="1102"/>
    <x v="1102"/>
    <x v="1"/>
    <x v="19"/>
    <x v="19"/>
    <x v="68"/>
    <x v="361"/>
    <x v="369"/>
    <x v="0"/>
    <x v="935"/>
    <x v="588"/>
    <x v="498"/>
    <x v="641"/>
    <x v="408"/>
    <x v="562"/>
    <x v="1"/>
    <x v="438"/>
    <x v="11"/>
  </r>
  <r>
    <x v="371"/>
    <x v="130"/>
    <x v="494"/>
    <x v="896"/>
    <x v="896"/>
    <x v="1"/>
    <x v="19"/>
    <x v="19"/>
    <x v="65"/>
    <x v="518"/>
    <x v="346"/>
    <x v="0"/>
    <x v="1540"/>
    <x v="302"/>
    <x v="694"/>
    <x v="0"/>
    <x v="366"/>
    <x v="684"/>
    <x v="1"/>
    <x v="554"/>
    <x v="13"/>
  </r>
  <r>
    <x v="468"/>
    <x v="123"/>
    <x v="504"/>
    <x v="755"/>
    <x v="755"/>
    <x v="0"/>
    <x v="19"/>
    <x v="19"/>
    <x v="60"/>
    <x v="339"/>
    <x v="459"/>
    <x v="0"/>
    <x v="1005"/>
    <x v="562"/>
    <x v="423"/>
    <x v="0"/>
    <x v="0"/>
    <x v="728"/>
    <x v="1"/>
    <x v="646"/>
    <x v="23"/>
  </r>
  <r>
    <x v="230"/>
    <x v="719"/>
    <x v="1017"/>
    <x v="408"/>
    <x v="408"/>
    <x v="0"/>
    <x v="5"/>
    <x v="5"/>
    <x v="47"/>
    <x v="57"/>
    <x v="503"/>
    <x v="0"/>
    <x v="1109"/>
    <x v="198"/>
    <x v="272"/>
    <x v="30"/>
    <x v="645"/>
    <x v="395"/>
    <x v="1"/>
    <x v="1595"/>
    <x v="47"/>
  </r>
  <r>
    <x v="193"/>
    <x v="98"/>
    <x v="1018"/>
    <x v="1631"/>
    <x v="1631"/>
    <x v="0"/>
    <x v="11"/>
    <x v="11"/>
    <x v="58"/>
    <x v="431"/>
    <x v="231"/>
    <x v="1"/>
    <x v="358"/>
    <x v="426"/>
    <x v="244"/>
    <x v="253"/>
    <x v="612"/>
    <x v="252"/>
    <x v="0"/>
    <x v="1275"/>
    <x v="11"/>
  </r>
  <r>
    <x v="437"/>
    <x v="189"/>
    <x v="1019"/>
    <x v="600"/>
    <x v="600"/>
    <x v="0"/>
    <x v="12"/>
    <x v="12"/>
    <x v="62"/>
    <x v="182"/>
    <x v="516"/>
    <x v="0"/>
    <x v="1328"/>
    <x v="713"/>
    <x v="124"/>
    <x v="120"/>
    <x v="547"/>
    <x v="229"/>
    <x v="0"/>
    <x v="1269"/>
    <x v="13"/>
  </r>
  <r>
    <x v="428"/>
    <x v="226"/>
    <x v="1020"/>
    <x v="813"/>
    <x v="813"/>
    <x v="0"/>
    <x v="10"/>
    <x v="10"/>
    <x v="55"/>
    <x v="426"/>
    <x v="459"/>
    <x v="0"/>
    <x v="1374"/>
    <x v="79"/>
    <x v="993"/>
    <x v="449"/>
    <x v="437"/>
    <x v="753"/>
    <x v="1"/>
    <x v="1255"/>
    <x v="30"/>
  </r>
  <r>
    <x v="268"/>
    <x v="394"/>
    <x v="1020"/>
    <x v="1763"/>
    <x v="1763"/>
    <x v="1"/>
    <x v="14"/>
    <x v="14"/>
    <x v="59"/>
    <x v="198"/>
    <x v="114"/>
    <x v="1"/>
    <x v="71"/>
    <x v="809"/>
    <x v="715"/>
    <x v="313"/>
    <x v="477"/>
    <x v="273"/>
    <x v="0"/>
    <x v="1445"/>
    <x v="7"/>
  </r>
  <r>
    <x v="770"/>
    <x v="562"/>
    <x v="896"/>
    <x v="627"/>
    <x v="627"/>
    <x v="0"/>
    <x v="19"/>
    <x v="19"/>
    <x v="65"/>
    <x v="297"/>
    <x v="315"/>
    <x v="0"/>
    <x v="704"/>
    <x v="586"/>
    <x v="1023"/>
    <x v="0"/>
    <x v="483"/>
    <x v="309"/>
    <x v="0"/>
    <x v="1554"/>
    <x v="11"/>
  </r>
  <r>
    <x v="131"/>
    <x v="344"/>
    <x v="1021"/>
    <x v="1600"/>
    <x v="1600"/>
    <x v="1"/>
    <x v="4"/>
    <x v="4"/>
    <x v="47"/>
    <x v="404"/>
    <x v="248"/>
    <x v="1"/>
    <x v="404"/>
    <x v="661"/>
    <x v="655"/>
    <x v="0"/>
    <x v="678"/>
    <x v="280"/>
    <x v="0"/>
    <x v="239"/>
    <x v="15"/>
  </r>
  <r>
    <x v="726"/>
    <x v="340"/>
    <x v="1022"/>
    <x v="217"/>
    <x v="217"/>
    <x v="0"/>
    <x v="19"/>
    <x v="19"/>
    <x v="39"/>
    <x v="183"/>
    <x v="302"/>
    <x v="0"/>
    <x v="1012"/>
    <x v="529"/>
    <x v="417"/>
    <x v="223"/>
    <x v="438"/>
    <x v="171"/>
    <x v="0"/>
    <x v="618"/>
    <x v="21"/>
  </r>
  <r>
    <x v="808"/>
    <x v="79"/>
    <x v="1023"/>
    <x v="588"/>
    <x v="588"/>
    <x v="0"/>
    <x v="20"/>
    <x v="20"/>
    <x v="63"/>
    <x v="450"/>
    <x v="151"/>
    <x v="1"/>
    <x v="487"/>
    <x v="343"/>
    <x v="385"/>
    <x v="468"/>
    <x v="399"/>
    <x v="55"/>
    <x v="0"/>
    <x v="421"/>
    <x v="21"/>
  </r>
  <r>
    <x v="479"/>
    <x v="718"/>
    <x v="1024"/>
    <x v="514"/>
    <x v="514"/>
    <x v="1"/>
    <x v="12"/>
    <x v="12"/>
    <x v="40"/>
    <x v="371"/>
    <x v="529"/>
    <x v="0"/>
    <x v="636"/>
    <x v="382"/>
    <x v="161"/>
    <x v="210"/>
    <x v="675"/>
    <x v="491"/>
    <x v="1"/>
    <x v="1073"/>
    <x v="25"/>
  </r>
  <r>
    <x v="734"/>
    <x v="625"/>
    <x v="695"/>
    <x v="390"/>
    <x v="390"/>
    <x v="0"/>
    <x v="19"/>
    <x v="19"/>
    <x v="62"/>
    <x v="237"/>
    <x v="308"/>
    <x v="0"/>
    <x v="1266"/>
    <x v="749"/>
    <x v="1073"/>
    <x v="0"/>
    <x v="469"/>
    <x v="393"/>
    <x v="1"/>
    <x v="29"/>
    <x v="37"/>
  </r>
  <r>
    <x v="596"/>
    <x v="342"/>
    <x v="1026"/>
    <x v="661"/>
    <x v="661"/>
    <x v="1"/>
    <x v="21"/>
    <x v="21"/>
    <x v="66"/>
    <x v="469"/>
    <x v="35"/>
    <x v="1"/>
    <x v="18"/>
    <x v="729"/>
    <x v="887"/>
    <x v="0"/>
    <x v="566"/>
    <x v="308"/>
    <x v="0"/>
    <x v="1022"/>
    <x v="7"/>
  </r>
  <r>
    <x v="743"/>
    <x v="759"/>
    <x v="1027"/>
    <x v="96"/>
    <x v="96"/>
    <x v="0"/>
    <x v="19"/>
    <x v="19"/>
    <x v="47"/>
    <x v="223"/>
    <x v="350"/>
    <x v="0"/>
    <x v="1188"/>
    <x v="309"/>
    <x v="204"/>
    <x v="0"/>
    <x v="263"/>
    <x v="250"/>
    <x v="0"/>
    <x v="1299"/>
    <x v="23"/>
  </r>
  <r>
    <x v="515"/>
    <x v="481"/>
    <x v="1028"/>
    <x v="1277"/>
    <x v="1277"/>
    <x v="0"/>
    <x v="13"/>
    <x v="13"/>
    <x v="62"/>
    <x v="146"/>
    <x v="330"/>
    <x v="0"/>
    <x v="799"/>
    <x v="137"/>
    <x v="420"/>
    <x v="19"/>
    <x v="161"/>
    <x v="140"/>
    <x v="0"/>
    <x v="639"/>
    <x v="50"/>
  </r>
  <r>
    <x v="249"/>
    <x v="401"/>
    <x v="1029"/>
    <x v="154"/>
    <x v="154"/>
    <x v="0"/>
    <x v="5"/>
    <x v="5"/>
    <x v="54"/>
    <x v="508"/>
    <x v="374"/>
    <x v="0"/>
    <x v="576"/>
    <x v="181"/>
    <x v="348"/>
    <x v="678"/>
    <x v="508"/>
    <x v="586"/>
    <x v="1"/>
    <x v="757"/>
    <x v="31"/>
  </r>
  <r>
    <x v="547"/>
    <x v="588"/>
    <x v="1030"/>
    <x v="270"/>
    <x v="270"/>
    <x v="0"/>
    <x v="14"/>
    <x v="14"/>
    <x v="0"/>
    <x v="217"/>
    <x v="494"/>
    <x v="0"/>
    <x v="504"/>
    <x v="153"/>
    <x v="155"/>
    <x v="671"/>
    <x v="162"/>
    <x v="5"/>
    <x v="0"/>
    <x v="1091"/>
    <x v="25"/>
  </r>
  <r>
    <x v="249"/>
    <x v="401"/>
    <x v="1031"/>
    <x v="929"/>
    <x v="929"/>
    <x v="0"/>
    <x v="5"/>
    <x v="5"/>
    <x v="43"/>
    <x v="315"/>
    <x v="447"/>
    <x v="0"/>
    <x v="409"/>
    <x v="573"/>
    <x v="448"/>
    <x v="0"/>
    <x v="32"/>
    <x v="578"/>
    <x v="1"/>
    <x v="1762"/>
    <x v="31"/>
  </r>
  <r>
    <x v="0"/>
    <x v="122"/>
    <x v="212"/>
    <x v="1271"/>
    <x v="1271"/>
    <x v="0"/>
    <x v="1"/>
    <x v="1"/>
    <x v="44"/>
    <x v="268"/>
    <x v="522"/>
    <x v="0"/>
    <x v="1017"/>
    <x v="195"/>
    <x v="858"/>
    <x v="463"/>
    <x v="198"/>
    <x v="519"/>
    <x v="1"/>
    <x v="151"/>
    <x v="23"/>
  </r>
  <r>
    <x v="175"/>
    <x v="387"/>
    <x v="1033"/>
    <x v="1792"/>
    <x v="1792"/>
    <x v="0"/>
    <x v="15"/>
    <x v="15"/>
    <x v="64"/>
    <x v="209"/>
    <x v="126"/>
    <x v="1"/>
    <x v="402"/>
    <x v="241"/>
    <x v="964"/>
    <x v="0"/>
    <x v="369"/>
    <x v="353"/>
    <x v="1"/>
    <x v="43"/>
    <x v="23"/>
  </r>
  <r>
    <x v="235"/>
    <x v="503"/>
    <x v="1034"/>
    <x v="735"/>
    <x v="735"/>
    <x v="0"/>
    <x v="12"/>
    <x v="12"/>
    <x v="53"/>
    <x v="338"/>
    <x v="410"/>
    <x v="0"/>
    <x v="1007"/>
    <x v="166"/>
    <x v="41"/>
    <x v="0"/>
    <x v="516"/>
    <x v="556"/>
    <x v="1"/>
    <x v="587"/>
    <x v="23"/>
  </r>
  <r>
    <x v="380"/>
    <x v="598"/>
    <x v="1035"/>
    <x v="614"/>
    <x v="614"/>
    <x v="0"/>
    <x v="9"/>
    <x v="9"/>
    <x v="58"/>
    <x v="156"/>
    <x v="506"/>
    <x v="0"/>
    <x v="1409"/>
    <x v="426"/>
    <x v="174"/>
    <x v="201"/>
    <x v="417"/>
    <x v="561"/>
    <x v="1"/>
    <x v="1739"/>
    <x v="33"/>
  </r>
  <r>
    <x v="229"/>
    <x v="402"/>
    <x v="1036"/>
    <x v="696"/>
    <x v="696"/>
    <x v="0"/>
    <x v="5"/>
    <x v="5"/>
    <x v="33"/>
    <x v="291"/>
    <x v="218"/>
    <x v="1"/>
    <x v="483"/>
    <x v="602"/>
    <x v="745"/>
    <x v="458"/>
    <x v="194"/>
    <x v="429"/>
    <x v="1"/>
    <x v="1758"/>
    <x v="30"/>
  </r>
  <r>
    <x v="342"/>
    <x v="557"/>
    <x v="1036"/>
    <x v="1071"/>
    <x v="1071"/>
    <x v="0"/>
    <x v="10"/>
    <x v="10"/>
    <x v="57"/>
    <x v="303"/>
    <x v="274"/>
    <x v="0"/>
    <x v="694"/>
    <x v="610"/>
    <x v="1108"/>
    <x v="0"/>
    <x v="496"/>
    <x v="557"/>
    <x v="1"/>
    <x v="1726"/>
    <x v="30"/>
  </r>
  <r>
    <x v="15"/>
    <x v="17"/>
    <x v="1037"/>
    <x v="1298"/>
    <x v="1298"/>
    <x v="0"/>
    <x v="4"/>
    <x v="4"/>
    <x v="22"/>
    <x v="237"/>
    <x v="28"/>
    <x v="1"/>
    <x v="51"/>
    <x v="119"/>
    <x v="1158"/>
    <x v="0"/>
    <x v="532"/>
    <x v="352"/>
    <x v="1"/>
    <x v="704"/>
    <x v="15"/>
  </r>
  <r>
    <x v="787"/>
    <x v="141"/>
    <x v="1038"/>
    <x v="189"/>
    <x v="189"/>
    <x v="0"/>
    <x v="20"/>
    <x v="20"/>
    <x v="42"/>
    <x v="382"/>
    <x v="243"/>
    <x v="1"/>
    <x v="1134"/>
    <x v="534"/>
    <x v="977"/>
    <x v="514"/>
    <x v="410"/>
    <x v="298"/>
    <x v="0"/>
    <x v="523"/>
    <x v="33"/>
  </r>
  <r>
    <x v="113"/>
    <x v="140"/>
    <x v="1039"/>
    <x v="1633"/>
    <x v="1633"/>
    <x v="0"/>
    <x v="3"/>
    <x v="3"/>
    <x v="41"/>
    <x v="247"/>
    <x v="183"/>
    <x v="1"/>
    <x v="471"/>
    <x v="287"/>
    <x v="1007"/>
    <x v="0"/>
    <x v="104"/>
    <x v="546"/>
    <x v="1"/>
    <x v="173"/>
    <x v="15"/>
  </r>
  <r>
    <x v="757"/>
    <x v="684"/>
    <x v="1040"/>
    <x v="164"/>
    <x v="164"/>
    <x v="1"/>
    <x v="20"/>
    <x v="20"/>
    <x v="63"/>
    <x v="364"/>
    <x v="227"/>
    <x v="1"/>
    <x v="847"/>
    <x v="63"/>
    <x v="931"/>
    <x v="639"/>
    <x v="544"/>
    <x v="129"/>
    <x v="0"/>
    <x v="1539"/>
    <x v="7"/>
  </r>
  <r>
    <x v="6"/>
    <x v="242"/>
    <x v="1041"/>
    <x v="1362"/>
    <x v="1362"/>
    <x v="1"/>
    <x v="6"/>
    <x v="6"/>
    <x v="63"/>
    <x v="272"/>
    <x v="279"/>
    <x v="0"/>
    <x v="1367"/>
    <x v="721"/>
    <x v="945"/>
    <x v="0"/>
    <x v="460"/>
    <x v="123"/>
    <x v="0"/>
    <x v="148"/>
    <x v="7"/>
  </r>
  <r>
    <x v="744"/>
    <x v="135"/>
    <x v="1042"/>
    <x v="162"/>
    <x v="162"/>
    <x v="1"/>
    <x v="20"/>
    <x v="20"/>
    <x v="59"/>
    <x v="554"/>
    <x v="194"/>
    <x v="1"/>
    <x v="445"/>
    <x v="739"/>
    <x v="259"/>
    <x v="0"/>
    <x v="414"/>
    <x v="97"/>
    <x v="0"/>
    <x v="1277"/>
    <x v="11"/>
  </r>
  <r>
    <x v="454"/>
    <x v="223"/>
    <x v="1043"/>
    <x v="484"/>
    <x v="484"/>
    <x v="1"/>
    <x v="21"/>
    <x v="21"/>
    <x v="62"/>
    <x v="463"/>
    <x v="119"/>
    <x v="1"/>
    <x v="1288"/>
    <x v="201"/>
    <x v="843"/>
    <x v="0"/>
    <x v="426"/>
    <x v="24"/>
    <x v="0"/>
    <x v="542"/>
    <x v="15"/>
  </r>
  <r>
    <x v="136"/>
    <x v="472"/>
    <x v="1044"/>
    <x v="1042"/>
    <x v="1042"/>
    <x v="1"/>
    <x v="8"/>
    <x v="8"/>
    <x v="48"/>
    <x v="186"/>
    <x v="201"/>
    <x v="1"/>
    <x v="377"/>
    <x v="724"/>
    <x v="888"/>
    <x v="0"/>
    <x v="592"/>
    <x v="447"/>
    <x v="1"/>
    <x v="60"/>
    <x v="11"/>
  </r>
  <r>
    <x v="602"/>
    <x v="658"/>
    <x v="1045"/>
    <x v="267"/>
    <x v="267"/>
    <x v="0"/>
    <x v="16"/>
    <x v="16"/>
    <x v="48"/>
    <x v="323"/>
    <x v="441"/>
    <x v="0"/>
    <x v="863"/>
    <x v="642"/>
    <x v="940"/>
    <x v="437"/>
    <x v="528"/>
    <x v="571"/>
    <x v="1"/>
    <x v="1345"/>
    <x v="23"/>
  </r>
  <r>
    <x v="440"/>
    <x v="696"/>
    <x v="1046"/>
    <x v="124"/>
    <x v="124"/>
    <x v="0"/>
    <x v="11"/>
    <x v="11"/>
    <x v="61"/>
    <x v="275"/>
    <x v="556"/>
    <x v="0"/>
    <x v="1636"/>
    <x v="431"/>
    <x v="586"/>
    <x v="0"/>
    <x v="249"/>
    <x v="525"/>
    <x v="1"/>
    <x v="1365"/>
    <x v="49"/>
  </r>
  <r>
    <x v="739"/>
    <x v="818"/>
    <x v="1047"/>
    <x v="11"/>
    <x v="11"/>
    <x v="1"/>
    <x v="20"/>
    <x v="20"/>
    <x v="68"/>
    <x v="540"/>
    <x v="149"/>
    <x v="1"/>
    <x v="692"/>
    <x v="472"/>
    <x v="1139"/>
    <x v="588"/>
    <x v="406"/>
    <x v="542"/>
    <x v="1"/>
    <x v="1207"/>
    <x v="7"/>
  </r>
  <r>
    <x v="119"/>
    <x v="801"/>
    <x v="1048"/>
    <x v="815"/>
    <x v="815"/>
    <x v="0"/>
    <x v="12"/>
    <x v="12"/>
    <x v="53"/>
    <x v="186"/>
    <x v="493"/>
    <x v="0"/>
    <x v="1615"/>
    <x v="279"/>
    <x v="131"/>
    <x v="0"/>
    <x v="634"/>
    <x v="619"/>
    <x v="1"/>
    <x v="1078"/>
    <x v="15"/>
  </r>
  <r>
    <x v="15"/>
    <x v="17"/>
    <x v="1049"/>
    <x v="1038"/>
    <x v="1038"/>
    <x v="0"/>
    <x v="4"/>
    <x v="4"/>
    <x v="28"/>
    <x v="281"/>
    <x v="240"/>
    <x v="1"/>
    <x v="661"/>
    <x v="462"/>
    <x v="650"/>
    <x v="533"/>
    <x v="486"/>
    <x v="568"/>
    <x v="1"/>
    <x v="184"/>
    <x v="15"/>
  </r>
  <r>
    <x v="438"/>
    <x v="728"/>
    <x v="943"/>
    <x v="617"/>
    <x v="617"/>
    <x v="0"/>
    <x v="19"/>
    <x v="19"/>
    <x v="62"/>
    <x v="401"/>
    <x v="310"/>
    <x v="0"/>
    <x v="458"/>
    <x v="588"/>
    <x v="940"/>
    <x v="227"/>
    <x v="430"/>
    <x v="347"/>
    <x v="1"/>
    <x v="1223"/>
    <x v="23"/>
  </r>
  <r>
    <x v="54"/>
    <x v="592"/>
    <x v="1051"/>
    <x v="1700"/>
    <x v="1700"/>
    <x v="0"/>
    <x v="2"/>
    <x v="2"/>
    <x v="38"/>
    <x v="377"/>
    <x v="333"/>
    <x v="0"/>
    <x v="586"/>
    <x v="59"/>
    <x v="582"/>
    <x v="597"/>
    <x v="405"/>
    <x v="527"/>
    <x v="1"/>
    <x v="432"/>
    <x v="23"/>
  </r>
  <r>
    <x v="222"/>
    <x v="403"/>
    <x v="1052"/>
    <x v="1041"/>
    <x v="1041"/>
    <x v="0"/>
    <x v="13"/>
    <x v="13"/>
    <x v="51"/>
    <x v="379"/>
    <x v="273"/>
    <x v="0"/>
    <x v="738"/>
    <x v="160"/>
    <x v="924"/>
    <x v="380"/>
    <x v="409"/>
    <x v="134"/>
    <x v="0"/>
    <x v="1467"/>
    <x v="15"/>
  </r>
  <r>
    <x v="832"/>
    <x v="574"/>
    <x v="1052"/>
    <x v="287"/>
    <x v="287"/>
    <x v="0"/>
    <x v="21"/>
    <x v="21"/>
    <x v="57"/>
    <x v="234"/>
    <x v="487"/>
    <x v="0"/>
    <x v="1314"/>
    <x v="556"/>
    <x v="429"/>
    <x v="10"/>
    <x v="593"/>
    <x v="693"/>
    <x v="1"/>
    <x v="1721"/>
    <x v="30"/>
  </r>
  <r>
    <x v="740"/>
    <x v="523"/>
    <x v="1053"/>
    <x v="1716"/>
    <x v="1716"/>
    <x v="1"/>
    <x v="20"/>
    <x v="20"/>
    <x v="58"/>
    <x v="526"/>
    <x v="132"/>
    <x v="1"/>
    <x v="823"/>
    <x v="646"/>
    <x v="508"/>
    <x v="0"/>
    <x v="613"/>
    <x v="75"/>
    <x v="0"/>
    <x v="1407"/>
    <x v="11"/>
  </r>
  <r>
    <x v="159"/>
    <x v="208"/>
    <x v="1054"/>
    <x v="1561"/>
    <x v="1561"/>
    <x v="1"/>
    <x v="4"/>
    <x v="4"/>
    <x v="45"/>
    <x v="411"/>
    <x v="352"/>
    <x v="0"/>
    <x v="703"/>
    <x v="598"/>
    <x v="972"/>
    <x v="0"/>
    <x v="404"/>
    <x v="77"/>
    <x v="0"/>
    <x v="1770"/>
    <x v="11"/>
  </r>
  <r>
    <x v="252"/>
    <x v="570"/>
    <x v="1055"/>
    <x v="1071"/>
    <x v="1071"/>
    <x v="0"/>
    <x v="6"/>
    <x v="6"/>
    <x v="53"/>
    <x v="498"/>
    <x v="313"/>
    <x v="0"/>
    <x v="498"/>
    <x v="174"/>
    <x v="437"/>
    <x v="445"/>
    <x v="112"/>
    <x v="689"/>
    <x v="1"/>
    <x v="951"/>
    <x v="30"/>
  </r>
  <r>
    <x v="11"/>
    <x v="234"/>
    <x v="1056"/>
    <x v="1537"/>
    <x v="1537"/>
    <x v="0"/>
    <x v="1"/>
    <x v="1"/>
    <x v="42"/>
    <x v="380"/>
    <x v="557"/>
    <x v="0"/>
    <x v="59"/>
    <x v="35"/>
    <x v="764"/>
    <x v="740"/>
    <x v="714"/>
    <x v="749"/>
    <x v="1"/>
    <x v="1263"/>
    <x v="23"/>
  </r>
  <r>
    <x v="223"/>
    <x v="384"/>
    <x v="1057"/>
    <x v="150"/>
    <x v="150"/>
    <x v="0"/>
    <x v="4"/>
    <x v="4"/>
    <x v="53"/>
    <x v="382"/>
    <x v="504"/>
    <x v="0"/>
    <x v="1616"/>
    <x v="471"/>
    <x v="599"/>
    <x v="709"/>
    <x v="505"/>
    <x v="662"/>
    <x v="1"/>
    <x v="858"/>
    <x v="23"/>
  </r>
  <r>
    <x v="235"/>
    <x v="503"/>
    <x v="1058"/>
    <x v="411"/>
    <x v="411"/>
    <x v="0"/>
    <x v="12"/>
    <x v="12"/>
    <x v="63"/>
    <x v="357"/>
    <x v="361"/>
    <x v="0"/>
    <x v="1150"/>
    <x v="215"/>
    <x v="366"/>
    <x v="0"/>
    <x v="604"/>
    <x v="458"/>
    <x v="1"/>
    <x v="1219"/>
    <x v="23"/>
  </r>
  <r>
    <x v="509"/>
    <x v="35"/>
    <x v="1059"/>
    <x v="299"/>
    <x v="299"/>
    <x v="0"/>
    <x v="13"/>
    <x v="13"/>
    <x v="0"/>
    <x v="361"/>
    <x v="531"/>
    <x v="0"/>
    <x v="1248"/>
    <x v="209"/>
    <x v="449"/>
    <x v="434"/>
    <x v="447"/>
    <x v="622"/>
    <x v="1"/>
    <x v="1139"/>
    <x v="25"/>
  </r>
  <r>
    <x v="103"/>
    <x v="589"/>
    <x v="1060"/>
    <x v="1550"/>
    <x v="1550"/>
    <x v="1"/>
    <x v="2"/>
    <x v="2"/>
    <x v="68"/>
    <x v="475"/>
    <x v="406"/>
    <x v="0"/>
    <x v="618"/>
    <x v="723"/>
    <x v="882"/>
    <x v="0"/>
    <x v="238"/>
    <x v="448"/>
    <x v="1"/>
    <x v="338"/>
    <x v="11"/>
  </r>
  <r>
    <x v="100"/>
    <x v="119"/>
    <x v="528"/>
    <x v="1341"/>
    <x v="1341"/>
    <x v="0"/>
    <x v="4"/>
    <x v="4"/>
    <x v="38"/>
    <x v="246"/>
    <x v="255"/>
    <x v="1"/>
    <x v="1023"/>
    <x v="604"/>
    <x v="1063"/>
    <x v="595"/>
    <x v="352"/>
    <x v="444"/>
    <x v="1"/>
    <x v="652"/>
    <x v="15"/>
  </r>
  <r>
    <x v="196"/>
    <x v="596"/>
    <x v="1062"/>
    <x v="1288"/>
    <x v="1288"/>
    <x v="0"/>
    <x v="5"/>
    <x v="5"/>
    <x v="47"/>
    <x v="412"/>
    <x v="479"/>
    <x v="0"/>
    <x v="971"/>
    <x v="115"/>
    <x v="1076"/>
    <x v="763"/>
    <x v="454"/>
    <x v="741"/>
    <x v="1"/>
    <x v="457"/>
    <x v="54"/>
  </r>
  <r>
    <x v="174"/>
    <x v="703"/>
    <x v="1063"/>
    <x v="1029"/>
    <x v="1029"/>
    <x v="0"/>
    <x v="4"/>
    <x v="4"/>
    <x v="48"/>
    <x v="369"/>
    <x v="448"/>
    <x v="0"/>
    <x v="839"/>
    <x v="57"/>
    <x v="187"/>
    <x v="214"/>
    <x v="602"/>
    <x v="676"/>
    <x v="1"/>
    <x v="834"/>
    <x v="25"/>
  </r>
  <r>
    <x v="30"/>
    <x v="489"/>
    <x v="1064"/>
    <x v="945"/>
    <x v="945"/>
    <x v="0"/>
    <x v="2"/>
    <x v="2"/>
    <x v="44"/>
    <x v="371"/>
    <x v="402"/>
    <x v="0"/>
    <x v="130"/>
    <x v="375"/>
    <x v="126"/>
    <x v="704"/>
    <x v="444"/>
    <x v="683"/>
    <x v="1"/>
    <x v="877"/>
    <x v="23"/>
  </r>
  <r>
    <x v="117"/>
    <x v="249"/>
    <x v="1065"/>
    <x v="890"/>
    <x v="890"/>
    <x v="1"/>
    <x v="3"/>
    <x v="3"/>
    <x v="43"/>
    <x v="521"/>
    <x v="92"/>
    <x v="1"/>
    <x v="88"/>
    <x v="665"/>
    <x v="924"/>
    <x v="16"/>
    <x v="228"/>
    <x v="696"/>
    <x v="1"/>
    <x v="515"/>
    <x v="11"/>
  </r>
  <r>
    <x v="118"/>
    <x v="175"/>
    <x v="1066"/>
    <x v="1697"/>
    <x v="1697"/>
    <x v="1"/>
    <x v="6"/>
    <x v="6"/>
    <x v="59"/>
    <x v="481"/>
    <x v="449"/>
    <x v="0"/>
    <x v="1480"/>
    <x v="485"/>
    <x v="1113"/>
    <x v="51"/>
    <x v="420"/>
    <x v="660"/>
    <x v="1"/>
    <x v="917"/>
    <x v="18"/>
  </r>
  <r>
    <x v="119"/>
    <x v="801"/>
    <x v="1067"/>
    <x v="897"/>
    <x v="897"/>
    <x v="0"/>
    <x v="6"/>
    <x v="6"/>
    <x v="62"/>
    <x v="297"/>
    <x v="122"/>
    <x v="1"/>
    <x v="155"/>
    <x v="583"/>
    <x v="984"/>
    <x v="0"/>
    <x v="61"/>
    <x v="509"/>
    <x v="1"/>
    <x v="174"/>
    <x v="15"/>
  </r>
  <r>
    <x v="136"/>
    <x v="472"/>
    <x v="1068"/>
    <x v="752"/>
    <x v="752"/>
    <x v="1"/>
    <x v="12"/>
    <x v="12"/>
    <x v="54"/>
    <x v="259"/>
    <x v="324"/>
    <x v="0"/>
    <x v="378"/>
    <x v="803"/>
    <x v="910"/>
    <x v="0"/>
    <x v="703"/>
    <x v="584"/>
    <x v="1"/>
    <x v="157"/>
    <x v="11"/>
  </r>
  <r>
    <x v="452"/>
    <x v="7"/>
    <x v="1069"/>
    <x v="260"/>
    <x v="260"/>
    <x v="0"/>
    <x v="12"/>
    <x v="12"/>
    <x v="48"/>
    <x v="317"/>
    <x v="489"/>
    <x v="0"/>
    <x v="1240"/>
    <x v="472"/>
    <x v="269"/>
    <x v="0"/>
    <x v="643"/>
    <x v="648"/>
    <x v="1"/>
    <x v="1411"/>
    <x v="18"/>
  </r>
  <r>
    <x v="145"/>
    <x v="67"/>
    <x v="1070"/>
    <x v="1257"/>
    <x v="1257"/>
    <x v="1"/>
    <x v="6"/>
    <x v="6"/>
    <x v="54"/>
    <x v="69"/>
    <x v="536"/>
    <x v="0"/>
    <x v="1632"/>
    <x v="443"/>
    <x v="118"/>
    <x v="0"/>
    <x v="651"/>
    <x v="568"/>
    <x v="1"/>
    <x v="1719"/>
    <x v="23"/>
  </r>
  <r>
    <x v="396"/>
    <x v="273"/>
    <x v="1071"/>
    <x v="256"/>
    <x v="256"/>
    <x v="0"/>
    <x v="17"/>
    <x v="17"/>
    <x v="62"/>
    <x v="323"/>
    <x v="303"/>
    <x v="0"/>
    <x v="1035"/>
    <x v="237"/>
    <x v="446"/>
    <x v="0"/>
    <x v="432"/>
    <x v="568"/>
    <x v="1"/>
    <x v="318"/>
    <x v="11"/>
  </r>
  <r>
    <x v="823"/>
    <x v="125"/>
    <x v="220"/>
    <x v="1025"/>
    <x v="1025"/>
    <x v="0"/>
    <x v="21"/>
    <x v="21"/>
    <x v="21"/>
    <x v="280"/>
    <x v="462"/>
    <x v="0"/>
    <x v="1047"/>
    <x v="549"/>
    <x v="817"/>
    <x v="0"/>
    <x v="494"/>
    <x v="623"/>
    <x v="1"/>
    <x v="902"/>
    <x v="23"/>
  </r>
  <r>
    <x v="198"/>
    <x v="252"/>
    <x v="1073"/>
    <x v="1484"/>
    <x v="1484"/>
    <x v="0"/>
    <x v="5"/>
    <x v="5"/>
    <x v="58"/>
    <x v="4"/>
    <x v="9"/>
    <x v="1"/>
    <x v="80"/>
    <x v="102"/>
    <x v="1196"/>
    <x v="0"/>
    <x v="438"/>
    <x v="24"/>
    <x v="0"/>
    <x v="68"/>
    <x v="22"/>
  </r>
  <r>
    <x v="289"/>
    <x v="738"/>
    <x v="1074"/>
    <x v="1748"/>
    <x v="1748"/>
    <x v="1"/>
    <x v="10"/>
    <x v="10"/>
    <x v="46"/>
    <x v="308"/>
    <x v="366"/>
    <x v="0"/>
    <x v="948"/>
    <x v="784"/>
    <x v="728"/>
    <x v="0"/>
    <x v="107"/>
    <x v="236"/>
    <x v="0"/>
    <x v="1562"/>
    <x v="11"/>
  </r>
  <r>
    <x v="229"/>
    <x v="402"/>
    <x v="1075"/>
    <x v="612"/>
    <x v="612"/>
    <x v="0"/>
    <x v="11"/>
    <x v="11"/>
    <x v="54"/>
    <x v="165"/>
    <x v="482"/>
    <x v="0"/>
    <x v="1303"/>
    <x v="247"/>
    <x v="121"/>
    <x v="0"/>
    <x v="448"/>
    <x v="271"/>
    <x v="0"/>
    <x v="1519"/>
    <x v="30"/>
  </r>
  <r>
    <x v="70"/>
    <x v="808"/>
    <x v="1076"/>
    <x v="1064"/>
    <x v="1064"/>
    <x v="0"/>
    <x v="2"/>
    <x v="2"/>
    <x v="54"/>
    <x v="130"/>
    <x v="196"/>
    <x v="1"/>
    <x v="605"/>
    <x v="9"/>
    <x v="833"/>
    <x v="0"/>
    <x v="552"/>
    <x v="185"/>
    <x v="0"/>
    <x v="1507"/>
    <x v="23"/>
  </r>
  <r>
    <x v="611"/>
    <x v="649"/>
    <x v="1077"/>
    <x v="1462"/>
    <x v="1462"/>
    <x v="0"/>
    <x v="16"/>
    <x v="16"/>
    <x v="58"/>
    <x v="447"/>
    <x v="224"/>
    <x v="1"/>
    <x v="235"/>
    <x v="231"/>
    <x v="17"/>
    <x v="761"/>
    <x v="161"/>
    <x v="556"/>
    <x v="1"/>
    <x v="896"/>
    <x v="25"/>
  </r>
  <r>
    <x v="175"/>
    <x v="387"/>
    <x v="1078"/>
    <x v="1584"/>
    <x v="1584"/>
    <x v="0"/>
    <x v="8"/>
    <x v="8"/>
    <x v="58"/>
    <x v="405"/>
    <x v="281"/>
    <x v="0"/>
    <x v="640"/>
    <x v="683"/>
    <x v="999"/>
    <x v="215"/>
    <x v="761"/>
    <x v="632"/>
    <x v="1"/>
    <x v="886"/>
    <x v="23"/>
  </r>
  <r>
    <x v="43"/>
    <x v="547"/>
    <x v="1079"/>
    <x v="579"/>
    <x v="579"/>
    <x v="0"/>
    <x v="5"/>
    <x v="5"/>
    <x v="34"/>
    <x v="463"/>
    <x v="296"/>
    <x v="0"/>
    <x v="449"/>
    <x v="574"/>
    <x v="931"/>
    <x v="218"/>
    <x v="599"/>
    <x v="552"/>
    <x v="1"/>
    <x v="1335"/>
    <x v="30"/>
  </r>
  <r>
    <x v="327"/>
    <x v="54"/>
    <x v="1080"/>
    <x v="232"/>
    <x v="232"/>
    <x v="0"/>
    <x v="8"/>
    <x v="8"/>
    <x v="26"/>
    <x v="313"/>
    <x v="368"/>
    <x v="0"/>
    <x v="132"/>
    <x v="602"/>
    <x v="432"/>
    <x v="635"/>
    <x v="15"/>
    <x v="585"/>
    <x v="1"/>
    <x v="1157"/>
    <x v="25"/>
  </r>
  <r>
    <x v="160"/>
    <x v="413"/>
    <x v="1081"/>
    <x v="877"/>
    <x v="877"/>
    <x v="1"/>
    <x v="17"/>
    <x v="17"/>
    <x v="45"/>
    <x v="489"/>
    <x v="227"/>
    <x v="1"/>
    <x v="1218"/>
    <x v="595"/>
    <x v="501"/>
    <x v="0"/>
    <x v="94"/>
    <x v="541"/>
    <x v="1"/>
    <x v="577"/>
    <x v="30"/>
  </r>
  <r>
    <x v="80"/>
    <x v="558"/>
    <x v="1082"/>
    <x v="1769"/>
    <x v="1769"/>
    <x v="1"/>
    <x v="6"/>
    <x v="6"/>
    <x v="43"/>
    <x v="235"/>
    <x v="243"/>
    <x v="1"/>
    <x v="1217"/>
    <x v="165"/>
    <x v="617"/>
    <x v="23"/>
    <x v="395"/>
    <x v="475"/>
    <x v="1"/>
    <x v="1670"/>
    <x v="15"/>
  </r>
  <r>
    <x v="150"/>
    <x v="128"/>
    <x v="1213"/>
    <x v="1191"/>
    <x v="1191"/>
    <x v="1"/>
    <x v="3"/>
    <x v="3"/>
    <x v="41"/>
    <x v="332"/>
    <x v="393"/>
    <x v="0"/>
    <x v="1065"/>
    <x v="766"/>
    <x v="780"/>
    <x v="0"/>
    <x v="134"/>
    <x v="399"/>
    <x v="1"/>
    <x v="208"/>
    <x v="11"/>
  </r>
  <r>
    <x v="76"/>
    <x v="174"/>
    <x v="1084"/>
    <x v="1678"/>
    <x v="1678"/>
    <x v="0"/>
    <x v="3"/>
    <x v="3"/>
    <x v="55"/>
    <x v="23"/>
    <x v="480"/>
    <x v="0"/>
    <x v="587"/>
    <x v="242"/>
    <x v="12"/>
    <x v="119"/>
    <x v="230"/>
    <x v="125"/>
    <x v="0"/>
    <x v="1544"/>
    <x v="36"/>
  </r>
  <r>
    <x v="335"/>
    <x v="259"/>
    <x v="1085"/>
    <x v="192"/>
    <x v="192"/>
    <x v="0"/>
    <x v="15"/>
    <x v="15"/>
    <x v="57"/>
    <x v="193"/>
    <x v="524"/>
    <x v="0"/>
    <x v="1182"/>
    <x v="360"/>
    <x v="484"/>
    <x v="95"/>
    <x v="715"/>
    <x v="405"/>
    <x v="1"/>
    <x v="1601"/>
    <x v="38"/>
  </r>
  <r>
    <x v="802"/>
    <x v="666"/>
    <x v="1086"/>
    <x v="5"/>
    <x v="5"/>
    <x v="1"/>
    <x v="21"/>
    <x v="21"/>
    <x v="57"/>
    <x v="522"/>
    <x v="411"/>
    <x v="0"/>
    <x v="505"/>
    <x v="715"/>
    <x v="68"/>
    <x v="0"/>
    <x v="168"/>
    <x v="424"/>
    <x v="1"/>
    <x v="644"/>
    <x v="15"/>
  </r>
  <r>
    <x v="686"/>
    <x v="289"/>
    <x v="659"/>
    <x v="1538"/>
    <x v="1538"/>
    <x v="1"/>
    <x v="19"/>
    <x v="19"/>
    <x v="61"/>
    <x v="224"/>
    <x v="332"/>
    <x v="0"/>
    <x v="489"/>
    <x v="502"/>
    <x v="638"/>
    <x v="0"/>
    <x v="598"/>
    <x v="77"/>
    <x v="0"/>
    <x v="191"/>
    <x v="11"/>
  </r>
  <r>
    <x v="457"/>
    <x v="357"/>
    <x v="1537"/>
    <x v="740"/>
    <x v="740"/>
    <x v="1"/>
    <x v="19"/>
    <x v="19"/>
    <x v="61"/>
    <x v="331"/>
    <x v="417"/>
    <x v="0"/>
    <x v="1354"/>
    <x v="574"/>
    <x v="737"/>
    <x v="0"/>
    <x v="490"/>
    <x v="607"/>
    <x v="1"/>
    <x v="456"/>
    <x v="11"/>
  </r>
  <r>
    <x v="423"/>
    <x v="787"/>
    <x v="1089"/>
    <x v="1068"/>
    <x v="1068"/>
    <x v="0"/>
    <x v="17"/>
    <x v="17"/>
    <x v="48"/>
    <x v="305"/>
    <x v="100"/>
    <x v="1"/>
    <x v="517"/>
    <x v="149"/>
    <x v="1033"/>
    <x v="0"/>
    <x v="408"/>
    <x v="108"/>
    <x v="0"/>
    <x v="409"/>
    <x v="15"/>
  </r>
  <r>
    <x v="357"/>
    <x v="740"/>
    <x v="1090"/>
    <x v="455"/>
    <x v="455"/>
    <x v="0"/>
    <x v="8"/>
    <x v="8"/>
    <x v="59"/>
    <x v="53"/>
    <x v="408"/>
    <x v="0"/>
    <x v="529"/>
    <x v="515"/>
    <x v="741"/>
    <x v="0"/>
    <x v="453"/>
    <x v="565"/>
    <x v="1"/>
    <x v="536"/>
    <x v="38"/>
  </r>
  <r>
    <x v="328"/>
    <x v="743"/>
    <x v="1091"/>
    <x v="1645"/>
    <x v="1645"/>
    <x v="1"/>
    <x v="7"/>
    <x v="7"/>
    <x v="54"/>
    <x v="465"/>
    <x v="230"/>
    <x v="1"/>
    <x v="323"/>
    <x v="606"/>
    <x v="824"/>
    <x v="30"/>
    <x v="577"/>
    <x v="478"/>
    <x v="1"/>
    <x v="667"/>
    <x v="7"/>
  </r>
  <r>
    <x v="570"/>
    <x v="336"/>
    <x v="1092"/>
    <x v="223"/>
    <x v="223"/>
    <x v="0"/>
    <x v="20"/>
    <x v="20"/>
    <x v="66"/>
    <x v="339"/>
    <x v="214"/>
    <x v="1"/>
    <x v="558"/>
    <x v="152"/>
    <x v="952"/>
    <x v="0"/>
    <x v="262"/>
    <x v="98"/>
    <x v="0"/>
    <x v="511"/>
    <x v="38"/>
  </r>
  <r>
    <x v="455"/>
    <x v="678"/>
    <x v="1093"/>
    <x v="437"/>
    <x v="437"/>
    <x v="0"/>
    <x v="11"/>
    <x v="11"/>
    <x v="49"/>
    <x v="240"/>
    <x v="502"/>
    <x v="0"/>
    <x v="795"/>
    <x v="249"/>
    <x v="423"/>
    <x v="1"/>
    <x v="91"/>
    <x v="687"/>
    <x v="1"/>
    <x v="1333"/>
    <x v="25"/>
  </r>
  <r>
    <x v="191"/>
    <x v="90"/>
    <x v="808"/>
    <x v="986"/>
    <x v="986"/>
    <x v="0"/>
    <x v="9"/>
    <x v="9"/>
    <x v="56"/>
    <x v="97"/>
    <x v="295"/>
    <x v="0"/>
    <x v="1089"/>
    <x v="804"/>
    <x v="498"/>
    <x v="146"/>
    <x v="471"/>
    <x v="350"/>
    <x v="1"/>
    <x v="1757"/>
    <x v="30"/>
  </r>
  <r>
    <x v="587"/>
    <x v="227"/>
    <x v="1095"/>
    <x v="97"/>
    <x v="97"/>
    <x v="0"/>
    <x v="15"/>
    <x v="15"/>
    <x v="15"/>
    <x v="316"/>
    <x v="435"/>
    <x v="0"/>
    <x v="699"/>
    <x v="229"/>
    <x v="136"/>
    <x v="551"/>
    <x v="639"/>
    <x v="314"/>
    <x v="0"/>
    <x v="1031"/>
    <x v="25"/>
  </r>
  <r>
    <x v="503"/>
    <x v="430"/>
    <x v="1096"/>
    <x v="1150"/>
    <x v="1150"/>
    <x v="0"/>
    <x v="12"/>
    <x v="12"/>
    <x v="59"/>
    <x v="216"/>
    <x v="318"/>
    <x v="0"/>
    <x v="1160"/>
    <x v="66"/>
    <x v="503"/>
    <x v="409"/>
    <x v="540"/>
    <x v="174"/>
    <x v="0"/>
    <x v="688"/>
    <x v="24"/>
  </r>
  <r>
    <x v="282"/>
    <x v="636"/>
    <x v="1097"/>
    <x v="251"/>
    <x v="251"/>
    <x v="1"/>
    <x v="18"/>
    <x v="18"/>
    <x v="66"/>
    <x v="306"/>
    <x v="19"/>
    <x v="1"/>
    <x v="168"/>
    <x v="703"/>
    <x v="852"/>
    <x v="0"/>
    <x v="273"/>
    <x v="162"/>
    <x v="0"/>
    <x v="730"/>
    <x v="15"/>
  </r>
  <r>
    <x v="158"/>
    <x v="670"/>
    <x v="1098"/>
    <x v="559"/>
    <x v="559"/>
    <x v="0"/>
    <x v="15"/>
    <x v="15"/>
    <x v="33"/>
    <x v="126"/>
    <x v="504"/>
    <x v="0"/>
    <x v="408"/>
    <x v="109"/>
    <x v="79"/>
    <x v="707"/>
    <x v="490"/>
    <x v="33"/>
    <x v="0"/>
    <x v="1488"/>
    <x v="25"/>
  </r>
  <r>
    <x v="710"/>
    <x v="277"/>
    <x v="1099"/>
    <x v="1088"/>
    <x v="1088"/>
    <x v="1"/>
    <x v="18"/>
    <x v="18"/>
    <x v="0"/>
    <x v="93"/>
    <x v="165"/>
    <x v="1"/>
    <x v="782"/>
    <x v="346"/>
    <x v="1095"/>
    <x v="0"/>
    <x v="467"/>
    <x v="118"/>
    <x v="0"/>
    <x v="819"/>
    <x v="2"/>
  </r>
  <r>
    <x v="732"/>
    <x v="555"/>
    <x v="339"/>
    <x v="1079"/>
    <x v="1079"/>
    <x v="0"/>
    <x v="19"/>
    <x v="19"/>
    <x v="60"/>
    <x v="447"/>
    <x v="413"/>
    <x v="0"/>
    <x v="1563"/>
    <x v="293"/>
    <x v="504"/>
    <x v="357"/>
    <x v="550"/>
    <x v="656"/>
    <x v="1"/>
    <x v="84"/>
    <x v="29"/>
  </r>
  <r>
    <x v="14"/>
    <x v="517"/>
    <x v="1101"/>
    <x v="1676"/>
    <x v="1676"/>
    <x v="0"/>
    <x v="1"/>
    <x v="1"/>
    <x v="47"/>
    <x v="324"/>
    <x v="286"/>
    <x v="0"/>
    <x v="883"/>
    <x v="218"/>
    <x v="816"/>
    <x v="0"/>
    <x v="423"/>
    <x v="251"/>
    <x v="0"/>
    <x v="1651"/>
    <x v="25"/>
  </r>
  <r>
    <x v="94"/>
    <x v="107"/>
    <x v="780"/>
    <x v="536"/>
    <x v="536"/>
    <x v="0"/>
    <x v="3"/>
    <x v="3"/>
    <x v="44"/>
    <x v="217"/>
    <x v="308"/>
    <x v="0"/>
    <x v="1140"/>
    <x v="67"/>
    <x v="768"/>
    <x v="0"/>
    <x v="63"/>
    <x v="533"/>
    <x v="1"/>
    <x v="57"/>
    <x v="23"/>
  </r>
  <r>
    <x v="748"/>
    <x v="485"/>
    <x v="567"/>
    <x v="824"/>
    <x v="824"/>
    <x v="1"/>
    <x v="19"/>
    <x v="19"/>
    <x v="60"/>
    <x v="366"/>
    <x v="394"/>
    <x v="0"/>
    <x v="891"/>
    <x v="260"/>
    <x v="515"/>
    <x v="262"/>
    <x v="416"/>
    <x v="212"/>
    <x v="0"/>
    <x v="1446"/>
    <x v="11"/>
  </r>
  <r>
    <x v="207"/>
    <x v="474"/>
    <x v="1103"/>
    <x v="173"/>
    <x v="173"/>
    <x v="0"/>
    <x v="5"/>
    <x v="5"/>
    <x v="47"/>
    <x v="444"/>
    <x v="258"/>
    <x v="1"/>
    <x v="531"/>
    <x v="795"/>
    <x v="562"/>
    <x v="759"/>
    <x v="255"/>
    <x v="602"/>
    <x v="1"/>
    <x v="1823"/>
    <x v="30"/>
  </r>
  <r>
    <x v="354"/>
    <x v="737"/>
    <x v="1104"/>
    <x v="1431"/>
    <x v="1431"/>
    <x v="0"/>
    <x v="11"/>
    <x v="11"/>
    <x v="53"/>
    <x v="7"/>
    <x v="112"/>
    <x v="1"/>
    <x v="675"/>
    <x v="65"/>
    <x v="1142"/>
    <x v="183"/>
    <x v="480"/>
    <x v="130"/>
    <x v="0"/>
    <x v="1654"/>
    <x v="23"/>
  </r>
  <r>
    <x v="765"/>
    <x v="198"/>
    <x v="1105"/>
    <x v="25"/>
    <x v="25"/>
    <x v="0"/>
    <x v="19"/>
    <x v="19"/>
    <x v="60"/>
    <x v="235"/>
    <x v="289"/>
    <x v="0"/>
    <x v="145"/>
    <x v="663"/>
    <x v="897"/>
    <x v="221"/>
    <x v="680"/>
    <x v="10"/>
    <x v="0"/>
    <x v="500"/>
    <x v="23"/>
  </r>
  <r>
    <x v="19"/>
    <x v="460"/>
    <x v="1106"/>
    <x v="1533"/>
    <x v="1533"/>
    <x v="0"/>
    <x v="11"/>
    <x v="11"/>
    <x v="54"/>
    <x v="132"/>
    <x v="408"/>
    <x v="0"/>
    <x v="1483"/>
    <x v="107"/>
    <x v="33"/>
    <x v="0"/>
    <x v="396"/>
    <x v="234"/>
    <x v="0"/>
    <x v="841"/>
    <x v="46"/>
  </r>
  <r>
    <x v="290"/>
    <x v="160"/>
    <x v="1107"/>
    <x v="1280"/>
    <x v="1280"/>
    <x v="1"/>
    <x v="16"/>
    <x v="16"/>
    <x v="53"/>
    <x v="337"/>
    <x v="231"/>
    <x v="1"/>
    <x v="1195"/>
    <x v="153"/>
    <x v="622"/>
    <x v="0"/>
    <x v="382"/>
    <x v="292"/>
    <x v="0"/>
    <x v="1475"/>
    <x v="15"/>
  </r>
  <r>
    <x v="438"/>
    <x v="728"/>
    <x v="0"/>
    <x v="551"/>
    <x v="551"/>
    <x v="0"/>
    <x v="19"/>
    <x v="19"/>
    <x v="59"/>
    <x v="248"/>
    <x v="364"/>
    <x v="0"/>
    <x v="444"/>
    <x v="601"/>
    <x v="634"/>
    <x v="0"/>
    <x v="499"/>
    <x v="264"/>
    <x v="0"/>
    <x v="1645"/>
    <x v="23"/>
  </r>
  <r>
    <x v="34"/>
    <x v="361"/>
    <x v="1109"/>
    <x v="799"/>
    <x v="799"/>
    <x v="1"/>
    <x v="13"/>
    <x v="13"/>
    <x v="68"/>
    <x v="422"/>
    <x v="458"/>
    <x v="0"/>
    <x v="750"/>
    <x v="756"/>
    <x v="867"/>
    <x v="0"/>
    <x v="635"/>
    <x v="601"/>
    <x v="1"/>
    <x v="1452"/>
    <x v="7"/>
  </r>
  <r>
    <x v="656"/>
    <x v="830"/>
    <x v="1102"/>
    <x v="657"/>
    <x v="657"/>
    <x v="0"/>
    <x v="19"/>
    <x v="19"/>
    <x v="59"/>
    <x v="218"/>
    <x v="333"/>
    <x v="0"/>
    <x v="691"/>
    <x v="198"/>
    <x v="187"/>
    <x v="205"/>
    <x v="564"/>
    <x v="144"/>
    <x v="0"/>
    <x v="1536"/>
    <x v="25"/>
  </r>
  <r>
    <x v="559"/>
    <x v="584"/>
    <x v="1111"/>
    <x v="957"/>
    <x v="957"/>
    <x v="0"/>
    <x v="16"/>
    <x v="16"/>
    <x v="69"/>
    <x v="307"/>
    <x v="134"/>
    <x v="1"/>
    <x v="211"/>
    <x v="99"/>
    <x v="1195"/>
    <x v="0"/>
    <x v="419"/>
    <x v="224"/>
    <x v="0"/>
    <x v="909"/>
    <x v="23"/>
  </r>
  <r>
    <x v="829"/>
    <x v="400"/>
    <x v="1112"/>
    <x v="421"/>
    <x v="421"/>
    <x v="1"/>
    <x v="21"/>
    <x v="21"/>
    <x v="60"/>
    <x v="245"/>
    <x v="326"/>
    <x v="0"/>
    <x v="890"/>
    <x v="615"/>
    <x v="1059"/>
    <x v="0"/>
    <x v="458"/>
    <x v="158"/>
    <x v="0"/>
    <x v="1542"/>
    <x v="15"/>
  </r>
  <r>
    <x v="274"/>
    <x v="397"/>
    <x v="1113"/>
    <x v="334"/>
    <x v="334"/>
    <x v="0"/>
    <x v="7"/>
    <x v="7"/>
    <x v="46"/>
    <x v="172"/>
    <x v="5"/>
    <x v="1"/>
    <x v="2"/>
    <x v="70"/>
    <x v="1123"/>
    <x v="633"/>
    <x v="426"/>
    <x v="200"/>
    <x v="0"/>
    <x v="116"/>
    <x v="27"/>
  </r>
  <r>
    <x v="740"/>
    <x v="523"/>
    <x v="121"/>
    <x v="1776"/>
    <x v="1776"/>
    <x v="1"/>
    <x v="19"/>
    <x v="19"/>
    <x v="58"/>
    <x v="545"/>
    <x v="267"/>
    <x v="0"/>
    <x v="825"/>
    <x v="703"/>
    <x v="679"/>
    <x v="0"/>
    <x v="427"/>
    <x v="63"/>
    <x v="0"/>
    <x v="1153"/>
    <x v="11"/>
  </r>
  <r>
    <x v="6"/>
    <x v="242"/>
    <x v="1311"/>
    <x v="839"/>
    <x v="839"/>
    <x v="1"/>
    <x v="19"/>
    <x v="19"/>
    <x v="58"/>
    <x v="383"/>
    <x v="350"/>
    <x v="0"/>
    <x v="627"/>
    <x v="834"/>
    <x v="881"/>
    <x v="0"/>
    <x v="200"/>
    <x v="492"/>
    <x v="1"/>
    <x v="240"/>
    <x v="7"/>
  </r>
  <r>
    <x v="481"/>
    <x v="805"/>
    <x v="1116"/>
    <x v="1494"/>
    <x v="1494"/>
    <x v="1"/>
    <x v="12"/>
    <x v="12"/>
    <x v="44"/>
    <x v="395"/>
    <x v="198"/>
    <x v="1"/>
    <x v="480"/>
    <x v="135"/>
    <x v="263"/>
    <x v="0"/>
    <x v="538"/>
    <x v="217"/>
    <x v="0"/>
    <x v="1317"/>
    <x v="11"/>
  </r>
  <r>
    <x v="481"/>
    <x v="805"/>
    <x v="1116"/>
    <x v="1494"/>
    <x v="1494"/>
    <x v="1"/>
    <x v="12"/>
    <x v="12"/>
    <x v="62"/>
    <x v="395"/>
    <x v="198"/>
    <x v="1"/>
    <x v="480"/>
    <x v="135"/>
    <x v="263"/>
    <x v="0"/>
    <x v="538"/>
    <x v="217"/>
    <x v="0"/>
    <x v="1317"/>
    <x v="11"/>
  </r>
  <r>
    <x v="232"/>
    <x v="807"/>
    <x v="1117"/>
    <x v="424"/>
    <x v="424"/>
    <x v="0"/>
    <x v="5"/>
    <x v="5"/>
    <x v="49"/>
    <x v="135"/>
    <x v="419"/>
    <x v="0"/>
    <x v="713"/>
    <x v="185"/>
    <x v="608"/>
    <x v="420"/>
    <x v="481"/>
    <x v="175"/>
    <x v="0"/>
    <x v="535"/>
    <x v="19"/>
  </r>
  <r>
    <x v="784"/>
    <x v="329"/>
    <x v="1597"/>
    <x v="1710"/>
    <x v="1710"/>
    <x v="0"/>
    <x v="19"/>
    <x v="19"/>
    <x v="58"/>
    <x v="72"/>
    <x v="424"/>
    <x v="0"/>
    <x v="270"/>
    <x v="570"/>
    <x v="35"/>
    <x v="688"/>
    <x v="210"/>
    <x v="252"/>
    <x v="0"/>
    <x v="1628"/>
    <x v="3"/>
  </r>
  <r>
    <x v="489"/>
    <x v="212"/>
    <x v="1816"/>
    <x v="465"/>
    <x v="465"/>
    <x v="1"/>
    <x v="19"/>
    <x v="19"/>
    <x v="58"/>
    <x v="306"/>
    <x v="273"/>
    <x v="0"/>
    <x v="1543"/>
    <x v="391"/>
    <x v="520"/>
    <x v="0"/>
    <x v="422"/>
    <x v="465"/>
    <x v="1"/>
    <x v="435"/>
    <x v="11"/>
  </r>
  <r>
    <x v="655"/>
    <x v="294"/>
    <x v="1120"/>
    <x v="220"/>
    <x v="220"/>
    <x v="0"/>
    <x v="18"/>
    <x v="18"/>
    <x v="53"/>
    <x v="306"/>
    <x v="516"/>
    <x v="0"/>
    <x v="1299"/>
    <x v="141"/>
    <x v="491"/>
    <x v="624"/>
    <x v="537"/>
    <x v="628"/>
    <x v="1"/>
    <x v="1103"/>
    <x v="25"/>
  </r>
  <r>
    <x v="31"/>
    <x v="651"/>
    <x v="1121"/>
    <x v="1258"/>
    <x v="1258"/>
    <x v="0"/>
    <x v="2"/>
    <x v="2"/>
    <x v="38"/>
    <x v="471"/>
    <x v="243"/>
    <x v="1"/>
    <x v="708"/>
    <x v="497"/>
    <x v="516"/>
    <x v="124"/>
    <x v="127"/>
    <x v="729"/>
    <x v="1"/>
    <x v="414"/>
    <x v="37"/>
  </r>
  <r>
    <x v="142"/>
    <x v="6"/>
    <x v="1122"/>
    <x v="1492"/>
    <x v="1492"/>
    <x v="0"/>
    <x v="2"/>
    <x v="2"/>
    <x v="42"/>
    <x v="356"/>
    <x v="324"/>
    <x v="0"/>
    <x v="308"/>
    <x v="351"/>
    <x v="844"/>
    <x v="122"/>
    <x v="157"/>
    <x v="588"/>
    <x v="1"/>
    <x v="197"/>
    <x v="30"/>
  </r>
  <r>
    <x v="88"/>
    <x v="508"/>
    <x v="1123"/>
    <x v="1759"/>
    <x v="1759"/>
    <x v="0"/>
    <x v="3"/>
    <x v="3"/>
    <x v="47"/>
    <x v="288"/>
    <x v="437"/>
    <x v="0"/>
    <x v="367"/>
    <x v="589"/>
    <x v="1129"/>
    <x v="334"/>
    <x v="244"/>
    <x v="473"/>
    <x v="1"/>
    <x v="430"/>
    <x v="30"/>
  </r>
  <r>
    <x v="178"/>
    <x v="37"/>
    <x v="1124"/>
    <x v="1401"/>
    <x v="1401"/>
    <x v="0"/>
    <x v="9"/>
    <x v="9"/>
    <x v="63"/>
    <x v="279"/>
    <x v="158"/>
    <x v="1"/>
    <x v="792"/>
    <x v="33"/>
    <x v="443"/>
    <x v="197"/>
    <x v="438"/>
    <x v="62"/>
    <x v="0"/>
    <x v="234"/>
    <x v="30"/>
  </r>
  <r>
    <x v="308"/>
    <x v="683"/>
    <x v="1125"/>
    <x v="887"/>
    <x v="887"/>
    <x v="0"/>
    <x v="8"/>
    <x v="8"/>
    <x v="1"/>
    <x v="139"/>
    <x v="116"/>
    <x v="1"/>
    <x v="570"/>
    <x v="12"/>
    <x v="1125"/>
    <x v="0"/>
    <x v="427"/>
    <x v="72"/>
    <x v="0"/>
    <x v="77"/>
    <x v="23"/>
  </r>
  <r>
    <x v="760"/>
    <x v="484"/>
    <x v="669"/>
    <x v="443"/>
    <x v="443"/>
    <x v="0"/>
    <x v="19"/>
    <x v="19"/>
    <x v="57"/>
    <x v="288"/>
    <x v="319"/>
    <x v="0"/>
    <x v="857"/>
    <x v="672"/>
    <x v="222"/>
    <x v="0"/>
    <x v="94"/>
    <x v="94"/>
    <x v="0"/>
    <x v="113"/>
    <x v="11"/>
  </r>
  <r>
    <x v="37"/>
    <x v="245"/>
    <x v="1511"/>
    <x v="542"/>
    <x v="542"/>
    <x v="0"/>
    <x v="19"/>
    <x v="19"/>
    <x v="56"/>
    <x v="323"/>
    <x v="422"/>
    <x v="0"/>
    <x v="1494"/>
    <x v="274"/>
    <x v="694"/>
    <x v="0"/>
    <x v="538"/>
    <x v="493"/>
    <x v="1"/>
    <x v="251"/>
    <x v="29"/>
  </r>
  <r>
    <x v="349"/>
    <x v="587"/>
    <x v="1128"/>
    <x v="63"/>
    <x v="63"/>
    <x v="0"/>
    <x v="8"/>
    <x v="8"/>
    <x v="32"/>
    <x v="291"/>
    <x v="226"/>
    <x v="1"/>
    <x v="1094"/>
    <x v="394"/>
    <x v="289"/>
    <x v="0"/>
    <x v="573"/>
    <x v="564"/>
    <x v="1"/>
    <x v="1036"/>
    <x v="23"/>
  </r>
  <r>
    <x v="645"/>
    <x v="624"/>
    <x v="1129"/>
    <x v="386"/>
    <x v="386"/>
    <x v="1"/>
    <x v="17"/>
    <x v="17"/>
    <x v="57"/>
    <x v="516"/>
    <x v="107"/>
    <x v="1"/>
    <x v="199"/>
    <x v="624"/>
    <x v="400"/>
    <x v="105"/>
    <x v="351"/>
    <x v="112"/>
    <x v="0"/>
    <x v="1067"/>
    <x v="11"/>
  </r>
  <r>
    <x v="617"/>
    <x v="692"/>
    <x v="1130"/>
    <x v="227"/>
    <x v="227"/>
    <x v="0"/>
    <x v="16"/>
    <x v="16"/>
    <x v="48"/>
    <x v="91"/>
    <x v="521"/>
    <x v="0"/>
    <x v="1491"/>
    <x v="178"/>
    <x v="60"/>
    <x v="158"/>
    <x v="481"/>
    <x v="72"/>
    <x v="0"/>
    <x v="1752"/>
    <x v="25"/>
  </r>
  <r>
    <x v="47"/>
    <x v="635"/>
    <x v="1131"/>
    <x v="1384"/>
    <x v="1384"/>
    <x v="0"/>
    <x v="10"/>
    <x v="10"/>
    <x v="38"/>
    <x v="270"/>
    <x v="454"/>
    <x v="0"/>
    <x v="947"/>
    <x v="335"/>
    <x v="273"/>
    <x v="630"/>
    <x v="138"/>
    <x v="427"/>
    <x v="1"/>
    <x v="547"/>
    <x v="29"/>
  </r>
  <r>
    <x v="145"/>
    <x v="67"/>
    <x v="1132"/>
    <x v="633"/>
    <x v="633"/>
    <x v="0"/>
    <x v="6"/>
    <x v="6"/>
    <x v="47"/>
    <x v="34"/>
    <x v="507"/>
    <x v="0"/>
    <x v="1414"/>
    <x v="236"/>
    <x v="58"/>
    <x v="0"/>
    <x v="465"/>
    <x v="68"/>
    <x v="0"/>
    <x v="1795"/>
    <x v="23"/>
  </r>
  <r>
    <x v="454"/>
    <x v="223"/>
    <x v="1133"/>
    <x v="1192"/>
    <x v="1192"/>
    <x v="1"/>
    <x v="20"/>
    <x v="20"/>
    <x v="63"/>
    <x v="533"/>
    <x v="58"/>
    <x v="1"/>
    <x v="169"/>
    <x v="588"/>
    <x v="406"/>
    <x v="649"/>
    <x v="408"/>
    <x v="270"/>
    <x v="0"/>
    <x v="1616"/>
    <x v="15"/>
  </r>
  <r>
    <x v="6"/>
    <x v="242"/>
    <x v="1134"/>
    <x v="1333"/>
    <x v="1333"/>
    <x v="1"/>
    <x v="12"/>
    <x v="12"/>
    <x v="65"/>
    <x v="485"/>
    <x v="553"/>
    <x v="0"/>
    <x v="1667"/>
    <x v="719"/>
    <x v="1127"/>
    <x v="0"/>
    <x v="507"/>
    <x v="501"/>
    <x v="1"/>
    <x v="783"/>
    <x v="7"/>
  </r>
  <r>
    <x v="341"/>
    <x v="458"/>
    <x v="1135"/>
    <x v="405"/>
    <x v="405"/>
    <x v="1"/>
    <x v="11"/>
    <x v="11"/>
    <x v="40"/>
    <x v="354"/>
    <x v="461"/>
    <x v="0"/>
    <x v="333"/>
    <x v="145"/>
    <x v="593"/>
    <x v="640"/>
    <x v="519"/>
    <x v="743"/>
    <x v="1"/>
    <x v="956"/>
    <x v="23"/>
  </r>
  <r>
    <x v="37"/>
    <x v="245"/>
    <x v="1136"/>
    <x v="890"/>
    <x v="890"/>
    <x v="0"/>
    <x v="5"/>
    <x v="5"/>
    <x v="23"/>
    <x v="397"/>
    <x v="485"/>
    <x v="0"/>
    <x v="906"/>
    <x v="139"/>
    <x v="549"/>
    <x v="0"/>
    <x v="83"/>
    <x v="698"/>
    <x v="1"/>
    <x v="830"/>
    <x v="29"/>
  </r>
  <r>
    <x v="711"/>
    <x v="599"/>
    <x v="1137"/>
    <x v="440"/>
    <x v="440"/>
    <x v="0"/>
    <x v="18"/>
    <x v="18"/>
    <x v="48"/>
    <x v="233"/>
    <x v="114"/>
    <x v="1"/>
    <x v="77"/>
    <x v="472"/>
    <x v="474"/>
    <x v="530"/>
    <x v="424"/>
    <x v="555"/>
    <x v="1"/>
    <x v="1221"/>
    <x v="15"/>
  </r>
  <r>
    <x v="171"/>
    <x v="550"/>
    <x v="1138"/>
    <x v="1499"/>
    <x v="1499"/>
    <x v="1"/>
    <x v="4"/>
    <x v="4"/>
    <x v="44"/>
    <x v="424"/>
    <x v="463"/>
    <x v="0"/>
    <x v="556"/>
    <x v="616"/>
    <x v="1026"/>
    <x v="7"/>
    <x v="565"/>
    <x v="570"/>
    <x v="1"/>
    <x v="418"/>
    <x v="11"/>
  </r>
  <r>
    <x v="0"/>
    <x v="122"/>
    <x v="1083"/>
    <x v="668"/>
    <x v="668"/>
    <x v="0"/>
    <x v="6"/>
    <x v="6"/>
    <x v="39"/>
    <x v="384"/>
    <x v="538"/>
    <x v="0"/>
    <x v="1164"/>
    <x v="583"/>
    <x v="374"/>
    <x v="47"/>
    <x v="407"/>
    <x v="453"/>
    <x v="1"/>
    <x v="733"/>
    <x v="23"/>
  </r>
  <r>
    <x v="397"/>
    <x v="398"/>
    <x v="283"/>
    <x v="1173"/>
    <x v="1173"/>
    <x v="0"/>
    <x v="19"/>
    <x v="19"/>
    <x v="55"/>
    <x v="197"/>
    <x v="400"/>
    <x v="0"/>
    <x v="796"/>
    <x v="577"/>
    <x v="765"/>
    <x v="0"/>
    <x v="501"/>
    <x v="316"/>
    <x v="0"/>
    <x v="355"/>
    <x v="23"/>
  </r>
  <r>
    <x v="402"/>
    <x v="84"/>
    <x v="1141"/>
    <x v="16"/>
    <x v="16"/>
    <x v="0"/>
    <x v="10"/>
    <x v="10"/>
    <x v="49"/>
    <x v="274"/>
    <x v="570"/>
    <x v="0"/>
    <x v="760"/>
    <x v="787"/>
    <x v="445"/>
    <x v="0"/>
    <x v="297"/>
    <x v="210"/>
    <x v="0"/>
    <x v="1553"/>
    <x v="23"/>
  </r>
  <r>
    <x v="41"/>
    <x v="78"/>
    <x v="1394"/>
    <x v="1030"/>
    <x v="1030"/>
    <x v="0"/>
    <x v="2"/>
    <x v="2"/>
    <x v="56"/>
    <x v="210"/>
    <x v="386"/>
    <x v="0"/>
    <x v="1179"/>
    <x v="44"/>
    <x v="979"/>
    <x v="0"/>
    <x v="463"/>
    <x v="359"/>
    <x v="1"/>
    <x v="396"/>
    <x v="23"/>
  </r>
  <r>
    <x v="19"/>
    <x v="460"/>
    <x v="1143"/>
    <x v="179"/>
    <x v="179"/>
    <x v="0"/>
    <x v="5"/>
    <x v="5"/>
    <x v="67"/>
    <x v="135"/>
    <x v="463"/>
    <x v="0"/>
    <x v="1247"/>
    <x v="125"/>
    <x v="238"/>
    <x v="0"/>
    <x v="749"/>
    <x v="114"/>
    <x v="0"/>
    <x v="719"/>
    <x v="46"/>
  </r>
  <r>
    <x v="749"/>
    <x v="320"/>
    <x v="1143"/>
    <x v="756"/>
    <x v="756"/>
    <x v="1"/>
    <x v="21"/>
    <x v="21"/>
    <x v="33"/>
    <x v="252"/>
    <x v="165"/>
    <x v="1"/>
    <x v="320"/>
    <x v="173"/>
    <x v="922"/>
    <x v="2"/>
    <x v="339"/>
    <x v="252"/>
    <x v="0"/>
    <x v="1551"/>
    <x v="25"/>
  </r>
  <r>
    <x v="34"/>
    <x v="361"/>
    <x v="1144"/>
    <x v="491"/>
    <x v="491"/>
    <x v="1"/>
    <x v="6"/>
    <x v="6"/>
    <x v="62"/>
    <x v="322"/>
    <x v="393"/>
    <x v="0"/>
    <x v="1210"/>
    <x v="630"/>
    <x v="674"/>
    <x v="0"/>
    <x v="728"/>
    <x v="579"/>
    <x v="1"/>
    <x v="679"/>
    <x v="7"/>
  </r>
  <r>
    <x v="449"/>
    <x v="772"/>
    <x v="1145"/>
    <x v="640"/>
    <x v="640"/>
    <x v="0"/>
    <x v="11"/>
    <x v="11"/>
    <x v="45"/>
    <x v="216"/>
    <x v="424"/>
    <x v="0"/>
    <x v="1336"/>
    <x v="121"/>
    <x v="355"/>
    <x v="0"/>
    <x v="703"/>
    <x v="575"/>
    <x v="1"/>
    <x v="786"/>
    <x v="25"/>
  </r>
  <r>
    <x v="550"/>
    <x v="312"/>
    <x v="1146"/>
    <x v="1367"/>
    <x v="1367"/>
    <x v="0"/>
    <x v="14"/>
    <x v="14"/>
    <x v="0"/>
    <x v="332"/>
    <x v="142"/>
    <x v="1"/>
    <x v="98"/>
    <x v="85"/>
    <x v="857"/>
    <x v="769"/>
    <x v="326"/>
    <x v="329"/>
    <x v="0"/>
    <x v="1623"/>
    <x v="34"/>
  </r>
  <r>
    <x v="49"/>
    <x v="497"/>
    <x v="1147"/>
    <x v="1252"/>
    <x v="1252"/>
    <x v="0"/>
    <x v="11"/>
    <x v="11"/>
    <x v="52"/>
    <x v="377"/>
    <x v="94"/>
    <x v="1"/>
    <x v="747"/>
    <x v="347"/>
    <x v="601"/>
    <x v="0"/>
    <x v="778"/>
    <x v="223"/>
    <x v="0"/>
    <x v="175"/>
    <x v="30"/>
  </r>
  <r>
    <x v="591"/>
    <x v="85"/>
    <x v="1148"/>
    <x v="678"/>
    <x v="678"/>
    <x v="0"/>
    <x v="15"/>
    <x v="15"/>
    <x v="47"/>
    <x v="305"/>
    <x v="429"/>
    <x v="0"/>
    <x v="296"/>
    <x v="169"/>
    <x v="429"/>
    <x v="422"/>
    <x v="323"/>
    <x v="205"/>
    <x v="0"/>
    <x v="1067"/>
    <x v="33"/>
  </r>
  <r>
    <x v="248"/>
    <x v="164"/>
    <x v="1149"/>
    <x v="1429"/>
    <x v="1429"/>
    <x v="0"/>
    <x v="6"/>
    <x v="6"/>
    <x v="47"/>
    <x v="433"/>
    <x v="114"/>
    <x v="1"/>
    <x v="301"/>
    <x v="244"/>
    <x v="40"/>
    <x v="0"/>
    <x v="189"/>
    <x v="213"/>
    <x v="0"/>
    <x v="1227"/>
    <x v="30"/>
  </r>
  <r>
    <x v="182"/>
    <x v="131"/>
    <x v="1150"/>
    <x v="475"/>
    <x v="475"/>
    <x v="1"/>
    <x v="4"/>
    <x v="4"/>
    <x v="53"/>
    <x v="389"/>
    <x v="367"/>
    <x v="0"/>
    <x v="739"/>
    <x v="610"/>
    <x v="447"/>
    <x v="0"/>
    <x v="476"/>
    <x v="649"/>
    <x v="1"/>
    <x v="130"/>
    <x v="11"/>
  </r>
  <r>
    <x v="792"/>
    <x v="449"/>
    <x v="1151"/>
    <x v="0"/>
    <x v="0"/>
    <x v="0"/>
    <x v="21"/>
    <x v="21"/>
    <x v="62"/>
    <x v="529"/>
    <x v="143"/>
    <x v="1"/>
    <x v="558"/>
    <x v="592"/>
    <x v="662"/>
    <x v="58"/>
    <x v="405"/>
    <x v="348"/>
    <x v="1"/>
    <x v="1378"/>
    <x v="11"/>
  </r>
  <r>
    <x v="792"/>
    <x v="449"/>
    <x v="1152"/>
    <x v="27"/>
    <x v="27"/>
    <x v="0"/>
    <x v="21"/>
    <x v="21"/>
    <x v="65"/>
    <x v="505"/>
    <x v="221"/>
    <x v="1"/>
    <x v="745"/>
    <x v="567"/>
    <x v="637"/>
    <x v="0"/>
    <x v="417"/>
    <x v="472"/>
    <x v="1"/>
    <x v="1383"/>
    <x v="11"/>
  </r>
  <r>
    <x v="441"/>
    <x v="745"/>
    <x v="1153"/>
    <x v="731"/>
    <x v="731"/>
    <x v="0"/>
    <x v="11"/>
    <x v="11"/>
    <x v="43"/>
    <x v="181"/>
    <x v="552"/>
    <x v="0"/>
    <x v="877"/>
    <x v="183"/>
    <x v="93"/>
    <x v="712"/>
    <x v="576"/>
    <x v="397"/>
    <x v="1"/>
    <x v="1447"/>
    <x v="48"/>
  </r>
  <r>
    <x v="119"/>
    <x v="801"/>
    <x v="1154"/>
    <x v="1543"/>
    <x v="1543"/>
    <x v="0"/>
    <x v="12"/>
    <x v="12"/>
    <x v="59"/>
    <x v="415"/>
    <x v="346"/>
    <x v="0"/>
    <x v="659"/>
    <x v="79"/>
    <x v="934"/>
    <x v="212"/>
    <x v="643"/>
    <x v="183"/>
    <x v="0"/>
    <x v="1274"/>
    <x v="15"/>
  </r>
  <r>
    <x v="825"/>
    <x v="60"/>
    <x v="1155"/>
    <x v="24"/>
    <x v="24"/>
    <x v="0"/>
    <x v="21"/>
    <x v="21"/>
    <x v="43"/>
    <x v="371"/>
    <x v="410"/>
    <x v="0"/>
    <x v="484"/>
    <x v="523"/>
    <x v="746"/>
    <x v="0"/>
    <x v="85"/>
    <x v="240"/>
    <x v="0"/>
    <x v="1068"/>
    <x v="52"/>
  </r>
  <r>
    <x v="243"/>
    <x v="464"/>
    <x v="1156"/>
    <x v="197"/>
    <x v="197"/>
    <x v="1"/>
    <x v="6"/>
    <x v="6"/>
    <x v="47"/>
    <x v="394"/>
    <x v="425"/>
    <x v="0"/>
    <x v="1196"/>
    <x v="679"/>
    <x v="817"/>
    <x v="479"/>
    <x v="537"/>
    <x v="276"/>
    <x v="0"/>
    <x v="335"/>
    <x v="11"/>
  </r>
  <r>
    <x v="606"/>
    <x v="516"/>
    <x v="1114"/>
    <x v="659"/>
    <x v="659"/>
    <x v="0"/>
    <x v="19"/>
    <x v="19"/>
    <x v="55"/>
    <x v="192"/>
    <x v="403"/>
    <x v="0"/>
    <x v="1430"/>
    <x v="672"/>
    <x v="371"/>
    <x v="31"/>
    <x v="767"/>
    <x v="490"/>
    <x v="1"/>
    <x v="278"/>
    <x v="23"/>
  </r>
  <r>
    <x v="99"/>
    <x v="364"/>
    <x v="1158"/>
    <x v="1635"/>
    <x v="1635"/>
    <x v="0"/>
    <x v="13"/>
    <x v="13"/>
    <x v="65"/>
    <x v="365"/>
    <x v="377"/>
    <x v="0"/>
    <x v="870"/>
    <x v="235"/>
    <x v="847"/>
    <x v="464"/>
    <x v="184"/>
    <x v="413"/>
    <x v="1"/>
    <x v="1275"/>
    <x v="15"/>
  </r>
  <r>
    <x v="299"/>
    <x v="618"/>
    <x v="1159"/>
    <x v="1259"/>
    <x v="1259"/>
    <x v="0"/>
    <x v="9"/>
    <x v="9"/>
    <x v="43"/>
    <x v="339"/>
    <x v="454"/>
    <x v="0"/>
    <x v="763"/>
    <x v="646"/>
    <x v="423"/>
    <x v="0"/>
    <x v="452"/>
    <x v="521"/>
    <x v="1"/>
    <x v="292"/>
    <x v="15"/>
  </r>
  <r>
    <x v="88"/>
    <x v="508"/>
    <x v="1160"/>
    <x v="1468"/>
    <x v="1468"/>
    <x v="0"/>
    <x v="7"/>
    <x v="7"/>
    <x v="50"/>
    <x v="31"/>
    <x v="474"/>
    <x v="0"/>
    <x v="1523"/>
    <x v="455"/>
    <x v="778"/>
    <x v="0"/>
    <x v="433"/>
    <x v="137"/>
    <x v="0"/>
    <x v="1796"/>
    <x v="30"/>
  </r>
  <r>
    <x v="479"/>
    <x v="718"/>
    <x v="1161"/>
    <x v="48"/>
    <x v="48"/>
    <x v="0"/>
    <x v="12"/>
    <x v="12"/>
    <x v="49"/>
    <x v="368"/>
    <x v="274"/>
    <x v="0"/>
    <x v="426"/>
    <x v="80"/>
    <x v="379"/>
    <x v="600"/>
    <x v="464"/>
    <x v="469"/>
    <x v="1"/>
    <x v="1077"/>
    <x v="25"/>
  </r>
  <r>
    <x v="212"/>
    <x v="157"/>
    <x v="1162"/>
    <x v="1593"/>
    <x v="1593"/>
    <x v="0"/>
    <x v="5"/>
    <x v="5"/>
    <x v="47"/>
    <x v="400"/>
    <x v="421"/>
    <x v="0"/>
    <x v="623"/>
    <x v="646"/>
    <x v="815"/>
    <x v="0"/>
    <x v="517"/>
    <x v="751"/>
    <x v="1"/>
    <x v="1663"/>
    <x v="15"/>
  </r>
  <r>
    <x v="454"/>
    <x v="223"/>
    <x v="1163"/>
    <x v="93"/>
    <x v="93"/>
    <x v="0"/>
    <x v="18"/>
    <x v="18"/>
    <x v="70"/>
    <x v="425"/>
    <x v="227"/>
    <x v="1"/>
    <x v="728"/>
    <x v="273"/>
    <x v="310"/>
    <x v="548"/>
    <x v="617"/>
    <x v="224"/>
    <x v="0"/>
    <x v="602"/>
    <x v="15"/>
  </r>
  <r>
    <x v="542"/>
    <x v="56"/>
    <x v="1164"/>
    <x v="631"/>
    <x v="631"/>
    <x v="0"/>
    <x v="14"/>
    <x v="14"/>
    <x v="0"/>
    <x v="453"/>
    <x v="277"/>
    <x v="0"/>
    <x v="480"/>
    <x v="282"/>
    <x v="924"/>
    <x v="369"/>
    <x v="353"/>
    <x v="398"/>
    <x v="1"/>
    <x v="869"/>
    <x v="23"/>
  </r>
  <r>
    <x v="728"/>
    <x v="70"/>
    <x v="1325"/>
    <x v="1190"/>
    <x v="1190"/>
    <x v="0"/>
    <x v="19"/>
    <x v="19"/>
    <x v="55"/>
    <x v="437"/>
    <x v="486"/>
    <x v="0"/>
    <x v="1624"/>
    <x v="143"/>
    <x v="774"/>
    <x v="0"/>
    <x v="561"/>
    <x v="614"/>
    <x v="1"/>
    <x v="1515"/>
    <x v="11"/>
  </r>
  <r>
    <x v="691"/>
    <x v="151"/>
    <x v="1126"/>
    <x v="898"/>
    <x v="898"/>
    <x v="0"/>
    <x v="19"/>
    <x v="19"/>
    <x v="54"/>
    <x v="376"/>
    <x v="268"/>
    <x v="0"/>
    <x v="777"/>
    <x v="599"/>
    <x v="660"/>
    <x v="0"/>
    <x v="410"/>
    <x v="432"/>
    <x v="1"/>
    <x v="755"/>
    <x v="25"/>
  </r>
  <r>
    <x v="599"/>
    <x v="53"/>
    <x v="1167"/>
    <x v="337"/>
    <x v="337"/>
    <x v="0"/>
    <x v="16"/>
    <x v="16"/>
    <x v="65"/>
    <x v="263"/>
    <x v="196"/>
    <x v="1"/>
    <x v="939"/>
    <x v="71"/>
    <x v="819"/>
    <x v="33"/>
    <x v="380"/>
    <x v="27"/>
    <x v="0"/>
    <x v="1072"/>
    <x v="23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40"/>
    <x v="532"/>
    <x v="1169"/>
    <x v="1388"/>
    <x v="1388"/>
    <x v="1"/>
    <x v="3"/>
    <x v="3"/>
    <x v="43"/>
    <x v="257"/>
    <x v="270"/>
    <x v="0"/>
    <x v="135"/>
    <x v="769"/>
    <x v="481"/>
    <x v="83"/>
    <x v="456"/>
    <x v="408"/>
    <x v="1"/>
    <x v="310"/>
    <x v="15"/>
  </r>
  <r>
    <x v="235"/>
    <x v="503"/>
    <x v="1170"/>
    <x v="806"/>
    <x v="806"/>
    <x v="0"/>
    <x v="14"/>
    <x v="14"/>
    <x v="60"/>
    <x v="351"/>
    <x v="421"/>
    <x v="0"/>
    <x v="1469"/>
    <x v="62"/>
    <x v="651"/>
    <x v="0"/>
    <x v="288"/>
    <x v="452"/>
    <x v="1"/>
    <x v="293"/>
    <x v="23"/>
  </r>
  <r>
    <x v="102"/>
    <x v="180"/>
    <x v="1171"/>
    <x v="1746"/>
    <x v="1746"/>
    <x v="0"/>
    <x v="3"/>
    <x v="3"/>
    <x v="62"/>
    <x v="248"/>
    <x v="298"/>
    <x v="0"/>
    <x v="121"/>
    <x v="598"/>
    <x v="431"/>
    <x v="0"/>
    <x v="620"/>
    <x v="320"/>
    <x v="0"/>
    <x v="985"/>
    <x v="9"/>
  </r>
  <r>
    <x v="426"/>
    <x v="381"/>
    <x v="1172"/>
    <x v="480"/>
    <x v="480"/>
    <x v="0"/>
    <x v="9"/>
    <x v="9"/>
    <x v="42"/>
    <x v="401"/>
    <x v="293"/>
    <x v="0"/>
    <x v="1077"/>
    <x v="37"/>
    <x v="769"/>
    <x v="0"/>
    <x v="34"/>
    <x v="524"/>
    <x v="1"/>
    <x v="571"/>
    <x v="30"/>
  </r>
  <r>
    <x v="695"/>
    <x v="504"/>
    <x v="1173"/>
    <x v="149"/>
    <x v="149"/>
    <x v="0"/>
    <x v="21"/>
    <x v="21"/>
    <x v="59"/>
    <x v="294"/>
    <x v="227"/>
    <x v="1"/>
    <x v="1643"/>
    <x v="191"/>
    <x v="695"/>
    <x v="0"/>
    <x v="728"/>
    <x v="288"/>
    <x v="0"/>
    <x v="195"/>
    <x v="25"/>
  </r>
  <r>
    <x v="462"/>
    <x v="386"/>
    <x v="1174"/>
    <x v="729"/>
    <x v="729"/>
    <x v="0"/>
    <x v="11"/>
    <x v="11"/>
    <x v="57"/>
    <x v="326"/>
    <x v="453"/>
    <x v="0"/>
    <x v="1622"/>
    <x v="116"/>
    <x v="691"/>
    <x v="335"/>
    <x v="269"/>
    <x v="589"/>
    <x v="1"/>
    <x v="1537"/>
    <x v="23"/>
  </r>
  <r>
    <x v="559"/>
    <x v="584"/>
    <x v="1175"/>
    <x v="30"/>
    <x v="30"/>
    <x v="0"/>
    <x v="15"/>
    <x v="15"/>
    <x v="52"/>
    <x v="128"/>
    <x v="467"/>
    <x v="0"/>
    <x v="1535"/>
    <x v="409"/>
    <x v="472"/>
    <x v="0"/>
    <x v="730"/>
    <x v="258"/>
    <x v="0"/>
    <x v="1660"/>
    <x v="23"/>
  </r>
  <r>
    <x v="305"/>
    <x v="627"/>
    <x v="1176"/>
    <x v="1770"/>
    <x v="1770"/>
    <x v="0"/>
    <x v="7"/>
    <x v="7"/>
    <x v="48"/>
    <x v="164"/>
    <x v="253"/>
    <x v="1"/>
    <x v="322"/>
    <x v="733"/>
    <x v="1000"/>
    <x v="0"/>
    <x v="626"/>
    <x v="438"/>
    <x v="1"/>
    <x v="1158"/>
    <x v="15"/>
  </r>
  <r>
    <x v="282"/>
    <x v="636"/>
    <x v="1177"/>
    <x v="1131"/>
    <x v="1131"/>
    <x v="0"/>
    <x v="12"/>
    <x v="12"/>
    <x v="59"/>
    <x v="422"/>
    <x v="317"/>
    <x v="0"/>
    <x v="1216"/>
    <x v="174"/>
    <x v="869"/>
    <x v="207"/>
    <x v="183"/>
    <x v="446"/>
    <x v="1"/>
    <x v="1089"/>
    <x v="15"/>
  </r>
  <r>
    <x v="433"/>
    <x v="380"/>
    <x v="1178"/>
    <x v="158"/>
    <x v="158"/>
    <x v="0"/>
    <x v="21"/>
    <x v="21"/>
    <x v="57"/>
    <x v="428"/>
    <x v="114"/>
    <x v="1"/>
    <x v="638"/>
    <x v="418"/>
    <x v="850"/>
    <x v="0"/>
    <x v="152"/>
    <x v="686"/>
    <x v="1"/>
    <x v="319"/>
    <x v="23"/>
  </r>
  <r>
    <x v="622"/>
    <x v="594"/>
    <x v="1179"/>
    <x v="1084"/>
    <x v="1084"/>
    <x v="0"/>
    <x v="16"/>
    <x v="16"/>
    <x v="66"/>
    <x v="201"/>
    <x v="485"/>
    <x v="0"/>
    <x v="1124"/>
    <x v="481"/>
    <x v="828"/>
    <x v="368"/>
    <x v="622"/>
    <x v="168"/>
    <x v="0"/>
    <x v="250"/>
    <x v="31"/>
  </r>
  <r>
    <x v="125"/>
    <x v="246"/>
    <x v="1180"/>
    <x v="783"/>
    <x v="783"/>
    <x v="0"/>
    <x v="2"/>
    <x v="2"/>
    <x v="55"/>
    <x v="73"/>
    <x v="6"/>
    <x v="1"/>
    <x v="5"/>
    <x v="49"/>
    <x v="1193"/>
    <x v="754"/>
    <x v="416"/>
    <x v="92"/>
    <x v="0"/>
    <x v="123"/>
    <x v="53"/>
  </r>
  <r>
    <x v="173"/>
    <x v="57"/>
    <x v="1181"/>
    <x v="190"/>
    <x v="190"/>
    <x v="0"/>
    <x v="6"/>
    <x v="6"/>
    <x v="42"/>
    <x v="236"/>
    <x v="223"/>
    <x v="1"/>
    <x v="741"/>
    <x v="176"/>
    <x v="552"/>
    <x v="37"/>
    <x v="491"/>
    <x v="146"/>
    <x v="0"/>
    <x v="330"/>
    <x v="15"/>
  </r>
  <r>
    <x v="161"/>
    <x v="791"/>
    <x v="1182"/>
    <x v="1177"/>
    <x v="1177"/>
    <x v="1"/>
    <x v="4"/>
    <x v="4"/>
    <x v="50"/>
    <x v="295"/>
    <x v="148"/>
    <x v="1"/>
    <x v="105"/>
    <x v="739"/>
    <x v="963"/>
    <x v="613"/>
    <x v="415"/>
    <x v="601"/>
    <x v="1"/>
    <x v="1642"/>
    <x v="15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717"/>
    <x v="741"/>
    <x v="1184"/>
    <x v="38"/>
    <x v="38"/>
    <x v="0"/>
    <x v="18"/>
    <x v="18"/>
    <x v="0"/>
    <x v="299"/>
    <x v="180"/>
    <x v="1"/>
    <x v="467"/>
    <x v="34"/>
    <x v="1160"/>
    <x v="415"/>
    <x v="331"/>
    <x v="455"/>
    <x v="1"/>
    <x v="39"/>
    <x v="28"/>
  </r>
  <r>
    <x v="831"/>
    <x v="575"/>
    <x v="1185"/>
    <x v="1220"/>
    <x v="1220"/>
    <x v="1"/>
    <x v="22"/>
    <x v="22"/>
    <x v="43"/>
    <x v="468"/>
    <x v="223"/>
    <x v="1"/>
    <x v="1070"/>
    <x v="517"/>
    <x v="1071"/>
    <x v="355"/>
    <x v="408"/>
    <x v="589"/>
    <x v="1"/>
    <x v="568"/>
    <x v="54"/>
  </r>
  <r>
    <x v="57"/>
    <x v="629"/>
    <x v="1186"/>
    <x v="1417"/>
    <x v="1417"/>
    <x v="0"/>
    <x v="1"/>
    <x v="1"/>
    <x v="64"/>
    <x v="105"/>
    <x v="395"/>
    <x v="0"/>
    <x v="1501"/>
    <x v="305"/>
    <x v="189"/>
    <x v="416"/>
    <x v="227"/>
    <x v="354"/>
    <x v="1"/>
    <x v="1007"/>
    <x v="38"/>
  </r>
  <r>
    <x v="830"/>
    <x v="675"/>
    <x v="1187"/>
    <x v="944"/>
    <x v="944"/>
    <x v="1"/>
    <x v="21"/>
    <x v="21"/>
    <x v="57"/>
    <x v="381"/>
    <x v="301"/>
    <x v="0"/>
    <x v="1079"/>
    <x v="777"/>
    <x v="876"/>
    <x v="397"/>
    <x v="414"/>
    <x v="453"/>
    <x v="1"/>
    <x v="1761"/>
    <x v="21"/>
  </r>
  <r>
    <x v="740"/>
    <x v="523"/>
    <x v="1431"/>
    <x v="1721"/>
    <x v="1721"/>
    <x v="1"/>
    <x v="19"/>
    <x v="19"/>
    <x v="54"/>
    <x v="539"/>
    <x v="276"/>
    <x v="0"/>
    <x v="710"/>
    <x v="718"/>
    <x v="1020"/>
    <x v="0"/>
    <x v="408"/>
    <x v="577"/>
    <x v="1"/>
    <x v="1475"/>
    <x v="11"/>
  </r>
  <r>
    <x v="75"/>
    <x v="293"/>
    <x v="1189"/>
    <x v="332"/>
    <x v="332"/>
    <x v="0"/>
    <x v="3"/>
    <x v="3"/>
    <x v="55"/>
    <x v="149"/>
    <x v="102"/>
    <x v="1"/>
    <x v="428"/>
    <x v="193"/>
    <x v="1115"/>
    <x v="0"/>
    <x v="410"/>
    <x v="338"/>
    <x v="0"/>
    <x v="1788"/>
    <x v="30"/>
  </r>
  <r>
    <x v="371"/>
    <x v="130"/>
    <x v="1190"/>
    <x v="971"/>
    <x v="971"/>
    <x v="0"/>
    <x v="16"/>
    <x v="16"/>
    <x v="64"/>
    <x v="281"/>
    <x v="423"/>
    <x v="0"/>
    <x v="1258"/>
    <x v="138"/>
    <x v="948"/>
    <x v="0"/>
    <x v="610"/>
    <x v="265"/>
    <x v="0"/>
    <x v="1217"/>
    <x v="13"/>
  </r>
  <r>
    <x v="190"/>
    <x v="9"/>
    <x v="1191"/>
    <x v="1327"/>
    <x v="1327"/>
    <x v="1"/>
    <x v="7"/>
    <x v="7"/>
    <x v="46"/>
    <x v="406"/>
    <x v="202"/>
    <x v="1"/>
    <x v="600"/>
    <x v="705"/>
    <x v="488"/>
    <x v="0"/>
    <x v="283"/>
    <x v="396"/>
    <x v="1"/>
    <x v="274"/>
    <x v="11"/>
  </r>
  <r>
    <x v="468"/>
    <x v="123"/>
    <x v="20"/>
    <x v="946"/>
    <x v="946"/>
    <x v="0"/>
    <x v="18"/>
    <x v="18"/>
    <x v="64"/>
    <x v="451"/>
    <x v="403"/>
    <x v="0"/>
    <x v="1199"/>
    <x v="467"/>
    <x v="528"/>
    <x v="0"/>
    <x v="457"/>
    <x v="465"/>
    <x v="1"/>
    <x v="672"/>
    <x v="23"/>
  </r>
  <r>
    <x v="454"/>
    <x v="223"/>
    <x v="1193"/>
    <x v="1093"/>
    <x v="1093"/>
    <x v="1"/>
    <x v="12"/>
    <x v="12"/>
    <x v="43"/>
    <x v="25"/>
    <x v="448"/>
    <x v="0"/>
    <x v="727"/>
    <x v="732"/>
    <x v="359"/>
    <x v="0"/>
    <x v="428"/>
    <x v="280"/>
    <x v="0"/>
    <x v="529"/>
    <x v="15"/>
  </r>
  <r>
    <x v="80"/>
    <x v="558"/>
    <x v="1194"/>
    <x v="1403"/>
    <x v="1403"/>
    <x v="1"/>
    <x v="6"/>
    <x v="6"/>
    <x v="47"/>
    <x v="279"/>
    <x v="131"/>
    <x v="1"/>
    <x v="45"/>
    <x v="471"/>
    <x v="289"/>
    <x v="18"/>
    <x v="462"/>
    <x v="309"/>
    <x v="0"/>
    <x v="1709"/>
    <x v="15"/>
  </r>
  <r>
    <x v="261"/>
    <x v="793"/>
    <x v="1195"/>
    <x v="1089"/>
    <x v="1089"/>
    <x v="1"/>
    <x v="6"/>
    <x v="6"/>
    <x v="52"/>
    <x v="460"/>
    <x v="392"/>
    <x v="0"/>
    <x v="783"/>
    <x v="642"/>
    <x v="920"/>
    <x v="0"/>
    <x v="576"/>
    <x v="602"/>
    <x v="1"/>
    <x v="1360"/>
    <x v="15"/>
  </r>
  <r>
    <x v="135"/>
    <x v="83"/>
    <x v="1330"/>
    <x v="761"/>
    <x v="761"/>
    <x v="0"/>
    <x v="3"/>
    <x v="3"/>
    <x v="0"/>
    <x v="348"/>
    <x v="429"/>
    <x v="0"/>
    <x v="1236"/>
    <x v="230"/>
    <x v="309"/>
    <x v="558"/>
    <x v="443"/>
    <x v="660"/>
    <x v="1"/>
    <x v="1133"/>
    <x v="25"/>
  </r>
  <r>
    <x v="190"/>
    <x v="9"/>
    <x v="1197"/>
    <x v="1346"/>
    <x v="1346"/>
    <x v="1"/>
    <x v="5"/>
    <x v="5"/>
    <x v="62"/>
    <x v="347"/>
    <x v="372"/>
    <x v="0"/>
    <x v="1562"/>
    <x v="781"/>
    <x v="629"/>
    <x v="121"/>
    <x v="30"/>
    <x v="664"/>
    <x v="1"/>
    <x v="155"/>
    <x v="11"/>
  </r>
  <r>
    <x v="656"/>
    <x v="830"/>
    <x v="51"/>
    <x v="910"/>
    <x v="910"/>
    <x v="0"/>
    <x v="19"/>
    <x v="19"/>
    <x v="53"/>
    <x v="211"/>
    <x v="382"/>
    <x v="0"/>
    <x v="1022"/>
    <x v="44"/>
    <x v="312"/>
    <x v="0"/>
    <x v="580"/>
    <x v="211"/>
    <x v="0"/>
    <x v="1471"/>
    <x v="25"/>
  </r>
  <r>
    <x v="792"/>
    <x v="449"/>
    <x v="1199"/>
    <x v="1"/>
    <x v="1"/>
    <x v="0"/>
    <x v="21"/>
    <x v="21"/>
    <x v="57"/>
    <x v="338"/>
    <x v="197"/>
    <x v="1"/>
    <x v="545"/>
    <x v="439"/>
    <x v="1043"/>
    <x v="0"/>
    <x v="427"/>
    <x v="319"/>
    <x v="0"/>
    <x v="1609"/>
    <x v="11"/>
  </r>
  <r>
    <x v="469"/>
    <x v="715"/>
    <x v="1200"/>
    <x v="1073"/>
    <x v="1073"/>
    <x v="0"/>
    <x v="15"/>
    <x v="15"/>
    <x v="0"/>
    <x v="368"/>
    <x v="418"/>
    <x v="0"/>
    <x v="293"/>
    <x v="498"/>
    <x v="464"/>
    <x v="0"/>
    <x v="146"/>
    <x v="122"/>
    <x v="0"/>
    <x v="808"/>
    <x v="23"/>
  </r>
  <r>
    <x v="436"/>
    <x v="431"/>
    <x v="1201"/>
    <x v="553"/>
    <x v="553"/>
    <x v="0"/>
    <x v="10"/>
    <x v="10"/>
    <x v="56"/>
    <x v="397"/>
    <x v="293"/>
    <x v="0"/>
    <x v="1311"/>
    <x v="180"/>
    <x v="855"/>
    <x v="0"/>
    <x v="364"/>
    <x v="250"/>
    <x v="0"/>
    <x v="785"/>
    <x v="23"/>
  </r>
  <r>
    <x v="415"/>
    <x v="478"/>
    <x v="1202"/>
    <x v="481"/>
    <x v="481"/>
    <x v="0"/>
    <x v="9"/>
    <x v="9"/>
    <x v="1"/>
    <x v="97"/>
    <x v="448"/>
    <x v="0"/>
    <x v="535"/>
    <x v="681"/>
    <x v="521"/>
    <x v="339"/>
    <x v="752"/>
    <x v="328"/>
    <x v="0"/>
    <x v="1734"/>
    <x v="33"/>
  </r>
  <r>
    <x v="706"/>
    <x v="335"/>
    <x v="1203"/>
    <x v="1424"/>
    <x v="1424"/>
    <x v="0"/>
    <x v="18"/>
    <x v="18"/>
    <x v="37"/>
    <x v="43"/>
    <x v="220"/>
    <x v="1"/>
    <x v="502"/>
    <x v="708"/>
    <x v="899"/>
    <x v="0"/>
    <x v="552"/>
    <x v="312"/>
    <x v="0"/>
    <x v="1811"/>
    <x v="13"/>
  </r>
  <r>
    <x v="179"/>
    <x v="169"/>
    <x v="1204"/>
    <x v="1601"/>
    <x v="1601"/>
    <x v="0"/>
    <x v="13"/>
    <x v="13"/>
    <x v="68"/>
    <x v="99"/>
    <x v="189"/>
    <x v="1"/>
    <x v="383"/>
    <x v="17"/>
    <x v="625"/>
    <x v="350"/>
    <x v="279"/>
    <x v="91"/>
    <x v="0"/>
    <x v="1430"/>
    <x v="47"/>
  </r>
  <r>
    <x v="368"/>
    <x v="268"/>
    <x v="1205"/>
    <x v="548"/>
    <x v="548"/>
    <x v="0"/>
    <x v="9"/>
    <x v="9"/>
    <x v="59"/>
    <x v="279"/>
    <x v="539"/>
    <x v="0"/>
    <x v="1457"/>
    <x v="197"/>
    <x v="895"/>
    <x v="0"/>
    <x v="531"/>
    <x v="674"/>
    <x v="1"/>
    <x v="659"/>
    <x v="46"/>
  </r>
  <r>
    <x v="618"/>
    <x v="733"/>
    <x v="1206"/>
    <x v="852"/>
    <x v="852"/>
    <x v="0"/>
    <x v="19"/>
    <x v="19"/>
    <x v="59"/>
    <x v="288"/>
    <x v="259"/>
    <x v="1"/>
    <x v="468"/>
    <x v="52"/>
    <x v="446"/>
    <x v="34"/>
    <x v="363"/>
    <x v="97"/>
    <x v="0"/>
    <x v="506"/>
    <x v="25"/>
  </r>
  <r>
    <x v="397"/>
    <x v="398"/>
    <x v="1207"/>
    <x v="734"/>
    <x v="734"/>
    <x v="0"/>
    <x v="14"/>
    <x v="14"/>
    <x v="59"/>
    <x v="313"/>
    <x v="518"/>
    <x v="0"/>
    <x v="1091"/>
    <x v="101"/>
    <x v="52"/>
    <x v="0"/>
    <x v="221"/>
    <x v="596"/>
    <x v="1"/>
    <x v="1288"/>
    <x v="23"/>
  </r>
  <r>
    <x v="405"/>
    <x v="528"/>
    <x v="1208"/>
    <x v="425"/>
    <x v="425"/>
    <x v="0"/>
    <x v="11"/>
    <x v="11"/>
    <x v="65"/>
    <x v="287"/>
    <x v="299"/>
    <x v="0"/>
    <x v="1080"/>
    <x v="162"/>
    <x v="104"/>
    <x v="375"/>
    <x v="319"/>
    <x v="315"/>
    <x v="0"/>
    <x v="391"/>
    <x v="23"/>
  </r>
  <r>
    <x v="367"/>
    <x v="688"/>
    <x v="1209"/>
    <x v="1392"/>
    <x v="1392"/>
    <x v="1"/>
    <x v="9"/>
    <x v="9"/>
    <x v="47"/>
    <x v="254"/>
    <x v="310"/>
    <x v="0"/>
    <x v="1090"/>
    <x v="139"/>
    <x v="260"/>
    <x v="0"/>
    <x v="710"/>
    <x v="513"/>
    <x v="1"/>
    <x v="1518"/>
    <x v="11"/>
  </r>
  <r>
    <x v="508"/>
    <x v="466"/>
    <x v="1210"/>
    <x v="1479"/>
    <x v="1479"/>
    <x v="0"/>
    <x v="13"/>
    <x v="13"/>
    <x v="59"/>
    <x v="386"/>
    <x v="337"/>
    <x v="0"/>
    <x v="1238"/>
    <x v="621"/>
    <x v="441"/>
    <x v="0"/>
    <x v="560"/>
    <x v="208"/>
    <x v="0"/>
    <x v="1281"/>
    <x v="13"/>
  </r>
  <r>
    <x v="28"/>
    <x v="217"/>
    <x v="1211"/>
    <x v="1538"/>
    <x v="1538"/>
    <x v="1"/>
    <x v="1"/>
    <x v="1"/>
    <x v="57"/>
    <x v="149"/>
    <x v="531"/>
    <x v="0"/>
    <x v="1495"/>
    <x v="782"/>
    <x v="734"/>
    <x v="0"/>
    <x v="708"/>
    <x v="370"/>
    <x v="1"/>
    <x v="1825"/>
    <x v="11"/>
  </r>
  <r>
    <x v="482"/>
    <x v="773"/>
    <x v="1212"/>
    <x v="1528"/>
    <x v="1528"/>
    <x v="1"/>
    <x v="12"/>
    <x v="12"/>
    <x v="39"/>
    <x v="328"/>
    <x v="491"/>
    <x v="0"/>
    <x v="1503"/>
    <x v="744"/>
    <x v="490"/>
    <x v="0"/>
    <x v="447"/>
    <x v="372"/>
    <x v="1"/>
    <x v="257"/>
    <x v="13"/>
  </r>
  <r>
    <x v="468"/>
    <x v="123"/>
    <x v="931"/>
    <x v="1092"/>
    <x v="1092"/>
    <x v="0"/>
    <x v="14"/>
    <x v="14"/>
    <x v="71"/>
    <x v="361"/>
    <x v="299"/>
    <x v="0"/>
    <x v="1241"/>
    <x v="173"/>
    <x v="613"/>
    <x v="0"/>
    <x v="599"/>
    <x v="679"/>
    <x v="1"/>
    <x v="1499"/>
    <x v="23"/>
  </r>
  <r>
    <x v="454"/>
    <x v="223"/>
    <x v="1214"/>
    <x v="1699"/>
    <x v="1699"/>
    <x v="1"/>
    <x v="19"/>
    <x v="19"/>
    <x v="0"/>
    <x v="442"/>
    <x v="90"/>
    <x v="1"/>
    <x v="20"/>
    <x v="140"/>
    <x v="983"/>
    <x v="701"/>
    <x v="413"/>
    <x v="219"/>
    <x v="0"/>
    <x v="742"/>
    <x v="15"/>
  </r>
  <r>
    <x v="330"/>
    <x v="725"/>
    <x v="1215"/>
    <x v="425"/>
    <x v="425"/>
    <x v="0"/>
    <x v="8"/>
    <x v="8"/>
    <x v="50"/>
    <x v="19"/>
    <x v="383"/>
    <x v="0"/>
    <x v="1246"/>
    <x v="148"/>
    <x v="881"/>
    <x v="6"/>
    <x v="422"/>
    <x v="226"/>
    <x v="0"/>
    <x v="1755"/>
    <x v="23"/>
  </r>
  <r>
    <x v="235"/>
    <x v="503"/>
    <x v="1216"/>
    <x v="1052"/>
    <x v="1052"/>
    <x v="1"/>
    <x v="14"/>
    <x v="14"/>
    <x v="68"/>
    <x v="378"/>
    <x v="353"/>
    <x v="0"/>
    <x v="1027"/>
    <x v="156"/>
    <x v="425"/>
    <x v="0"/>
    <x v="582"/>
    <x v="384"/>
    <x v="1"/>
    <x v="718"/>
    <x v="23"/>
  </r>
  <r>
    <x v="93"/>
    <x v="1"/>
    <x v="1217"/>
    <x v="272"/>
    <x v="272"/>
    <x v="0"/>
    <x v="3"/>
    <x v="3"/>
    <x v="49"/>
    <x v="312"/>
    <x v="134"/>
    <x v="1"/>
    <x v="515"/>
    <x v="774"/>
    <x v="176"/>
    <x v="0"/>
    <x v="89"/>
    <x v="595"/>
    <x v="1"/>
    <x v="1827"/>
    <x v="15"/>
  </r>
  <r>
    <x v="734"/>
    <x v="625"/>
    <x v="1429"/>
    <x v="1211"/>
    <x v="1211"/>
    <x v="0"/>
    <x v="19"/>
    <x v="19"/>
    <x v="53"/>
    <x v="199"/>
    <x v="346"/>
    <x v="0"/>
    <x v="215"/>
    <x v="755"/>
    <x v="992"/>
    <x v="0"/>
    <x v="451"/>
    <x v="207"/>
    <x v="0"/>
    <x v="1720"/>
    <x v="37"/>
  </r>
  <r>
    <x v="627"/>
    <x v="232"/>
    <x v="1218"/>
    <x v="1491"/>
    <x v="1491"/>
    <x v="0"/>
    <x v="19"/>
    <x v="19"/>
    <x v="71"/>
    <x v="234"/>
    <x v="81"/>
    <x v="1"/>
    <x v="499"/>
    <x v="0"/>
    <x v="901"/>
    <x v="0"/>
    <x v="410"/>
    <x v="63"/>
    <x v="0"/>
    <x v="358"/>
    <x v="23"/>
  </r>
  <r>
    <x v="679"/>
    <x v="379"/>
    <x v="1219"/>
    <x v="326"/>
    <x v="326"/>
    <x v="0"/>
    <x v="18"/>
    <x v="18"/>
    <x v="0"/>
    <x v="377"/>
    <x v="419"/>
    <x v="0"/>
    <x v="829"/>
    <x v="226"/>
    <x v="1063"/>
    <x v="0"/>
    <x v="572"/>
    <x v="540"/>
    <x v="1"/>
    <x v="845"/>
    <x v="25"/>
  </r>
  <r>
    <x v="101"/>
    <x v="565"/>
    <x v="1220"/>
    <x v="1456"/>
    <x v="1456"/>
    <x v="0"/>
    <x v="7"/>
    <x v="7"/>
    <x v="53"/>
    <x v="154"/>
    <x v="476"/>
    <x v="0"/>
    <x v="1378"/>
    <x v="40"/>
    <x v="91"/>
    <x v="402"/>
    <x v="440"/>
    <x v="238"/>
    <x v="0"/>
    <x v="1532"/>
    <x v="46"/>
  </r>
  <r>
    <x v="799"/>
    <x v="100"/>
    <x v="858"/>
    <x v="218"/>
    <x v="218"/>
    <x v="0"/>
    <x v="21"/>
    <x v="21"/>
    <x v="1"/>
    <x v="373"/>
    <x v="461"/>
    <x v="0"/>
    <x v="1253"/>
    <x v="696"/>
    <x v="1027"/>
    <x v="550"/>
    <x v="613"/>
    <x v="417"/>
    <x v="1"/>
    <x v="1324"/>
    <x v="23"/>
  </r>
  <r>
    <x v="800"/>
    <x v="513"/>
    <x v="1222"/>
    <x v="23"/>
    <x v="23"/>
    <x v="0"/>
    <x v="21"/>
    <x v="21"/>
    <x v="61"/>
    <x v="312"/>
    <x v="345"/>
    <x v="0"/>
    <x v="373"/>
    <x v="43"/>
    <x v="571"/>
    <x v="398"/>
    <x v="218"/>
    <x v="464"/>
    <x v="1"/>
    <x v="1035"/>
    <x v="25"/>
  </r>
  <r>
    <x v="280"/>
    <x v="59"/>
    <x v="1223"/>
    <x v="759"/>
    <x v="759"/>
    <x v="0"/>
    <x v="6"/>
    <x v="6"/>
    <x v="42"/>
    <x v="144"/>
    <x v="399"/>
    <x v="0"/>
    <x v="1197"/>
    <x v="451"/>
    <x v="658"/>
    <x v="0"/>
    <x v="414"/>
    <x v="598"/>
    <x v="1"/>
    <x v="1746"/>
    <x v="23"/>
  </r>
  <r>
    <x v="424"/>
    <x v="585"/>
    <x v="1298"/>
    <x v="407"/>
    <x v="407"/>
    <x v="0"/>
    <x v="19"/>
    <x v="19"/>
    <x v="50"/>
    <x v="61"/>
    <x v="472"/>
    <x v="0"/>
    <x v="1419"/>
    <x v="757"/>
    <x v="905"/>
    <x v="0"/>
    <x v="645"/>
    <x v="317"/>
    <x v="0"/>
    <x v="621"/>
    <x v="23"/>
  </r>
  <r>
    <x v="551"/>
    <x v="282"/>
    <x v="1225"/>
    <x v="168"/>
    <x v="168"/>
    <x v="0"/>
    <x v="18"/>
    <x v="18"/>
    <x v="65"/>
    <x v="180"/>
    <x v="161"/>
    <x v="1"/>
    <x v="254"/>
    <x v="559"/>
    <x v="1168"/>
    <x v="297"/>
    <x v="684"/>
    <x v="393"/>
    <x v="1"/>
    <x v="1635"/>
    <x v="15"/>
  </r>
  <r>
    <x v="247"/>
    <x v="248"/>
    <x v="1226"/>
    <x v="31"/>
    <x v="31"/>
    <x v="0"/>
    <x v="10"/>
    <x v="10"/>
    <x v="51"/>
    <x v="240"/>
    <x v="474"/>
    <x v="0"/>
    <x v="972"/>
    <x v="43"/>
    <x v="61"/>
    <x v="766"/>
    <x v="416"/>
    <x v="655"/>
    <x v="1"/>
    <x v="1097"/>
    <x v="25"/>
  </r>
  <r>
    <x v="722"/>
    <x v="14"/>
    <x v="1227"/>
    <x v="89"/>
    <x v="89"/>
    <x v="1"/>
    <x v="19"/>
    <x v="19"/>
    <x v="60"/>
    <x v="430"/>
    <x v="444"/>
    <x v="0"/>
    <x v="762"/>
    <x v="728"/>
    <x v="699"/>
    <x v="0"/>
    <x v="309"/>
    <x v="361"/>
    <x v="1"/>
    <x v="1716"/>
    <x v="11"/>
  </r>
  <r>
    <x v="99"/>
    <x v="364"/>
    <x v="1228"/>
    <x v="612"/>
    <x v="612"/>
    <x v="1"/>
    <x v="3"/>
    <x v="3"/>
    <x v="43"/>
    <x v="409"/>
    <x v="330"/>
    <x v="0"/>
    <x v="1221"/>
    <x v="627"/>
    <x v="506"/>
    <x v="563"/>
    <x v="28"/>
    <x v="707"/>
    <x v="1"/>
    <x v="623"/>
    <x v="15"/>
  </r>
  <r>
    <x v="293"/>
    <x v="188"/>
    <x v="1228"/>
    <x v="1031"/>
    <x v="1031"/>
    <x v="1"/>
    <x v="7"/>
    <x v="7"/>
    <x v="38"/>
    <x v="469"/>
    <x v="259"/>
    <x v="1"/>
    <x v="175"/>
    <x v="591"/>
    <x v="29"/>
    <x v="714"/>
    <x v="540"/>
    <x v="423"/>
    <x v="1"/>
    <x v="354"/>
    <x v="11"/>
  </r>
  <r>
    <x v="437"/>
    <x v="189"/>
    <x v="1229"/>
    <x v="401"/>
    <x v="401"/>
    <x v="0"/>
    <x v="14"/>
    <x v="14"/>
    <x v="55"/>
    <x v="326"/>
    <x v="521"/>
    <x v="0"/>
    <x v="1660"/>
    <x v="270"/>
    <x v="911"/>
    <x v="0"/>
    <x v="619"/>
    <x v="625"/>
    <x v="1"/>
    <x v="1296"/>
    <x v="13"/>
  </r>
  <r>
    <x v="740"/>
    <x v="523"/>
    <x v="1552"/>
    <x v="1256"/>
    <x v="1256"/>
    <x v="1"/>
    <x v="19"/>
    <x v="19"/>
    <x v="50"/>
    <x v="494"/>
    <x v="288"/>
    <x v="0"/>
    <x v="1383"/>
    <x v="676"/>
    <x v="970"/>
    <x v="0"/>
    <x v="462"/>
    <x v="329"/>
    <x v="0"/>
    <x v="1423"/>
    <x v="11"/>
  </r>
  <r>
    <x v="744"/>
    <x v="135"/>
    <x v="1231"/>
    <x v="398"/>
    <x v="398"/>
    <x v="1"/>
    <x v="21"/>
    <x v="21"/>
    <x v="59"/>
    <x v="382"/>
    <x v="175"/>
    <x v="1"/>
    <x v="392"/>
    <x v="476"/>
    <x v="694"/>
    <x v="0"/>
    <x v="278"/>
    <x v="483"/>
    <x v="1"/>
    <x v="1351"/>
    <x v="11"/>
  </r>
  <r>
    <x v="762"/>
    <x v="634"/>
    <x v="1232"/>
    <x v="101"/>
    <x v="101"/>
    <x v="1"/>
    <x v="20"/>
    <x v="20"/>
    <x v="58"/>
    <x v="504"/>
    <x v="133"/>
    <x v="1"/>
    <x v="440"/>
    <x v="608"/>
    <x v="938"/>
    <x v="0"/>
    <x v="412"/>
    <x v="55"/>
    <x v="0"/>
    <x v="343"/>
    <x v="11"/>
  </r>
  <r>
    <x v="350"/>
    <x v="554"/>
    <x v="1233"/>
    <x v="452"/>
    <x v="452"/>
    <x v="0"/>
    <x v="10"/>
    <x v="10"/>
    <x v="48"/>
    <x v="361"/>
    <x v="481"/>
    <x v="0"/>
    <x v="1342"/>
    <x v="135"/>
    <x v="939"/>
    <x v="0"/>
    <x v="412"/>
    <x v="515"/>
    <x v="1"/>
    <x v="720"/>
    <x v="23"/>
  </r>
  <r>
    <x v="554"/>
    <x v="637"/>
    <x v="103"/>
    <x v="707"/>
    <x v="707"/>
    <x v="0"/>
    <x v="19"/>
    <x v="19"/>
    <x v="49"/>
    <x v="263"/>
    <x v="397"/>
    <x v="0"/>
    <x v="1318"/>
    <x v="324"/>
    <x v="542"/>
    <x v="0"/>
    <x v="408"/>
    <x v="178"/>
    <x v="0"/>
    <x v="670"/>
    <x v="13"/>
  </r>
  <r>
    <x v="436"/>
    <x v="431"/>
    <x v="1235"/>
    <x v="1162"/>
    <x v="1162"/>
    <x v="0"/>
    <x v="10"/>
    <x v="10"/>
    <x v="63"/>
    <x v="481"/>
    <x v="406"/>
    <x v="0"/>
    <x v="1095"/>
    <x v="462"/>
    <x v="860"/>
    <x v="32"/>
    <x v="425"/>
    <x v="612"/>
    <x v="1"/>
    <x v="865"/>
    <x v="23"/>
  </r>
  <r>
    <x v="491"/>
    <x v="73"/>
    <x v="993"/>
    <x v="318"/>
    <x v="318"/>
    <x v="0"/>
    <x v="12"/>
    <x v="12"/>
    <x v="51"/>
    <x v="184"/>
    <x v="532"/>
    <x v="0"/>
    <x v="1261"/>
    <x v="779"/>
    <x v="374"/>
    <x v="0"/>
    <x v="633"/>
    <x v="612"/>
    <x v="1"/>
    <x v="119"/>
    <x v="11"/>
  </r>
  <r>
    <x v="282"/>
    <x v="636"/>
    <x v="1237"/>
    <x v="1319"/>
    <x v="1319"/>
    <x v="0"/>
    <x v="7"/>
    <x v="7"/>
    <x v="63"/>
    <x v="413"/>
    <x v="242"/>
    <x v="1"/>
    <x v="136"/>
    <x v="624"/>
    <x v="19"/>
    <x v="492"/>
    <x v="405"/>
    <x v="340"/>
    <x v="0"/>
    <x v="474"/>
    <x v="15"/>
  </r>
  <r>
    <x v="809"/>
    <x v="616"/>
    <x v="1238"/>
    <x v="57"/>
    <x v="57"/>
    <x v="1"/>
    <x v="21"/>
    <x v="21"/>
    <x v="64"/>
    <x v="406"/>
    <x v="241"/>
    <x v="1"/>
    <x v="303"/>
    <x v="827"/>
    <x v="888"/>
    <x v="0"/>
    <x v="190"/>
    <x v="129"/>
    <x v="0"/>
    <x v="1702"/>
    <x v="7"/>
  </r>
  <r>
    <x v="454"/>
    <x v="223"/>
    <x v="1239"/>
    <x v="643"/>
    <x v="643"/>
    <x v="1"/>
    <x v="18"/>
    <x v="18"/>
    <x v="49"/>
    <x v="348"/>
    <x v="89"/>
    <x v="1"/>
    <x v="44"/>
    <x v="588"/>
    <x v="929"/>
    <x v="55"/>
    <x v="409"/>
    <x v="2"/>
    <x v="0"/>
    <x v="1340"/>
    <x v="15"/>
  </r>
  <r>
    <x v="686"/>
    <x v="289"/>
    <x v="583"/>
    <x v="938"/>
    <x v="938"/>
    <x v="0"/>
    <x v="19"/>
    <x v="19"/>
    <x v="49"/>
    <x v="207"/>
    <x v="378"/>
    <x v="0"/>
    <x v="867"/>
    <x v="692"/>
    <x v="284"/>
    <x v="0"/>
    <x v="107"/>
    <x v="380"/>
    <x v="1"/>
    <x v="1701"/>
    <x v="11"/>
  </r>
  <r>
    <x v="381"/>
    <x v="328"/>
    <x v="1241"/>
    <x v="1470"/>
    <x v="1470"/>
    <x v="0"/>
    <x v="8"/>
    <x v="8"/>
    <x v="38"/>
    <x v="358"/>
    <x v="246"/>
    <x v="1"/>
    <x v="357"/>
    <x v="681"/>
    <x v="186"/>
    <x v="0"/>
    <x v="637"/>
    <x v="478"/>
    <x v="1"/>
    <x v="1505"/>
    <x v="11"/>
  </r>
  <r>
    <x v="828"/>
    <x v="657"/>
    <x v="1242"/>
    <x v="95"/>
    <x v="95"/>
    <x v="0"/>
    <x v="21"/>
    <x v="21"/>
    <x v="55"/>
    <x v="225"/>
    <x v="244"/>
    <x v="1"/>
    <x v="1350"/>
    <x v="587"/>
    <x v="747"/>
    <x v="0"/>
    <x v="409"/>
    <x v="484"/>
    <x v="1"/>
    <x v="684"/>
    <x v="25"/>
  </r>
  <r>
    <x v="376"/>
    <x v="583"/>
    <x v="1243"/>
    <x v="956"/>
    <x v="956"/>
    <x v="1"/>
    <x v="16"/>
    <x v="16"/>
    <x v="41"/>
    <x v="368"/>
    <x v="277"/>
    <x v="0"/>
    <x v="714"/>
    <x v="174"/>
    <x v="720"/>
    <x v="0"/>
    <x v="510"/>
    <x v="533"/>
    <x v="1"/>
    <x v="423"/>
    <x v="15"/>
  </r>
  <r>
    <x v="525"/>
    <x v="566"/>
    <x v="1244"/>
    <x v="488"/>
    <x v="488"/>
    <x v="1"/>
    <x v="14"/>
    <x v="14"/>
    <x v="50"/>
    <x v="363"/>
    <x v="458"/>
    <x v="0"/>
    <x v="1404"/>
    <x v="333"/>
    <x v="570"/>
    <x v="113"/>
    <x v="2"/>
    <x v="428"/>
    <x v="1"/>
    <x v="1076"/>
    <x v="11"/>
  </r>
  <r>
    <x v="596"/>
    <x v="342"/>
    <x v="1245"/>
    <x v="1237"/>
    <x v="1237"/>
    <x v="1"/>
    <x v="15"/>
    <x v="15"/>
    <x v="0"/>
    <x v="302"/>
    <x v="213"/>
    <x v="1"/>
    <x v="317"/>
    <x v="676"/>
    <x v="1029"/>
    <x v="417"/>
    <x v="689"/>
    <x v="310"/>
    <x v="0"/>
    <x v="507"/>
    <x v="7"/>
  </r>
  <r>
    <x v="692"/>
    <x v="224"/>
    <x v="1108"/>
    <x v="623"/>
    <x v="623"/>
    <x v="0"/>
    <x v="19"/>
    <x v="19"/>
    <x v="47"/>
    <x v="398"/>
    <x v="321"/>
    <x v="0"/>
    <x v="872"/>
    <x v="394"/>
    <x v="170"/>
    <x v="210"/>
    <x v="418"/>
    <x v="429"/>
    <x v="1"/>
    <x v="806"/>
    <x v="23"/>
  </r>
  <r>
    <x v="744"/>
    <x v="135"/>
    <x v="201"/>
    <x v="908"/>
    <x v="908"/>
    <x v="1"/>
    <x v="19"/>
    <x v="19"/>
    <x v="45"/>
    <x v="546"/>
    <x v="324"/>
    <x v="0"/>
    <x v="669"/>
    <x v="574"/>
    <x v="712"/>
    <x v="0"/>
    <x v="632"/>
    <x v="303"/>
    <x v="0"/>
    <x v="1071"/>
    <x v="11"/>
  </r>
  <r>
    <x v="613"/>
    <x v="457"/>
    <x v="1248"/>
    <x v="222"/>
    <x v="222"/>
    <x v="0"/>
    <x v="16"/>
    <x v="16"/>
    <x v="52"/>
    <x v="395"/>
    <x v="486"/>
    <x v="0"/>
    <x v="809"/>
    <x v="10"/>
    <x v="450"/>
    <x v="173"/>
    <x v="742"/>
    <x v="605"/>
    <x v="1"/>
    <x v="994"/>
    <x v="33"/>
  </r>
  <r>
    <x v="747"/>
    <x v="490"/>
    <x v="1249"/>
    <x v="284"/>
    <x v="284"/>
    <x v="1"/>
    <x v="19"/>
    <x v="19"/>
    <x v="47"/>
    <x v="338"/>
    <x v="468"/>
    <x v="0"/>
    <x v="1084"/>
    <x v="39"/>
    <x v="888"/>
    <x v="719"/>
    <x v="408"/>
    <x v="562"/>
    <x v="1"/>
    <x v="950"/>
    <x v="47"/>
  </r>
  <r>
    <x v="447"/>
    <x v="406"/>
    <x v="1250"/>
    <x v="1276"/>
    <x v="1276"/>
    <x v="0"/>
    <x v="12"/>
    <x v="12"/>
    <x v="53"/>
    <x v="301"/>
    <x v="470"/>
    <x v="0"/>
    <x v="953"/>
    <x v="705"/>
    <x v="939"/>
    <x v="0"/>
    <x v="293"/>
    <x v="711"/>
    <x v="1"/>
    <x v="1644"/>
    <x v="30"/>
  </r>
  <r>
    <x v="213"/>
    <x v="799"/>
    <x v="1251"/>
    <x v="422"/>
    <x v="422"/>
    <x v="0"/>
    <x v="5"/>
    <x v="5"/>
    <x v="45"/>
    <x v="188"/>
    <x v="375"/>
    <x v="0"/>
    <x v="37"/>
    <x v="172"/>
    <x v="947"/>
    <x v="0"/>
    <x v="211"/>
    <x v="351"/>
    <x v="1"/>
    <x v="1445"/>
    <x v="25"/>
  </r>
  <r>
    <x v="514"/>
    <x v="367"/>
    <x v="1252"/>
    <x v="886"/>
    <x v="886"/>
    <x v="0"/>
    <x v="13"/>
    <x v="13"/>
    <x v="59"/>
    <x v="271"/>
    <x v="431"/>
    <x v="0"/>
    <x v="1322"/>
    <x v="645"/>
    <x v="499"/>
    <x v="107"/>
    <x v="567"/>
    <x v="501"/>
    <x v="1"/>
    <x v="1753"/>
    <x v="11"/>
  </r>
  <r>
    <x v="539"/>
    <x v="499"/>
    <x v="1253"/>
    <x v="840"/>
    <x v="840"/>
    <x v="0"/>
    <x v="14"/>
    <x v="14"/>
    <x v="64"/>
    <x v="295"/>
    <x v="290"/>
    <x v="0"/>
    <x v="1611"/>
    <x v="84"/>
    <x v="799"/>
    <x v="0"/>
    <x v="348"/>
    <x v="274"/>
    <x v="0"/>
    <x v="1190"/>
    <x v="25"/>
  </r>
  <r>
    <x v="179"/>
    <x v="169"/>
    <x v="1254"/>
    <x v="1204"/>
    <x v="1204"/>
    <x v="0"/>
    <x v="13"/>
    <x v="13"/>
    <x v="52"/>
    <x v="74"/>
    <x v="291"/>
    <x v="0"/>
    <x v="527"/>
    <x v="94"/>
    <x v="212"/>
    <x v="656"/>
    <x v="582"/>
    <x v="110"/>
    <x v="0"/>
    <x v="163"/>
    <x v="47"/>
  </r>
  <r>
    <x v="599"/>
    <x v="53"/>
    <x v="1255"/>
    <x v="289"/>
    <x v="289"/>
    <x v="0"/>
    <x v="16"/>
    <x v="16"/>
    <x v="59"/>
    <x v="295"/>
    <x v="405"/>
    <x v="0"/>
    <x v="812"/>
    <x v="618"/>
    <x v="429"/>
    <x v="196"/>
    <x v="463"/>
    <x v="459"/>
    <x v="1"/>
    <x v="590"/>
    <x v="23"/>
  </r>
  <r>
    <x v="82"/>
    <x v="559"/>
    <x v="1256"/>
    <x v="1254"/>
    <x v="1254"/>
    <x v="0"/>
    <x v="8"/>
    <x v="8"/>
    <x v="68"/>
    <x v="441"/>
    <x v="567"/>
    <x v="0"/>
    <x v="564"/>
    <x v="244"/>
    <x v="656"/>
    <x v="321"/>
    <x v="458"/>
    <x v="680"/>
    <x v="1"/>
    <x v="781"/>
    <x v="14"/>
  </r>
  <r>
    <x v="48"/>
    <x v="347"/>
    <x v="1257"/>
    <x v="1317"/>
    <x v="1317"/>
    <x v="0"/>
    <x v="2"/>
    <x v="2"/>
    <x v="42"/>
    <x v="386"/>
    <x v="174"/>
    <x v="1"/>
    <x v="785"/>
    <x v="504"/>
    <x v="876"/>
    <x v="0"/>
    <x v="8"/>
    <x v="479"/>
    <x v="1"/>
    <x v="1202"/>
    <x v="15"/>
  </r>
  <r>
    <x v="248"/>
    <x v="164"/>
    <x v="1257"/>
    <x v="1524"/>
    <x v="1524"/>
    <x v="0"/>
    <x v="8"/>
    <x v="8"/>
    <x v="42"/>
    <x v="332"/>
    <x v="231"/>
    <x v="1"/>
    <x v="681"/>
    <x v="167"/>
    <x v="1082"/>
    <x v="106"/>
    <x v="268"/>
    <x v="286"/>
    <x v="0"/>
    <x v="1008"/>
    <x v="30"/>
  </r>
  <r>
    <x v="413"/>
    <x v="604"/>
    <x v="1258"/>
    <x v="1735"/>
    <x v="1735"/>
    <x v="0"/>
    <x v="10"/>
    <x v="10"/>
    <x v="43"/>
    <x v="37"/>
    <x v="563"/>
    <x v="0"/>
    <x v="1255"/>
    <x v="484"/>
    <x v="38"/>
    <x v="722"/>
    <x v="494"/>
    <x v="93"/>
    <x v="0"/>
    <x v="1745"/>
    <x v="2"/>
  </r>
  <r>
    <x v="247"/>
    <x v="248"/>
    <x v="1259"/>
    <x v="358"/>
    <x v="358"/>
    <x v="0"/>
    <x v="9"/>
    <x v="9"/>
    <x v="0"/>
    <x v="175"/>
    <x v="537"/>
    <x v="0"/>
    <x v="1119"/>
    <x v="261"/>
    <x v="99"/>
    <x v="679"/>
    <x v="344"/>
    <x v="181"/>
    <x v="0"/>
    <x v="1048"/>
    <x v="25"/>
  </r>
  <r>
    <x v="745"/>
    <x v="617"/>
    <x v="1260"/>
    <x v="850"/>
    <x v="850"/>
    <x v="1"/>
    <x v="20"/>
    <x v="20"/>
    <x v="63"/>
    <x v="385"/>
    <x v="167"/>
    <x v="1"/>
    <x v="167"/>
    <x v="570"/>
    <x v="1136"/>
    <x v="0"/>
    <x v="415"/>
    <x v="304"/>
    <x v="0"/>
    <x v="1461"/>
    <x v="7"/>
  </r>
  <r>
    <x v="212"/>
    <x v="157"/>
    <x v="1261"/>
    <x v="1110"/>
    <x v="1110"/>
    <x v="1"/>
    <x v="8"/>
    <x v="8"/>
    <x v="48"/>
    <x v="419"/>
    <x v="125"/>
    <x v="1"/>
    <x v="403"/>
    <x v="736"/>
    <x v="769"/>
    <x v="0"/>
    <x v="424"/>
    <x v="424"/>
    <x v="1"/>
    <x v="85"/>
    <x v="15"/>
  </r>
  <r>
    <x v="733"/>
    <x v="93"/>
    <x v="1004"/>
    <x v="183"/>
    <x v="183"/>
    <x v="0"/>
    <x v="19"/>
    <x v="19"/>
    <x v="48"/>
    <x v="527"/>
    <x v="484"/>
    <x v="0"/>
    <x v="1276"/>
    <x v="695"/>
    <x v="853"/>
    <x v="348"/>
    <x v="411"/>
    <x v="425"/>
    <x v="1"/>
    <x v="1369"/>
    <x v="25"/>
  </r>
  <r>
    <x v="527"/>
    <x v="280"/>
    <x v="1263"/>
    <x v="1209"/>
    <x v="1209"/>
    <x v="0"/>
    <x v="13"/>
    <x v="13"/>
    <x v="68"/>
    <x v="368"/>
    <x v="311"/>
    <x v="0"/>
    <x v="649"/>
    <x v="40"/>
    <x v="884"/>
    <x v="711"/>
    <x v="377"/>
    <x v="754"/>
    <x v="1"/>
    <x v="1188"/>
    <x v="47"/>
  </r>
  <r>
    <x v="71"/>
    <x v="39"/>
    <x v="1264"/>
    <x v="1535"/>
    <x v="1535"/>
    <x v="0"/>
    <x v="2"/>
    <x v="2"/>
    <x v="48"/>
    <x v="266"/>
    <x v="265"/>
    <x v="0"/>
    <x v="81"/>
    <x v="3"/>
    <x v="617"/>
    <x v="459"/>
    <x v="188"/>
    <x v="256"/>
    <x v="0"/>
    <x v="544"/>
    <x v="23"/>
  </r>
  <r>
    <x v="796"/>
    <x v="545"/>
    <x v="1265"/>
    <x v="262"/>
    <x v="262"/>
    <x v="1"/>
    <x v="21"/>
    <x v="21"/>
    <x v="61"/>
    <x v="317"/>
    <x v="166"/>
    <x v="1"/>
    <x v="749"/>
    <x v="592"/>
    <x v="912"/>
    <x v="0"/>
    <x v="631"/>
    <x v="41"/>
    <x v="0"/>
    <x v="1826"/>
    <x v="11"/>
  </r>
  <r>
    <x v="118"/>
    <x v="175"/>
    <x v="1266"/>
    <x v="1722"/>
    <x v="1722"/>
    <x v="1"/>
    <x v="3"/>
    <x v="3"/>
    <x v="54"/>
    <x v="414"/>
    <x v="236"/>
    <x v="1"/>
    <x v="619"/>
    <x v="625"/>
    <x v="435"/>
    <x v="266"/>
    <x v="584"/>
    <x v="581"/>
    <x v="1"/>
    <x v="1082"/>
    <x v="18"/>
  </r>
  <r>
    <x v="155"/>
    <x v="716"/>
    <x v="1267"/>
    <x v="775"/>
    <x v="775"/>
    <x v="0"/>
    <x v="7"/>
    <x v="7"/>
    <x v="50"/>
    <x v="558"/>
    <x v="261"/>
    <x v="1"/>
    <x v="906"/>
    <x v="334"/>
    <x v="610"/>
    <x v="0"/>
    <x v="230"/>
    <x v="637"/>
    <x v="1"/>
    <x v="1106"/>
    <x v="30"/>
  </r>
  <r>
    <x v="292"/>
    <x v="362"/>
    <x v="1268"/>
    <x v="1751"/>
    <x v="1751"/>
    <x v="1"/>
    <x v="10"/>
    <x v="10"/>
    <x v="55"/>
    <x v="289"/>
    <x v="370"/>
    <x v="0"/>
    <x v="568"/>
    <x v="99"/>
    <x v="195"/>
    <x v="0"/>
    <x v="320"/>
    <x v="140"/>
    <x v="0"/>
    <x v="1400"/>
    <x v="11"/>
  </r>
  <r>
    <x v="225"/>
    <x v="348"/>
    <x v="1269"/>
    <x v="1307"/>
    <x v="1307"/>
    <x v="1"/>
    <x v="4"/>
    <x v="4"/>
    <x v="41"/>
    <x v="284"/>
    <x v="148"/>
    <x v="1"/>
    <x v="102"/>
    <x v="597"/>
    <x v="1111"/>
    <x v="0"/>
    <x v="488"/>
    <x v="354"/>
    <x v="1"/>
    <x v="61"/>
    <x v="30"/>
  </r>
  <r>
    <x v="320"/>
    <x v="263"/>
    <x v="1270"/>
    <x v="19"/>
    <x v="19"/>
    <x v="0"/>
    <x v="17"/>
    <x v="17"/>
    <x v="25"/>
    <x v="447"/>
    <x v="523"/>
    <x v="0"/>
    <x v="1125"/>
    <x v="688"/>
    <x v="396"/>
    <x v="725"/>
    <x v="302"/>
    <x v="359"/>
    <x v="1"/>
    <x v="1167"/>
    <x v="25"/>
  </r>
  <r>
    <x v="320"/>
    <x v="263"/>
    <x v="1270"/>
    <x v="19"/>
    <x v="19"/>
    <x v="0"/>
    <x v="17"/>
    <x v="17"/>
    <x v="0"/>
    <x v="459"/>
    <x v="531"/>
    <x v="0"/>
    <x v="1145"/>
    <x v="664"/>
    <x v="395"/>
    <x v="733"/>
    <x v="400"/>
    <x v="333"/>
    <x v="0"/>
    <x v="1197"/>
    <x v="25"/>
  </r>
  <r>
    <x v="554"/>
    <x v="637"/>
    <x v="1271"/>
    <x v="995"/>
    <x v="995"/>
    <x v="0"/>
    <x v="14"/>
    <x v="14"/>
    <x v="32"/>
    <x v="238"/>
    <x v="431"/>
    <x v="0"/>
    <x v="1467"/>
    <x v="219"/>
    <x v="483"/>
    <x v="0"/>
    <x v="753"/>
    <x v="214"/>
    <x v="0"/>
    <x v="12"/>
    <x v="13"/>
  </r>
  <r>
    <x v="549"/>
    <x v="795"/>
    <x v="1272"/>
    <x v="447"/>
    <x v="447"/>
    <x v="1"/>
    <x v="14"/>
    <x v="14"/>
    <x v="47"/>
    <x v="546"/>
    <x v="27"/>
    <x v="1"/>
    <x v="27"/>
    <x v="800"/>
    <x v="551"/>
    <x v="249"/>
    <x v="490"/>
    <x v="141"/>
    <x v="0"/>
    <x v="466"/>
    <x v="11"/>
  </r>
  <r>
    <x v="7"/>
    <x v="642"/>
    <x v="1273"/>
    <x v="1094"/>
    <x v="1094"/>
    <x v="0"/>
    <x v="6"/>
    <x v="6"/>
    <x v="19"/>
    <x v="242"/>
    <x v="474"/>
    <x v="0"/>
    <x v="794"/>
    <x v="96"/>
    <x v="191"/>
    <x v="686"/>
    <x v="555"/>
    <x v="662"/>
    <x v="1"/>
    <x v="1282"/>
    <x v="33"/>
  </r>
  <r>
    <x v="570"/>
    <x v="336"/>
    <x v="1274"/>
    <x v="191"/>
    <x v="191"/>
    <x v="0"/>
    <x v="14"/>
    <x v="14"/>
    <x v="63"/>
    <x v="98"/>
    <x v="384"/>
    <x v="0"/>
    <x v="1404"/>
    <x v="348"/>
    <x v="848"/>
    <x v="371"/>
    <x v="758"/>
    <x v="109"/>
    <x v="0"/>
    <x v="1388"/>
    <x v="38"/>
  </r>
  <r>
    <x v="173"/>
    <x v="57"/>
    <x v="1275"/>
    <x v="1695"/>
    <x v="1695"/>
    <x v="0"/>
    <x v="5"/>
    <x v="5"/>
    <x v="36"/>
    <x v="241"/>
    <x v="300"/>
    <x v="0"/>
    <x v="1542"/>
    <x v="84"/>
    <x v="1044"/>
    <x v="44"/>
    <x v="228"/>
    <x v="350"/>
    <x v="1"/>
    <x v="140"/>
    <x v="15"/>
  </r>
  <r>
    <x v="88"/>
    <x v="508"/>
    <x v="1276"/>
    <x v="1588"/>
    <x v="1588"/>
    <x v="0"/>
    <x v="3"/>
    <x v="3"/>
    <x v="18"/>
    <x v="67"/>
    <x v="268"/>
    <x v="0"/>
    <x v="328"/>
    <x v="688"/>
    <x v="932"/>
    <x v="0"/>
    <x v="595"/>
    <x v="373"/>
    <x v="1"/>
    <x v="7"/>
    <x v="30"/>
  </r>
  <r>
    <x v="54"/>
    <x v="592"/>
    <x v="1277"/>
    <x v="444"/>
    <x v="444"/>
    <x v="1"/>
    <x v="12"/>
    <x v="12"/>
    <x v="62"/>
    <x v="335"/>
    <x v="310"/>
    <x v="0"/>
    <x v="951"/>
    <x v="489"/>
    <x v="245"/>
    <x v="0"/>
    <x v="9"/>
    <x v="458"/>
    <x v="1"/>
    <x v="977"/>
    <x v="23"/>
  </r>
  <r>
    <x v="741"/>
    <x v="823"/>
    <x v="1278"/>
    <x v="1586"/>
    <x v="1586"/>
    <x v="1"/>
    <x v="19"/>
    <x v="19"/>
    <x v="53"/>
    <x v="531"/>
    <x v="79"/>
    <x v="1"/>
    <x v="164"/>
    <x v="780"/>
    <x v="451"/>
    <x v="0"/>
    <x v="441"/>
    <x v="370"/>
    <x v="1"/>
    <x v="1571"/>
    <x v="11"/>
  </r>
  <r>
    <x v="803"/>
    <x v="452"/>
    <x v="1279"/>
    <x v="10"/>
    <x v="10"/>
    <x v="1"/>
    <x v="21"/>
    <x v="21"/>
    <x v="64"/>
    <x v="380"/>
    <x v="244"/>
    <x v="1"/>
    <x v="514"/>
    <x v="737"/>
    <x v="439"/>
    <x v="0"/>
    <x v="161"/>
    <x v="102"/>
    <x v="0"/>
    <x v="1776"/>
    <x v="7"/>
  </r>
  <r>
    <x v="91"/>
    <x v="334"/>
    <x v="1280"/>
    <x v="1394"/>
    <x v="1394"/>
    <x v="0"/>
    <x v="8"/>
    <x v="8"/>
    <x v="40"/>
    <x v="296"/>
    <x v="455"/>
    <x v="0"/>
    <x v="138"/>
    <x v="121"/>
    <x v="727"/>
    <x v="663"/>
    <x v="501"/>
    <x v="437"/>
    <x v="1"/>
    <x v="1015"/>
    <x v="2"/>
  </r>
  <r>
    <x v="634"/>
    <x v="165"/>
    <x v="1281"/>
    <x v="984"/>
    <x v="984"/>
    <x v="0"/>
    <x v="16"/>
    <x v="16"/>
    <x v="58"/>
    <x v="432"/>
    <x v="190"/>
    <x v="1"/>
    <x v="385"/>
    <x v="121"/>
    <x v="900"/>
    <x v="50"/>
    <x v="495"/>
    <x v="388"/>
    <x v="1"/>
    <x v="946"/>
    <x v="25"/>
  </r>
  <r>
    <x v="521"/>
    <x v="619"/>
    <x v="1282"/>
    <x v="1138"/>
    <x v="1138"/>
    <x v="1"/>
    <x v="13"/>
    <x v="13"/>
    <x v="25"/>
    <x v="291"/>
    <x v="353"/>
    <x v="0"/>
    <x v="754"/>
    <x v="176"/>
    <x v="1039"/>
    <x v="0"/>
    <x v="522"/>
    <x v="291"/>
    <x v="0"/>
    <x v="548"/>
    <x v="2"/>
  </r>
  <r>
    <x v="561"/>
    <x v="241"/>
    <x v="1283"/>
    <x v="1625"/>
    <x v="1625"/>
    <x v="0"/>
    <x v="14"/>
    <x v="14"/>
    <x v="51"/>
    <x v="265"/>
    <x v="76"/>
    <x v="1"/>
    <x v="298"/>
    <x v="6"/>
    <x v="1190"/>
    <x v="108"/>
    <x v="352"/>
    <x v="199"/>
    <x v="0"/>
    <x v="458"/>
    <x v="30"/>
  </r>
  <r>
    <x v="36"/>
    <x v="65"/>
    <x v="1284"/>
    <x v="1493"/>
    <x v="1493"/>
    <x v="0"/>
    <x v="5"/>
    <x v="5"/>
    <x v="42"/>
    <x v="390"/>
    <x v="41"/>
    <x v="1"/>
    <x v="394"/>
    <x v="410"/>
    <x v="1009"/>
    <x v="134"/>
    <x v="389"/>
    <x v="528"/>
    <x v="1"/>
    <x v="15"/>
    <x v="30"/>
  </r>
  <r>
    <x v="628"/>
    <x v="308"/>
    <x v="1285"/>
    <x v="363"/>
    <x v="363"/>
    <x v="0"/>
    <x v="16"/>
    <x v="16"/>
    <x v="47"/>
    <x v="312"/>
    <x v="354"/>
    <x v="0"/>
    <x v="324"/>
    <x v="619"/>
    <x v="636"/>
    <x v="651"/>
    <x v="621"/>
    <x v="316"/>
    <x v="0"/>
    <x v="963"/>
    <x v="25"/>
  </r>
  <r>
    <x v="94"/>
    <x v="107"/>
    <x v="1168"/>
    <x v="527"/>
    <x v="527"/>
    <x v="0"/>
    <x v="4"/>
    <x v="4"/>
    <x v="46"/>
    <x v="318"/>
    <x v="323"/>
    <x v="0"/>
    <x v="1290"/>
    <x v="104"/>
    <x v="466"/>
    <x v="290"/>
    <x v="636"/>
    <x v="669"/>
    <x v="1"/>
    <x v="351"/>
    <x v="23"/>
  </r>
  <r>
    <x v="631"/>
    <x v="768"/>
    <x v="1287"/>
    <x v="1496"/>
    <x v="1496"/>
    <x v="0"/>
    <x v="15"/>
    <x v="15"/>
    <x v="0"/>
    <x v="288"/>
    <x v="429"/>
    <x v="0"/>
    <x v="1038"/>
    <x v="121"/>
    <x v="77"/>
    <x v="24"/>
    <x v="524"/>
    <x v="384"/>
    <x v="1"/>
    <x v="1059"/>
    <x v="25"/>
  </r>
  <r>
    <x v="753"/>
    <x v="166"/>
    <x v="1288"/>
    <x v="214"/>
    <x v="214"/>
    <x v="0"/>
    <x v="19"/>
    <x v="19"/>
    <x v="0"/>
    <x v="258"/>
    <x v="509"/>
    <x v="0"/>
    <x v="1549"/>
    <x v="443"/>
    <x v="896"/>
    <x v="0"/>
    <x v="387"/>
    <x v="484"/>
    <x v="1"/>
    <x v="316"/>
    <x v="29"/>
  </r>
  <r>
    <x v="316"/>
    <x v="47"/>
    <x v="1289"/>
    <x v="704"/>
    <x v="704"/>
    <x v="0"/>
    <x v="8"/>
    <x v="8"/>
    <x v="57"/>
    <x v="64"/>
    <x v="165"/>
    <x v="1"/>
    <x v="6"/>
    <x v="286"/>
    <x v="641"/>
    <x v="25"/>
    <x v="627"/>
    <x v="602"/>
    <x v="1"/>
    <x v="10"/>
    <x v="37"/>
  </r>
  <r>
    <x v="443"/>
    <x v="21"/>
    <x v="1290"/>
    <x v="1427"/>
    <x v="1427"/>
    <x v="0"/>
    <x v="11"/>
    <x v="11"/>
    <x v="51"/>
    <x v="256"/>
    <x v="523"/>
    <x v="0"/>
    <x v="1534"/>
    <x v="69"/>
    <x v="286"/>
    <x v="337"/>
    <x v="412"/>
    <x v="546"/>
    <x v="1"/>
    <x v="1186"/>
    <x v="25"/>
  </r>
  <r>
    <x v="579"/>
    <x v="674"/>
    <x v="1291"/>
    <x v="847"/>
    <x v="847"/>
    <x v="0"/>
    <x v="15"/>
    <x v="15"/>
    <x v="54"/>
    <x v="125"/>
    <x v="325"/>
    <x v="0"/>
    <x v="1090"/>
    <x v="259"/>
    <x v="732"/>
    <x v="0"/>
    <x v="142"/>
    <x v="280"/>
    <x v="0"/>
    <x v="1220"/>
    <x v="25"/>
  </r>
  <r>
    <x v="288"/>
    <x v="279"/>
    <x v="1292"/>
    <x v="1040"/>
    <x v="1040"/>
    <x v="1"/>
    <x v="7"/>
    <x v="7"/>
    <x v="59"/>
    <x v="323"/>
    <x v="435"/>
    <x v="0"/>
    <x v="1243"/>
    <x v="527"/>
    <x v="664"/>
    <x v="81"/>
    <x v="253"/>
    <x v="692"/>
    <x v="1"/>
    <x v="158"/>
    <x v="18"/>
  </r>
  <r>
    <x v="665"/>
    <x v="817"/>
    <x v="1293"/>
    <x v="300"/>
    <x v="300"/>
    <x v="0"/>
    <x v="17"/>
    <x v="17"/>
    <x v="61"/>
    <x v="165"/>
    <x v="462"/>
    <x v="0"/>
    <x v="599"/>
    <x v="522"/>
    <x v="388"/>
    <x v="692"/>
    <x v="528"/>
    <x v="368"/>
    <x v="1"/>
    <x v="237"/>
    <x v="20"/>
  </r>
  <r>
    <x v="480"/>
    <x v="339"/>
    <x v="1294"/>
    <x v="152"/>
    <x v="152"/>
    <x v="0"/>
    <x v="11"/>
    <x v="11"/>
    <x v="61"/>
    <x v="341"/>
    <x v="352"/>
    <x v="0"/>
    <x v="496"/>
    <x v="407"/>
    <x v="911"/>
    <x v="0"/>
    <x v="472"/>
    <x v="79"/>
    <x v="0"/>
    <x v="254"/>
    <x v="11"/>
  </r>
  <r>
    <x v="233"/>
    <x v="755"/>
    <x v="1295"/>
    <x v="811"/>
    <x v="811"/>
    <x v="0"/>
    <x v="5"/>
    <x v="5"/>
    <x v="60"/>
    <x v="128"/>
    <x v="251"/>
    <x v="1"/>
    <x v="900"/>
    <x v="83"/>
    <x v="63"/>
    <x v="760"/>
    <x v="405"/>
    <x v="597"/>
    <x v="1"/>
    <x v="1630"/>
    <x v="38"/>
  </r>
  <r>
    <x v="754"/>
    <x v="580"/>
    <x v="1296"/>
    <x v="84"/>
    <x v="84"/>
    <x v="1"/>
    <x v="19"/>
    <x v="19"/>
    <x v="66"/>
    <x v="507"/>
    <x v="67"/>
    <x v="1"/>
    <x v="149"/>
    <x v="666"/>
    <x v="887"/>
    <x v="305"/>
    <x v="418"/>
    <x v="190"/>
    <x v="0"/>
    <x v="514"/>
    <x v="11"/>
  </r>
  <r>
    <x v="240"/>
    <x v="316"/>
    <x v="1297"/>
    <x v="1147"/>
    <x v="1147"/>
    <x v="0"/>
    <x v="6"/>
    <x v="6"/>
    <x v="54"/>
    <x v="486"/>
    <x v="355"/>
    <x v="0"/>
    <x v="1606"/>
    <x v="158"/>
    <x v="499"/>
    <x v="232"/>
    <x v="508"/>
    <x v="552"/>
    <x v="1"/>
    <x v="447"/>
    <x v="30"/>
  </r>
  <r>
    <x v="659"/>
    <x v="437"/>
    <x v="304"/>
    <x v="1551"/>
    <x v="1551"/>
    <x v="0"/>
    <x v="19"/>
    <x v="19"/>
    <x v="45"/>
    <x v="218"/>
    <x v="385"/>
    <x v="0"/>
    <x v="1306"/>
    <x v="84"/>
    <x v="108"/>
    <x v="650"/>
    <x v="428"/>
    <x v="211"/>
    <x v="0"/>
    <x v="267"/>
    <x v="23"/>
  </r>
  <r>
    <x v="560"/>
    <x v="432"/>
    <x v="1299"/>
    <x v="1658"/>
    <x v="1658"/>
    <x v="1"/>
    <x v="14"/>
    <x v="14"/>
    <x v="52"/>
    <x v="45"/>
    <x v="287"/>
    <x v="0"/>
    <x v="756"/>
    <x v="87"/>
    <x v="868"/>
    <x v="47"/>
    <x v="662"/>
    <x v="76"/>
    <x v="0"/>
    <x v="309"/>
    <x v="23"/>
  </r>
  <r>
    <x v="727"/>
    <x v="358"/>
    <x v="229"/>
    <x v="540"/>
    <x v="540"/>
    <x v="0"/>
    <x v="19"/>
    <x v="19"/>
    <x v="44"/>
    <x v="357"/>
    <x v="345"/>
    <x v="0"/>
    <x v="756"/>
    <x v="108"/>
    <x v="460"/>
    <x v="396"/>
    <x v="447"/>
    <x v="519"/>
    <x v="1"/>
    <x v="1096"/>
    <x v="13"/>
  </r>
  <r>
    <x v="794"/>
    <x v="630"/>
    <x v="1300"/>
    <x v="35"/>
    <x v="35"/>
    <x v="0"/>
    <x v="21"/>
    <x v="21"/>
    <x v="67"/>
    <x v="507"/>
    <x v="352"/>
    <x v="0"/>
    <x v="1208"/>
    <x v="506"/>
    <x v="915"/>
    <x v="325"/>
    <x v="410"/>
    <x v="696"/>
    <x v="1"/>
    <x v="839"/>
    <x v="25"/>
  </r>
  <r>
    <x v="80"/>
    <x v="558"/>
    <x v="1301"/>
    <x v="1666"/>
    <x v="1666"/>
    <x v="1"/>
    <x v="2"/>
    <x v="2"/>
    <x v="61"/>
    <x v="480"/>
    <x v="301"/>
    <x v="0"/>
    <x v="450"/>
    <x v="218"/>
    <x v="683"/>
    <x v="41"/>
    <x v="541"/>
    <x v="552"/>
    <x v="1"/>
    <x v="561"/>
    <x v="15"/>
  </r>
  <r>
    <x v="319"/>
    <x v="145"/>
    <x v="1302"/>
    <x v="1715"/>
    <x v="1715"/>
    <x v="1"/>
    <x v="7"/>
    <x v="7"/>
    <x v="57"/>
    <x v="420"/>
    <x v="399"/>
    <x v="0"/>
    <x v="1073"/>
    <x v="560"/>
    <x v="926"/>
    <x v="0"/>
    <x v="593"/>
    <x v="654"/>
    <x v="1"/>
    <x v="1489"/>
    <x v="11"/>
  </r>
  <r>
    <x v="457"/>
    <x v="357"/>
    <x v="1303"/>
    <x v="727"/>
    <x v="727"/>
    <x v="0"/>
    <x v="12"/>
    <x v="12"/>
    <x v="52"/>
    <x v="92"/>
    <x v="430"/>
    <x v="0"/>
    <x v="1298"/>
    <x v="611"/>
    <x v="868"/>
    <x v="0"/>
    <x v="433"/>
    <x v="416"/>
    <x v="1"/>
    <x v="201"/>
    <x v="11"/>
  </r>
  <r>
    <x v="401"/>
    <x v="454"/>
    <x v="1304"/>
    <x v="1559"/>
    <x v="1559"/>
    <x v="1"/>
    <x v="12"/>
    <x v="12"/>
    <x v="54"/>
    <x v="47"/>
    <x v="441"/>
    <x v="0"/>
    <x v="1180"/>
    <x v="789"/>
    <x v="588"/>
    <x v="0"/>
    <x v="727"/>
    <x v="308"/>
    <x v="0"/>
    <x v="41"/>
    <x v="11"/>
  </r>
  <r>
    <x v="244"/>
    <x v="24"/>
    <x v="1305"/>
    <x v="1230"/>
    <x v="1230"/>
    <x v="0"/>
    <x v="10"/>
    <x v="10"/>
    <x v="55"/>
    <x v="462"/>
    <x v="457"/>
    <x v="0"/>
    <x v="1231"/>
    <x v="617"/>
    <x v="989"/>
    <x v="0"/>
    <x v="682"/>
    <x v="443"/>
    <x v="1"/>
    <x v="1406"/>
    <x v="23"/>
  </r>
  <r>
    <x v="396"/>
    <x v="273"/>
    <x v="1306"/>
    <x v="474"/>
    <x v="474"/>
    <x v="0"/>
    <x v="11"/>
    <x v="11"/>
    <x v="60"/>
    <x v="355"/>
    <x v="273"/>
    <x v="0"/>
    <x v="360"/>
    <x v="285"/>
    <x v="332"/>
    <x v="0"/>
    <x v="530"/>
    <x v="536"/>
    <x v="1"/>
    <x v="1056"/>
    <x v="11"/>
  </r>
  <r>
    <x v="212"/>
    <x v="157"/>
    <x v="1307"/>
    <x v="1361"/>
    <x v="1361"/>
    <x v="1"/>
    <x v="5"/>
    <x v="5"/>
    <x v="55"/>
    <x v="495"/>
    <x v="350"/>
    <x v="0"/>
    <x v="1309"/>
    <x v="711"/>
    <x v="888"/>
    <x v="0"/>
    <x v="130"/>
    <x v="703"/>
    <x v="1"/>
    <x v="277"/>
    <x v="15"/>
  </r>
  <r>
    <x v="638"/>
    <x v="802"/>
    <x v="1308"/>
    <x v="467"/>
    <x v="467"/>
    <x v="0"/>
    <x v="16"/>
    <x v="16"/>
    <x v="66"/>
    <x v="124"/>
    <x v="332"/>
    <x v="0"/>
    <x v="395"/>
    <x v="123"/>
    <x v="1093"/>
    <x v="0"/>
    <x v="455"/>
    <x v="351"/>
    <x v="1"/>
    <x v="559"/>
    <x v="47"/>
  </r>
  <r>
    <x v="75"/>
    <x v="293"/>
    <x v="1309"/>
    <x v="791"/>
    <x v="791"/>
    <x v="0"/>
    <x v="3"/>
    <x v="3"/>
    <x v="46"/>
    <x v="193"/>
    <x v="103"/>
    <x v="1"/>
    <x v="64"/>
    <x v="12"/>
    <x v="1025"/>
    <x v="196"/>
    <x v="330"/>
    <x v="464"/>
    <x v="1"/>
    <x v="1510"/>
    <x v="30"/>
  </r>
  <r>
    <x v="679"/>
    <x v="379"/>
    <x v="1309"/>
    <x v="293"/>
    <x v="293"/>
    <x v="0"/>
    <x v="20"/>
    <x v="20"/>
    <x v="56"/>
    <x v="322"/>
    <x v="385"/>
    <x v="0"/>
    <x v="1086"/>
    <x v="80"/>
    <x v="1032"/>
    <x v="0"/>
    <x v="505"/>
    <x v="488"/>
    <x v="1"/>
    <x v="660"/>
    <x v="25"/>
  </r>
  <r>
    <x v="55"/>
    <x v="171"/>
    <x v="1310"/>
    <x v="1649"/>
    <x v="1649"/>
    <x v="0"/>
    <x v="4"/>
    <x v="4"/>
    <x v="45"/>
    <x v="63"/>
    <x v="193"/>
    <x v="1"/>
    <x v="246"/>
    <x v="315"/>
    <x v="979"/>
    <x v="0"/>
    <x v="755"/>
    <x v="632"/>
    <x v="1"/>
    <x v="137"/>
    <x v="15"/>
  </r>
  <r>
    <x v="697"/>
    <x v="50"/>
    <x v="295"/>
    <x v="387"/>
    <x v="387"/>
    <x v="0"/>
    <x v="19"/>
    <x v="19"/>
    <x v="43"/>
    <x v="333"/>
    <x v="482"/>
    <x v="0"/>
    <x v="1550"/>
    <x v="500"/>
    <x v="867"/>
    <x v="0"/>
    <x v="454"/>
    <x v="291"/>
    <x v="0"/>
    <x v="661"/>
    <x v="25"/>
  </r>
  <r>
    <x v="478"/>
    <x v="690"/>
    <x v="1312"/>
    <x v="1745"/>
    <x v="1745"/>
    <x v="1"/>
    <x v="11"/>
    <x v="11"/>
    <x v="33"/>
    <x v="437"/>
    <x v="570"/>
    <x v="0"/>
    <x v="1627"/>
    <x v="186"/>
    <x v="31"/>
    <x v="768"/>
    <x v="429"/>
    <x v="110"/>
    <x v="0"/>
    <x v="1098"/>
    <x v="2"/>
  </r>
  <r>
    <x v="397"/>
    <x v="398"/>
    <x v="1313"/>
    <x v="901"/>
    <x v="901"/>
    <x v="0"/>
    <x v="15"/>
    <x v="15"/>
    <x v="59"/>
    <x v="189"/>
    <x v="372"/>
    <x v="0"/>
    <x v="1025"/>
    <x v="160"/>
    <x v="248"/>
    <x v="162"/>
    <x v="639"/>
    <x v="300"/>
    <x v="0"/>
    <x v="1777"/>
    <x v="23"/>
  </r>
  <r>
    <x v="756"/>
    <x v="383"/>
    <x v="1314"/>
    <x v="1219"/>
    <x v="1219"/>
    <x v="1"/>
    <x v="21"/>
    <x v="21"/>
    <x v="39"/>
    <x v="320"/>
    <x v="293"/>
    <x v="0"/>
    <x v="895"/>
    <x v="198"/>
    <x v="1033"/>
    <x v="0"/>
    <x v="457"/>
    <x v="416"/>
    <x v="1"/>
    <x v="1643"/>
    <x v="7"/>
  </r>
  <r>
    <x v="7"/>
    <x v="642"/>
    <x v="1315"/>
    <x v="1450"/>
    <x v="1450"/>
    <x v="0"/>
    <x v="2"/>
    <x v="2"/>
    <x v="54"/>
    <x v="343"/>
    <x v="372"/>
    <x v="0"/>
    <x v="1205"/>
    <x v="70"/>
    <x v="482"/>
    <x v="0"/>
    <x v="701"/>
    <x v="674"/>
    <x v="1"/>
    <x v="593"/>
    <x v="33"/>
  </r>
  <r>
    <x v="15"/>
    <x v="17"/>
    <x v="1316"/>
    <x v="1579"/>
    <x v="1579"/>
    <x v="0"/>
    <x v="21"/>
    <x v="21"/>
    <x v="0"/>
    <x v="276"/>
    <x v="321"/>
    <x v="0"/>
    <x v="866"/>
    <x v="83"/>
    <x v="717"/>
    <x v="574"/>
    <x v="495"/>
    <x v="265"/>
    <x v="0"/>
    <x v="292"/>
    <x v="15"/>
  </r>
  <r>
    <x v="394"/>
    <x v="118"/>
    <x v="1595"/>
    <x v="518"/>
    <x v="518"/>
    <x v="0"/>
    <x v="9"/>
    <x v="9"/>
    <x v="48"/>
    <x v="77"/>
    <x v="540"/>
    <x v="0"/>
    <x v="1301"/>
    <x v="355"/>
    <x v="131"/>
    <x v="0"/>
    <x v="482"/>
    <x v="346"/>
    <x v="1"/>
    <x v="1569"/>
    <x v="23"/>
  </r>
  <r>
    <x v="173"/>
    <x v="57"/>
    <x v="1318"/>
    <x v="569"/>
    <x v="569"/>
    <x v="0"/>
    <x v="5"/>
    <x v="5"/>
    <x v="51"/>
    <x v="345"/>
    <x v="397"/>
    <x v="0"/>
    <x v="1566"/>
    <x v="311"/>
    <x v="1081"/>
    <x v="0"/>
    <x v="464"/>
    <x v="665"/>
    <x v="1"/>
    <x v="346"/>
    <x v="15"/>
  </r>
  <r>
    <x v="175"/>
    <x v="387"/>
    <x v="1319"/>
    <x v="1522"/>
    <x v="1522"/>
    <x v="0"/>
    <x v="4"/>
    <x v="4"/>
    <x v="62"/>
    <x v="517"/>
    <x v="315"/>
    <x v="0"/>
    <x v="582"/>
    <x v="606"/>
    <x v="937"/>
    <x v="425"/>
    <x v="84"/>
    <x v="640"/>
    <x v="1"/>
    <x v="551"/>
    <x v="23"/>
  </r>
  <r>
    <x v="656"/>
    <x v="830"/>
    <x v="752"/>
    <x v="961"/>
    <x v="961"/>
    <x v="0"/>
    <x v="19"/>
    <x v="19"/>
    <x v="43"/>
    <x v="126"/>
    <x v="314"/>
    <x v="0"/>
    <x v="1320"/>
    <x v="262"/>
    <x v="783"/>
    <x v="0"/>
    <x v="283"/>
    <x v="163"/>
    <x v="0"/>
    <x v="949"/>
    <x v="25"/>
  </r>
  <r>
    <x v="473"/>
    <x v="260"/>
    <x v="1321"/>
    <x v="608"/>
    <x v="608"/>
    <x v="0"/>
    <x v="12"/>
    <x v="12"/>
    <x v="47"/>
    <x v="299"/>
    <x v="445"/>
    <x v="0"/>
    <x v="557"/>
    <x v="202"/>
    <x v="919"/>
    <x v="0"/>
    <x v="562"/>
    <x v="213"/>
    <x v="0"/>
    <x v="389"/>
    <x v="11"/>
  </r>
  <r>
    <x v="418"/>
    <x v="765"/>
    <x v="1322"/>
    <x v="856"/>
    <x v="856"/>
    <x v="1"/>
    <x v="11"/>
    <x v="11"/>
    <x v="48"/>
    <x v="307"/>
    <x v="222"/>
    <x v="1"/>
    <x v="1011"/>
    <x v="164"/>
    <x v="864"/>
    <x v="0"/>
    <x v="645"/>
    <x v="461"/>
    <x v="1"/>
    <x v="55"/>
    <x v="15"/>
  </r>
  <r>
    <x v="101"/>
    <x v="565"/>
    <x v="1323"/>
    <x v="1374"/>
    <x v="1374"/>
    <x v="0"/>
    <x v="7"/>
    <x v="7"/>
    <x v="55"/>
    <x v="251"/>
    <x v="510"/>
    <x v="0"/>
    <x v="1567"/>
    <x v="130"/>
    <x v="598"/>
    <x v="0"/>
    <x v="630"/>
    <x v="526"/>
    <x v="1"/>
    <x v="1504"/>
    <x v="46"/>
  </r>
  <r>
    <x v="745"/>
    <x v="617"/>
    <x v="1324"/>
    <x v="777"/>
    <x v="777"/>
    <x v="1"/>
    <x v="20"/>
    <x v="20"/>
    <x v="69"/>
    <x v="220"/>
    <x v="134"/>
    <x v="1"/>
    <x v="548"/>
    <x v="411"/>
    <x v="865"/>
    <x v="333"/>
    <x v="435"/>
    <x v="39"/>
    <x v="0"/>
    <x v="1637"/>
    <x v="7"/>
  </r>
  <r>
    <x v="500"/>
    <x v="671"/>
    <x v="1637"/>
    <x v="593"/>
    <x v="593"/>
    <x v="0"/>
    <x v="19"/>
    <x v="19"/>
    <x v="38"/>
    <x v="105"/>
    <x v="505"/>
    <x v="0"/>
    <x v="1244"/>
    <x v="192"/>
    <x v="56"/>
    <x v="0"/>
    <x v="658"/>
    <x v="392"/>
    <x v="1"/>
    <x v="1765"/>
    <x v="33"/>
  </r>
  <r>
    <x v="511"/>
    <x v="815"/>
    <x v="1326"/>
    <x v="982"/>
    <x v="982"/>
    <x v="1"/>
    <x v="13"/>
    <x v="13"/>
    <x v="49"/>
    <x v="162"/>
    <x v="405"/>
    <x v="0"/>
    <x v="766"/>
    <x v="655"/>
    <x v="631"/>
    <x v="0"/>
    <x v="342"/>
    <x v="438"/>
    <x v="1"/>
    <x v="1083"/>
    <x v="11"/>
  </r>
  <r>
    <x v="23"/>
    <x v="459"/>
    <x v="1327"/>
    <x v="665"/>
    <x v="665"/>
    <x v="1"/>
    <x v="2"/>
    <x v="2"/>
    <x v="59"/>
    <x v="238"/>
    <x v="533"/>
    <x v="0"/>
    <x v="1486"/>
    <x v="635"/>
    <x v="276"/>
    <x v="0"/>
    <x v="508"/>
    <x v="540"/>
    <x v="1"/>
    <x v="400"/>
    <x v="22"/>
  </r>
  <r>
    <x v="435"/>
    <x v="19"/>
    <x v="1328"/>
    <x v="996"/>
    <x v="996"/>
    <x v="1"/>
    <x v="13"/>
    <x v="13"/>
    <x v="2"/>
    <x v="365"/>
    <x v="370"/>
    <x v="0"/>
    <x v="898"/>
    <x v="46"/>
    <x v="878"/>
    <x v="0"/>
    <x v="66"/>
    <x v="348"/>
    <x v="1"/>
    <x v="629"/>
    <x v="30"/>
  </r>
  <r>
    <x v="136"/>
    <x v="472"/>
    <x v="1329"/>
    <x v="1688"/>
    <x v="1688"/>
    <x v="1"/>
    <x v="3"/>
    <x v="3"/>
    <x v="46"/>
    <x v="540"/>
    <x v="269"/>
    <x v="0"/>
    <x v="107"/>
    <x v="694"/>
    <x v="824"/>
    <x v="0"/>
    <x v="731"/>
    <x v="704"/>
    <x v="1"/>
    <x v="1315"/>
    <x v="11"/>
  </r>
  <r>
    <x v="193"/>
    <x v="98"/>
    <x v="1412"/>
    <x v="1687"/>
    <x v="1687"/>
    <x v="0"/>
    <x v="5"/>
    <x v="5"/>
    <x v="42"/>
    <x v="443"/>
    <x v="315"/>
    <x v="0"/>
    <x v="1315"/>
    <x v="702"/>
    <x v="692"/>
    <x v="0"/>
    <x v="534"/>
    <x v="400"/>
    <x v="1"/>
    <x v="757"/>
    <x v="11"/>
  </r>
  <r>
    <x v="682"/>
    <x v="567"/>
    <x v="460"/>
    <x v="519"/>
    <x v="519"/>
    <x v="0"/>
    <x v="19"/>
    <x v="19"/>
    <x v="37"/>
    <x v="371"/>
    <x v="320"/>
    <x v="0"/>
    <x v="1358"/>
    <x v="103"/>
    <x v="983"/>
    <x v="0"/>
    <x v="337"/>
    <x v="489"/>
    <x v="1"/>
    <x v="226"/>
    <x v="21"/>
  </r>
  <r>
    <x v="155"/>
    <x v="716"/>
    <x v="1332"/>
    <x v="1149"/>
    <x v="1149"/>
    <x v="0"/>
    <x v="4"/>
    <x v="4"/>
    <x v="45"/>
    <x v="375"/>
    <x v="445"/>
    <x v="0"/>
    <x v="1365"/>
    <x v="85"/>
    <x v="180"/>
    <x v="156"/>
    <x v="419"/>
    <x v="577"/>
    <x v="1"/>
    <x v="1130"/>
    <x v="30"/>
  </r>
  <r>
    <x v="568"/>
    <x v="468"/>
    <x v="1333"/>
    <x v="236"/>
    <x v="236"/>
    <x v="0"/>
    <x v="15"/>
    <x v="15"/>
    <x v="63"/>
    <x v="309"/>
    <x v="67"/>
    <x v="1"/>
    <x v="63"/>
    <x v="587"/>
    <x v="862"/>
    <x v="0"/>
    <x v="436"/>
    <x v="193"/>
    <x v="0"/>
    <x v="159"/>
    <x v="25"/>
  </r>
  <r>
    <x v="304"/>
    <x v="391"/>
    <x v="1334"/>
    <x v="466"/>
    <x v="466"/>
    <x v="0"/>
    <x v="9"/>
    <x v="9"/>
    <x v="53"/>
    <x v="101"/>
    <x v="539"/>
    <x v="0"/>
    <x v="1594"/>
    <x v="250"/>
    <x v="294"/>
    <x v="128"/>
    <x v="241"/>
    <x v="294"/>
    <x v="0"/>
    <x v="307"/>
    <x v="38"/>
  </r>
  <r>
    <x v="603"/>
    <x v="491"/>
    <x v="1335"/>
    <x v="928"/>
    <x v="928"/>
    <x v="0"/>
    <x v="16"/>
    <x v="16"/>
    <x v="66"/>
    <x v="407"/>
    <x v="358"/>
    <x v="0"/>
    <x v="957"/>
    <x v="125"/>
    <x v="581"/>
    <x v="0"/>
    <x v="595"/>
    <x v="727"/>
    <x v="1"/>
    <x v="1500"/>
    <x v="52"/>
  </r>
  <r>
    <x v="282"/>
    <x v="636"/>
    <x v="1336"/>
    <x v="884"/>
    <x v="884"/>
    <x v="1"/>
    <x v="11"/>
    <x v="11"/>
    <x v="60"/>
    <x v="198"/>
    <x v="351"/>
    <x v="0"/>
    <x v="1137"/>
    <x v="592"/>
    <x v="855"/>
    <x v="0"/>
    <x v="248"/>
    <x v="636"/>
    <x v="1"/>
    <x v="1742"/>
    <x v="15"/>
  </r>
  <r>
    <x v="330"/>
    <x v="725"/>
    <x v="1337"/>
    <x v="1174"/>
    <x v="1174"/>
    <x v="0"/>
    <x v="9"/>
    <x v="9"/>
    <x v="44"/>
    <x v="38"/>
    <x v="374"/>
    <x v="0"/>
    <x v="1222"/>
    <x v="87"/>
    <x v="554"/>
    <x v="0"/>
    <x v="634"/>
    <x v="204"/>
    <x v="0"/>
    <x v="1681"/>
    <x v="23"/>
  </r>
  <r>
    <x v="435"/>
    <x v="19"/>
    <x v="1338"/>
    <x v="893"/>
    <x v="893"/>
    <x v="0"/>
    <x v="13"/>
    <x v="13"/>
    <x v="0"/>
    <x v="247"/>
    <x v="349"/>
    <x v="0"/>
    <x v="949"/>
    <x v="186"/>
    <x v="1157"/>
    <x v="0"/>
    <x v="471"/>
    <x v="412"/>
    <x v="1"/>
    <x v="930"/>
    <x v="30"/>
  </r>
  <r>
    <x v="336"/>
    <x v="440"/>
    <x v="1339"/>
    <x v="1740"/>
    <x v="1740"/>
    <x v="0"/>
    <x v="9"/>
    <x v="9"/>
    <x v="48"/>
    <x v="17"/>
    <x v="89"/>
    <x v="1"/>
    <x v="537"/>
    <x v="39"/>
    <x v="1091"/>
    <x v="148"/>
    <x v="426"/>
    <x v="18"/>
    <x v="0"/>
    <x v="1484"/>
    <x v="30"/>
  </r>
  <r>
    <x v="290"/>
    <x v="160"/>
    <x v="1340"/>
    <x v="1028"/>
    <x v="1028"/>
    <x v="0"/>
    <x v="7"/>
    <x v="7"/>
    <x v="57"/>
    <x v="477"/>
    <x v="104"/>
    <x v="1"/>
    <x v="390"/>
    <x v="594"/>
    <x v="468"/>
    <x v="0"/>
    <x v="671"/>
    <x v="91"/>
    <x v="0"/>
    <x v="550"/>
    <x v="15"/>
  </r>
  <r>
    <x v="34"/>
    <x v="361"/>
    <x v="1341"/>
    <x v="1525"/>
    <x v="1525"/>
    <x v="1"/>
    <x v="11"/>
    <x v="11"/>
    <x v="61"/>
    <x v="267"/>
    <x v="524"/>
    <x v="0"/>
    <x v="1657"/>
    <x v="739"/>
    <x v="1003"/>
    <x v="0"/>
    <x v="558"/>
    <x v="287"/>
    <x v="0"/>
    <x v="180"/>
    <x v="7"/>
  </r>
  <r>
    <x v="570"/>
    <x v="336"/>
    <x v="161"/>
    <x v="469"/>
    <x v="469"/>
    <x v="0"/>
    <x v="19"/>
    <x v="19"/>
    <x v="1"/>
    <x v="413"/>
    <x v="387"/>
    <x v="0"/>
    <x v="1192"/>
    <x v="573"/>
    <x v="631"/>
    <x v="0"/>
    <x v="444"/>
    <x v="539"/>
    <x v="1"/>
    <x v="1055"/>
    <x v="38"/>
  </r>
  <r>
    <x v="136"/>
    <x v="472"/>
    <x v="1343"/>
    <x v="1608"/>
    <x v="1608"/>
    <x v="1"/>
    <x v="8"/>
    <x v="8"/>
    <x v="37"/>
    <x v="63"/>
    <x v="322"/>
    <x v="0"/>
    <x v="336"/>
    <x v="735"/>
    <x v="1034"/>
    <x v="0"/>
    <x v="548"/>
    <x v="638"/>
    <x v="1"/>
    <x v="285"/>
    <x v="11"/>
  </r>
  <r>
    <x v="282"/>
    <x v="636"/>
    <x v="1344"/>
    <x v="979"/>
    <x v="979"/>
    <x v="1"/>
    <x v="11"/>
    <x v="11"/>
    <x v="50"/>
    <x v="120"/>
    <x v="107"/>
    <x v="1"/>
    <x v="682"/>
    <x v="188"/>
    <x v="599"/>
    <x v="0"/>
    <x v="411"/>
    <x v="133"/>
    <x v="0"/>
    <x v="92"/>
    <x v="15"/>
  </r>
  <r>
    <x v="282"/>
    <x v="636"/>
    <x v="1345"/>
    <x v="1271"/>
    <x v="1271"/>
    <x v="0"/>
    <x v="12"/>
    <x v="12"/>
    <x v="59"/>
    <x v="402"/>
    <x v="283"/>
    <x v="0"/>
    <x v="947"/>
    <x v="162"/>
    <x v="362"/>
    <x v="398"/>
    <x v="408"/>
    <x v="652"/>
    <x v="1"/>
    <x v="1188"/>
    <x v="15"/>
  </r>
  <r>
    <x v="739"/>
    <x v="818"/>
    <x v="1346"/>
    <x v="58"/>
    <x v="58"/>
    <x v="1"/>
    <x v="20"/>
    <x v="20"/>
    <x v="68"/>
    <x v="375"/>
    <x v="216"/>
    <x v="1"/>
    <x v="1004"/>
    <x v="610"/>
    <x v="985"/>
    <x v="584"/>
    <x v="427"/>
    <x v="318"/>
    <x v="0"/>
    <x v="27"/>
    <x v="7"/>
  </r>
  <r>
    <x v="580"/>
    <x v="134"/>
    <x v="1347"/>
    <x v="268"/>
    <x v="268"/>
    <x v="0"/>
    <x v="15"/>
    <x v="15"/>
    <x v="0"/>
    <x v="287"/>
    <x v="383"/>
    <x v="0"/>
    <x v="1021"/>
    <x v="57"/>
    <x v="25"/>
    <x v="661"/>
    <x v="322"/>
    <x v="655"/>
    <x v="1"/>
    <x v="840"/>
    <x v="23"/>
  </r>
  <r>
    <x v="586"/>
    <x v="68"/>
    <x v="1348"/>
    <x v="1457"/>
    <x v="1457"/>
    <x v="0"/>
    <x v="13"/>
    <x v="13"/>
    <x v="2"/>
    <x v="457"/>
    <x v="72"/>
    <x v="1"/>
    <x v="61"/>
    <x v="299"/>
    <x v="1101"/>
    <x v="752"/>
    <x v="375"/>
    <x v="114"/>
    <x v="0"/>
    <x v="870"/>
    <x v="33"/>
  </r>
  <r>
    <x v="255"/>
    <x v="821"/>
    <x v="1349"/>
    <x v="1380"/>
    <x v="1380"/>
    <x v="1"/>
    <x v="5"/>
    <x v="5"/>
    <x v="47"/>
    <x v="510"/>
    <x v="298"/>
    <x v="0"/>
    <x v="591"/>
    <x v="593"/>
    <x v="625"/>
    <x v="0"/>
    <x v="364"/>
    <x v="179"/>
    <x v="0"/>
    <x v="563"/>
    <x v="11"/>
  </r>
  <r>
    <x v="581"/>
    <x v="677"/>
    <x v="1350"/>
    <x v="1013"/>
    <x v="1013"/>
    <x v="0"/>
    <x v="17"/>
    <x v="17"/>
    <x v="55"/>
    <x v="307"/>
    <x v="196"/>
    <x v="1"/>
    <x v="1302"/>
    <x v="52"/>
    <x v="452"/>
    <x v="0"/>
    <x v="514"/>
    <x v="285"/>
    <x v="0"/>
    <x v="448"/>
    <x v="23"/>
  </r>
  <r>
    <x v="24"/>
    <x v="184"/>
    <x v="1351"/>
    <x v="937"/>
    <x v="937"/>
    <x v="0"/>
    <x v="3"/>
    <x v="3"/>
    <x v="55"/>
    <x v="167"/>
    <x v="562"/>
    <x v="0"/>
    <x v="177"/>
    <x v="206"/>
    <x v="880"/>
    <x v="771"/>
    <x v="254"/>
    <x v="424"/>
    <x v="1"/>
    <x v="1385"/>
    <x v="25"/>
  </r>
  <r>
    <x v="195"/>
    <x v="88"/>
    <x v="1352"/>
    <x v="1641"/>
    <x v="1641"/>
    <x v="0"/>
    <x v="5"/>
    <x v="5"/>
    <x v="52"/>
    <x v="426"/>
    <x v="299"/>
    <x v="0"/>
    <x v="1423"/>
    <x v="569"/>
    <x v="901"/>
    <x v="720"/>
    <x v="222"/>
    <x v="195"/>
    <x v="0"/>
    <x v="1283"/>
    <x v="25"/>
  </r>
  <r>
    <x v="721"/>
    <x v="450"/>
    <x v="1353"/>
    <x v="1061"/>
    <x v="1061"/>
    <x v="1"/>
    <x v="19"/>
    <x v="19"/>
    <x v="63"/>
    <x v="172"/>
    <x v="187"/>
    <x v="1"/>
    <x v="114"/>
    <x v="36"/>
    <x v="478"/>
    <x v="0"/>
    <x v="686"/>
    <x v="47"/>
    <x v="0"/>
    <x v="656"/>
    <x v="7"/>
  </r>
  <r>
    <x v="479"/>
    <x v="718"/>
    <x v="1354"/>
    <x v="653"/>
    <x v="653"/>
    <x v="0"/>
    <x v="13"/>
    <x v="13"/>
    <x v="51"/>
    <x v="146"/>
    <x v="266"/>
    <x v="0"/>
    <x v="231"/>
    <x v="214"/>
    <x v="388"/>
    <x v="0"/>
    <x v="229"/>
    <x v="252"/>
    <x v="0"/>
    <x v="1134"/>
    <x v="25"/>
  </r>
  <r>
    <x v="101"/>
    <x v="565"/>
    <x v="1355"/>
    <x v="798"/>
    <x v="798"/>
    <x v="0"/>
    <x v="7"/>
    <x v="7"/>
    <x v="51"/>
    <x v="91"/>
    <x v="415"/>
    <x v="0"/>
    <x v="1269"/>
    <x v="24"/>
    <x v="75"/>
    <x v="0"/>
    <x v="683"/>
    <x v="363"/>
    <x v="1"/>
    <x v="1679"/>
    <x v="46"/>
  </r>
  <r>
    <x v="423"/>
    <x v="787"/>
    <x v="1356"/>
    <x v="535"/>
    <x v="535"/>
    <x v="0"/>
    <x v="11"/>
    <x v="11"/>
    <x v="40"/>
    <x v="359"/>
    <x v="470"/>
    <x v="0"/>
    <x v="1426"/>
    <x v="578"/>
    <x v="235"/>
    <x v="0"/>
    <x v="779"/>
    <x v="634"/>
    <x v="1"/>
    <x v="294"/>
    <x v="15"/>
  </r>
  <r>
    <x v="702"/>
    <x v="780"/>
    <x v="1357"/>
    <x v="1175"/>
    <x v="1175"/>
    <x v="1"/>
    <x v="18"/>
    <x v="18"/>
    <x v="59"/>
    <x v="182"/>
    <x v="142"/>
    <x v="1"/>
    <x v="33"/>
    <x v="312"/>
    <x v="787"/>
    <x v="159"/>
    <x v="428"/>
    <x v="117"/>
    <x v="0"/>
    <x v="683"/>
    <x v="15"/>
  </r>
  <r>
    <x v="710"/>
    <x v="277"/>
    <x v="1357"/>
    <x v="1483"/>
    <x v="1483"/>
    <x v="1"/>
    <x v="18"/>
    <x v="18"/>
    <x v="39"/>
    <x v="216"/>
    <x v="144"/>
    <x v="1"/>
    <x v="362"/>
    <x v="70"/>
    <x v="730"/>
    <x v="93"/>
    <x v="132"/>
    <x v="141"/>
    <x v="0"/>
    <x v="33"/>
    <x v="2"/>
  </r>
  <r>
    <x v="82"/>
    <x v="559"/>
    <x v="1358"/>
    <x v="888"/>
    <x v="888"/>
    <x v="0"/>
    <x v="8"/>
    <x v="8"/>
    <x v="67"/>
    <x v="500"/>
    <x v="472"/>
    <x v="0"/>
    <x v="495"/>
    <x v="604"/>
    <x v="606"/>
    <x v="518"/>
    <x v="96"/>
    <x v="633"/>
    <x v="1"/>
    <x v="821"/>
    <x v="14"/>
  </r>
  <r>
    <x v="8"/>
    <x v="201"/>
    <x v="1359"/>
    <x v="1554"/>
    <x v="1554"/>
    <x v="0"/>
    <x v="1"/>
    <x v="1"/>
    <x v="61"/>
    <x v="348"/>
    <x v="279"/>
    <x v="0"/>
    <x v="1444"/>
    <x v="567"/>
    <x v="998"/>
    <x v="0"/>
    <x v="453"/>
    <x v="563"/>
    <x v="1"/>
    <x v="1408"/>
    <x v="30"/>
  </r>
  <r>
    <x v="216"/>
    <x v="274"/>
    <x v="1360"/>
    <x v="1532"/>
    <x v="1532"/>
    <x v="0"/>
    <x v="4"/>
    <x v="4"/>
    <x v="43"/>
    <x v="382"/>
    <x v="49"/>
    <x v="1"/>
    <x v="10"/>
    <x v="433"/>
    <x v="946"/>
    <x v="20"/>
    <x v="417"/>
    <x v="275"/>
    <x v="0"/>
    <x v="837"/>
    <x v="15"/>
  </r>
  <r>
    <x v="124"/>
    <x v="531"/>
    <x v="1361"/>
    <x v="1200"/>
    <x v="1200"/>
    <x v="0"/>
    <x v="6"/>
    <x v="6"/>
    <x v="45"/>
    <x v="369"/>
    <x v="269"/>
    <x v="0"/>
    <x v="1327"/>
    <x v="96"/>
    <x v="633"/>
    <x v="0"/>
    <x v="351"/>
    <x v="484"/>
    <x v="1"/>
    <x v="497"/>
    <x v="25"/>
  </r>
  <r>
    <x v="576"/>
    <x v="505"/>
    <x v="1362"/>
    <x v="836"/>
    <x v="836"/>
    <x v="0"/>
    <x v="19"/>
    <x v="19"/>
    <x v="63"/>
    <x v="219"/>
    <x v="152"/>
    <x v="1"/>
    <x v="203"/>
    <x v="307"/>
    <x v="804"/>
    <x v="0"/>
    <x v="556"/>
    <x v="79"/>
    <x v="0"/>
    <x v="1405"/>
    <x v="25"/>
  </r>
  <r>
    <x v="306"/>
    <x v="597"/>
    <x v="1363"/>
    <x v="552"/>
    <x v="552"/>
    <x v="0"/>
    <x v="6"/>
    <x v="6"/>
    <x v="46"/>
    <x v="103"/>
    <x v="529"/>
    <x v="0"/>
    <x v="1496"/>
    <x v="233"/>
    <x v="795"/>
    <x v="0"/>
    <x v="525"/>
    <x v="327"/>
    <x v="0"/>
    <x v="209"/>
    <x v="46"/>
  </r>
  <r>
    <x v="566"/>
    <x v="461"/>
    <x v="1408"/>
    <x v="1312"/>
    <x v="1312"/>
    <x v="0"/>
    <x v="19"/>
    <x v="19"/>
    <x v="1"/>
    <x v="407"/>
    <x v="348"/>
    <x v="0"/>
    <x v="1282"/>
    <x v="513"/>
    <x v="463"/>
    <x v="186"/>
    <x v="414"/>
    <x v="625"/>
    <x v="1"/>
    <x v="1104"/>
    <x v="23"/>
  </r>
  <r>
    <x v="119"/>
    <x v="801"/>
    <x v="1365"/>
    <x v="1120"/>
    <x v="1120"/>
    <x v="0"/>
    <x v="14"/>
    <x v="14"/>
    <x v="52"/>
    <x v="251"/>
    <x v="462"/>
    <x v="0"/>
    <x v="873"/>
    <x v="552"/>
    <x v="107"/>
    <x v="0"/>
    <x v="483"/>
    <x v="407"/>
    <x v="1"/>
    <x v="1195"/>
    <x v="15"/>
  </r>
  <r>
    <x v="403"/>
    <x v="813"/>
    <x v="1366"/>
    <x v="1622"/>
    <x v="1622"/>
    <x v="1"/>
    <x v="15"/>
    <x v="15"/>
    <x v="64"/>
    <x v="406"/>
    <x v="286"/>
    <x v="0"/>
    <x v="361"/>
    <x v="398"/>
    <x v="427"/>
    <x v="354"/>
    <x v="435"/>
    <x v="343"/>
    <x v="1"/>
    <x v="1289"/>
    <x v="11"/>
  </r>
  <r>
    <x v="674"/>
    <x v="682"/>
    <x v="1367"/>
    <x v="245"/>
    <x v="245"/>
    <x v="0"/>
    <x v="21"/>
    <x v="21"/>
    <x v="64"/>
    <x v="394"/>
    <x v="157"/>
    <x v="1"/>
    <x v="585"/>
    <x v="38"/>
    <x v="563"/>
    <x v="0"/>
    <x v="275"/>
    <x v="577"/>
    <x v="1"/>
    <x v="822"/>
    <x v="23"/>
  </r>
  <r>
    <x v="465"/>
    <x v="686"/>
    <x v="1368"/>
    <x v="860"/>
    <x v="860"/>
    <x v="0"/>
    <x v="10"/>
    <x v="10"/>
    <x v="53"/>
    <x v="107"/>
    <x v="396"/>
    <x v="0"/>
    <x v="1135"/>
    <x v="80"/>
    <x v="102"/>
    <x v="0"/>
    <x v="410"/>
    <x v="72"/>
    <x v="0"/>
    <x v="516"/>
    <x v="46"/>
  </r>
  <r>
    <x v="811"/>
    <x v="51"/>
    <x v="1369"/>
    <x v="1454"/>
    <x v="1454"/>
    <x v="0"/>
    <x v="21"/>
    <x v="21"/>
    <x v="61"/>
    <x v="440"/>
    <x v="403"/>
    <x v="0"/>
    <x v="1245"/>
    <x v="591"/>
    <x v="1152"/>
    <x v="631"/>
    <x v="440"/>
    <x v="537"/>
    <x v="1"/>
    <x v="268"/>
    <x v="21"/>
  </r>
  <r>
    <x v="424"/>
    <x v="585"/>
    <x v="1370"/>
    <x v="926"/>
    <x v="926"/>
    <x v="0"/>
    <x v="11"/>
    <x v="11"/>
    <x v="60"/>
    <x v="155"/>
    <x v="364"/>
    <x v="0"/>
    <x v="526"/>
    <x v="111"/>
    <x v="726"/>
    <x v="0"/>
    <x v="419"/>
    <x v="230"/>
    <x v="0"/>
    <x v="1558"/>
    <x v="23"/>
  </r>
  <r>
    <x v="405"/>
    <x v="528"/>
    <x v="1371"/>
    <x v="240"/>
    <x v="240"/>
    <x v="0"/>
    <x v="9"/>
    <x v="9"/>
    <x v="0"/>
    <x v="327"/>
    <x v="511"/>
    <x v="0"/>
    <x v="905"/>
    <x v="641"/>
    <x v="392"/>
    <x v="338"/>
    <x v="416"/>
    <x v="626"/>
    <x v="1"/>
    <x v="1421"/>
    <x v="23"/>
  </r>
  <r>
    <x v="511"/>
    <x v="815"/>
    <x v="1372"/>
    <x v="1022"/>
    <x v="1022"/>
    <x v="0"/>
    <x v="17"/>
    <x v="17"/>
    <x v="67"/>
    <x v="324"/>
    <x v="103"/>
    <x v="1"/>
    <x v="247"/>
    <x v="478"/>
    <x v="1060"/>
    <x v="2"/>
    <x v="155"/>
    <x v="150"/>
    <x v="0"/>
    <x v="89"/>
    <x v="11"/>
  </r>
  <r>
    <x v="486"/>
    <x v="769"/>
    <x v="1373"/>
    <x v="460"/>
    <x v="460"/>
    <x v="0"/>
    <x v="12"/>
    <x v="12"/>
    <x v="0"/>
    <x v="154"/>
    <x v="437"/>
    <x v="0"/>
    <x v="1621"/>
    <x v="144"/>
    <x v="790"/>
    <x v="0"/>
    <x v="42"/>
    <x v="361"/>
    <x v="1"/>
    <x v="1110"/>
    <x v="25"/>
  </r>
  <r>
    <x v="215"/>
    <x v="698"/>
    <x v="1374"/>
    <x v="1305"/>
    <x v="1305"/>
    <x v="0"/>
    <x v="9"/>
    <x v="9"/>
    <x v="42"/>
    <x v="391"/>
    <x v="429"/>
    <x v="0"/>
    <x v="1311"/>
    <x v="387"/>
    <x v="182"/>
    <x v="278"/>
    <x v="114"/>
    <x v="345"/>
    <x v="1"/>
    <x v="936"/>
    <x v="11"/>
  </r>
  <r>
    <x v="36"/>
    <x v="65"/>
    <x v="1375"/>
    <x v="1420"/>
    <x v="1420"/>
    <x v="0"/>
    <x v="2"/>
    <x v="2"/>
    <x v="41"/>
    <x v="431"/>
    <x v="102"/>
    <x v="1"/>
    <x v="743"/>
    <x v="24"/>
    <x v="974"/>
    <x v="0"/>
    <x v="534"/>
    <x v="476"/>
    <x v="1"/>
    <x v="699"/>
    <x v="30"/>
  </r>
  <r>
    <x v="435"/>
    <x v="19"/>
    <x v="1376"/>
    <x v="1264"/>
    <x v="1264"/>
    <x v="0"/>
    <x v="13"/>
    <x v="13"/>
    <x v="2"/>
    <x v="238"/>
    <x v="271"/>
    <x v="0"/>
    <x v="1345"/>
    <x v="6"/>
    <x v="218"/>
    <x v="34"/>
    <x v="416"/>
    <x v="291"/>
    <x v="0"/>
    <x v="693"/>
    <x v="30"/>
  </r>
  <r>
    <x v="202"/>
    <x v="763"/>
    <x v="1377"/>
    <x v="1069"/>
    <x v="1069"/>
    <x v="0"/>
    <x v="5"/>
    <x v="5"/>
    <x v="3"/>
    <x v="376"/>
    <x v="95"/>
    <x v="1"/>
    <x v="228"/>
    <x v="473"/>
    <x v="277"/>
    <x v="745"/>
    <x v="596"/>
    <x v="173"/>
    <x v="0"/>
    <x v="1011"/>
    <x v="39"/>
  </r>
  <r>
    <x v="235"/>
    <x v="503"/>
    <x v="309"/>
    <x v="1113"/>
    <x v="1113"/>
    <x v="1"/>
    <x v="19"/>
    <x v="19"/>
    <x v="0"/>
    <x v="332"/>
    <x v="317"/>
    <x v="0"/>
    <x v="506"/>
    <x v="578"/>
    <x v="860"/>
    <x v="0"/>
    <x v="50"/>
    <x v="347"/>
    <x v="1"/>
    <x v="487"/>
    <x v="23"/>
  </r>
  <r>
    <x v="427"/>
    <x v="418"/>
    <x v="1379"/>
    <x v="449"/>
    <x v="449"/>
    <x v="0"/>
    <x v="10"/>
    <x v="10"/>
    <x v="66"/>
    <x v="179"/>
    <x v="505"/>
    <x v="0"/>
    <x v="715"/>
    <x v="277"/>
    <x v="134"/>
    <x v="644"/>
    <x v="440"/>
    <x v="228"/>
    <x v="0"/>
    <x v="1607"/>
    <x v="38"/>
  </r>
  <r>
    <x v="20"/>
    <x v="775"/>
    <x v="1380"/>
    <x v="619"/>
    <x v="619"/>
    <x v="0"/>
    <x v="1"/>
    <x v="1"/>
    <x v="51"/>
    <x v="434"/>
    <x v="476"/>
    <x v="0"/>
    <x v="1325"/>
    <x v="187"/>
    <x v="883"/>
    <x v="225"/>
    <x v="408"/>
    <x v="732"/>
    <x v="1"/>
    <x v="991"/>
    <x v="44"/>
  </r>
  <r>
    <x v="508"/>
    <x v="466"/>
    <x v="1381"/>
    <x v="376"/>
    <x v="376"/>
    <x v="0"/>
    <x v="13"/>
    <x v="13"/>
    <x v="53"/>
    <x v="342"/>
    <x v="461"/>
    <x v="0"/>
    <x v="1223"/>
    <x v="759"/>
    <x v="842"/>
    <x v="0"/>
    <x v="493"/>
    <x v="620"/>
    <x v="1"/>
    <x v="1286"/>
    <x v="13"/>
  </r>
  <r>
    <x v="437"/>
    <x v="189"/>
    <x v="1382"/>
    <x v="311"/>
    <x v="311"/>
    <x v="1"/>
    <x v="12"/>
    <x v="12"/>
    <x v="61"/>
    <x v="446"/>
    <x v="229"/>
    <x v="1"/>
    <x v="948"/>
    <x v="225"/>
    <x v="747"/>
    <x v="484"/>
    <x v="435"/>
    <x v="626"/>
    <x v="1"/>
    <x v="1279"/>
    <x v="13"/>
  </r>
  <r>
    <x v="305"/>
    <x v="627"/>
    <x v="1383"/>
    <x v="462"/>
    <x v="462"/>
    <x v="1"/>
    <x v="10"/>
    <x v="10"/>
    <x v="1"/>
    <x v="210"/>
    <x v="285"/>
    <x v="0"/>
    <x v="597"/>
    <x v="767"/>
    <x v="1016"/>
    <x v="0"/>
    <x v="741"/>
    <x v="728"/>
    <x v="1"/>
    <x v="1733"/>
    <x v="15"/>
  </r>
  <r>
    <x v="342"/>
    <x v="557"/>
    <x v="1384"/>
    <x v="835"/>
    <x v="835"/>
    <x v="0"/>
    <x v="8"/>
    <x v="8"/>
    <x v="53"/>
    <x v="328"/>
    <x v="130"/>
    <x v="1"/>
    <x v="463"/>
    <x v="155"/>
    <x v="1014"/>
    <x v="384"/>
    <x v="128"/>
    <x v="336"/>
    <x v="0"/>
    <x v="322"/>
    <x v="30"/>
  </r>
  <r>
    <x v="175"/>
    <x v="387"/>
    <x v="1385"/>
    <x v="1261"/>
    <x v="1261"/>
    <x v="1"/>
    <x v="8"/>
    <x v="8"/>
    <x v="64"/>
    <x v="561"/>
    <x v="187"/>
    <x v="1"/>
    <x v="744"/>
    <x v="463"/>
    <x v="665"/>
    <x v="0"/>
    <x v="83"/>
    <x v="753"/>
    <x v="1"/>
    <x v="825"/>
    <x v="23"/>
  </r>
  <r>
    <x v="44"/>
    <x v="509"/>
    <x v="1386"/>
    <x v="355"/>
    <x v="355"/>
    <x v="0"/>
    <x v="2"/>
    <x v="2"/>
    <x v="50"/>
    <x v="413"/>
    <x v="434"/>
    <x v="0"/>
    <x v="1599"/>
    <x v="627"/>
    <x v="530"/>
    <x v="0"/>
    <x v="319"/>
    <x v="625"/>
    <x v="1"/>
    <x v="541"/>
    <x v="37"/>
  </r>
  <r>
    <x v="422"/>
    <x v="518"/>
    <x v="1387"/>
    <x v="135"/>
    <x v="135"/>
    <x v="0"/>
    <x v="9"/>
    <x v="9"/>
    <x v="53"/>
    <x v="253"/>
    <x v="554"/>
    <x v="0"/>
    <x v="1359"/>
    <x v="468"/>
    <x v="156"/>
    <x v="88"/>
    <x v="705"/>
    <x v="615"/>
    <x v="1"/>
    <x v="1583"/>
    <x v="33"/>
  </r>
  <r>
    <x v="438"/>
    <x v="728"/>
    <x v="1388"/>
    <x v="795"/>
    <x v="795"/>
    <x v="0"/>
    <x v="16"/>
    <x v="16"/>
    <x v="65"/>
    <x v="282"/>
    <x v="400"/>
    <x v="0"/>
    <x v="802"/>
    <x v="629"/>
    <x v="697"/>
    <x v="0"/>
    <x v="622"/>
    <x v="741"/>
    <x v="1"/>
    <x v="1652"/>
    <x v="23"/>
  </r>
  <r>
    <x v="6"/>
    <x v="242"/>
    <x v="1389"/>
    <x v="1576"/>
    <x v="1576"/>
    <x v="1"/>
    <x v="7"/>
    <x v="7"/>
    <x v="60"/>
    <x v="559"/>
    <x v="245"/>
    <x v="1"/>
    <x v="672"/>
    <x v="582"/>
    <x v="623"/>
    <x v="304"/>
    <x v="461"/>
    <x v="374"/>
    <x v="1"/>
    <x v="676"/>
    <x v="7"/>
  </r>
  <r>
    <x v="67"/>
    <x v="548"/>
    <x v="1390"/>
    <x v="1435"/>
    <x v="1435"/>
    <x v="1"/>
    <x v="2"/>
    <x v="2"/>
    <x v="43"/>
    <x v="535"/>
    <x v="210"/>
    <x v="1"/>
    <x v="712"/>
    <x v="763"/>
    <x v="687"/>
    <x v="0"/>
    <x v="80"/>
    <x v="499"/>
    <x v="1"/>
    <x v="454"/>
    <x v="11"/>
  </r>
  <r>
    <x v="718"/>
    <x v="473"/>
    <x v="376"/>
    <x v="999"/>
    <x v="999"/>
    <x v="0"/>
    <x v="19"/>
    <x v="19"/>
    <x v="0"/>
    <x v="295"/>
    <x v="386"/>
    <x v="0"/>
    <x v="1047"/>
    <x v="634"/>
    <x v="945"/>
    <x v="0"/>
    <x v="416"/>
    <x v="662"/>
    <x v="1"/>
    <x v="1768"/>
    <x v="29"/>
  </r>
  <r>
    <x v="61"/>
    <x v="804"/>
    <x v="1392"/>
    <x v="697"/>
    <x v="697"/>
    <x v="0"/>
    <x v="2"/>
    <x v="2"/>
    <x v="44"/>
    <x v="386"/>
    <x v="501"/>
    <x v="0"/>
    <x v="662"/>
    <x v="75"/>
    <x v="620"/>
    <x v="577"/>
    <x v="38"/>
    <x v="759"/>
    <x v="1"/>
    <x v="1027"/>
    <x v="23"/>
  </r>
  <r>
    <x v="436"/>
    <x v="431"/>
    <x v="1393"/>
    <x v="726"/>
    <x v="726"/>
    <x v="0"/>
    <x v="20"/>
    <x v="20"/>
    <x v="68"/>
    <x v="207"/>
    <x v="43"/>
    <x v="1"/>
    <x v="482"/>
    <x v="56"/>
    <x v="1062"/>
    <x v="0"/>
    <x v="529"/>
    <x v="180"/>
    <x v="0"/>
    <x v="374"/>
    <x v="23"/>
  </r>
  <r>
    <x v="0"/>
    <x v="122"/>
    <x v="1677"/>
    <x v="361"/>
    <x v="361"/>
    <x v="0"/>
    <x v="5"/>
    <x v="5"/>
    <x v="67"/>
    <x v="408"/>
    <x v="438"/>
    <x v="0"/>
    <x v="1335"/>
    <x v="579"/>
    <x v="471"/>
    <x v="672"/>
    <x v="539"/>
    <x v="726"/>
    <x v="1"/>
    <x v="1487"/>
    <x v="23"/>
  </r>
  <r>
    <x v="627"/>
    <x v="232"/>
    <x v="1395"/>
    <x v="1098"/>
    <x v="1098"/>
    <x v="0"/>
    <x v="19"/>
    <x v="19"/>
    <x v="70"/>
    <x v="457"/>
    <x v="253"/>
    <x v="1"/>
    <x v="1519"/>
    <x v="470"/>
    <x v="1145"/>
    <x v="0"/>
    <x v="356"/>
    <x v="731"/>
    <x v="1"/>
    <x v="384"/>
    <x v="23"/>
  </r>
  <r>
    <x v="382"/>
    <x v="615"/>
    <x v="1396"/>
    <x v="1418"/>
    <x v="1418"/>
    <x v="1"/>
    <x v="9"/>
    <x v="9"/>
    <x v="47"/>
    <x v="94"/>
    <x v="309"/>
    <x v="0"/>
    <x v="623"/>
    <x v="591"/>
    <x v="579"/>
    <x v="0"/>
    <x v="242"/>
    <x v="128"/>
    <x v="0"/>
    <x v="649"/>
    <x v="15"/>
  </r>
  <r>
    <x v="47"/>
    <x v="635"/>
    <x v="1397"/>
    <x v="1607"/>
    <x v="1607"/>
    <x v="0"/>
    <x v="2"/>
    <x v="2"/>
    <x v="46"/>
    <x v="265"/>
    <x v="549"/>
    <x v="0"/>
    <x v="1301"/>
    <x v="474"/>
    <x v="89"/>
    <x v="160"/>
    <x v="655"/>
    <x v="672"/>
    <x v="1"/>
    <x v="1495"/>
    <x v="29"/>
  </r>
  <r>
    <x v="168"/>
    <x v="673"/>
    <x v="1398"/>
    <x v="983"/>
    <x v="983"/>
    <x v="0"/>
    <x v="14"/>
    <x v="14"/>
    <x v="56"/>
    <x v="353"/>
    <x v="376"/>
    <x v="0"/>
    <x v="867"/>
    <x v="396"/>
    <x v="65"/>
    <x v="141"/>
    <x v="509"/>
    <x v="456"/>
    <x v="1"/>
    <x v="918"/>
    <x v="11"/>
  </r>
  <r>
    <x v="186"/>
    <x v="621"/>
    <x v="1399"/>
    <x v="748"/>
    <x v="748"/>
    <x v="1"/>
    <x v="3"/>
    <x v="3"/>
    <x v="56"/>
    <x v="215"/>
    <x v="349"/>
    <x v="0"/>
    <x v="784"/>
    <x v="71"/>
    <x v="338"/>
    <x v="0"/>
    <x v="771"/>
    <x v="421"/>
    <x v="1"/>
    <x v="706"/>
    <x v="46"/>
  </r>
  <r>
    <x v="632"/>
    <x v="8"/>
    <x v="1400"/>
    <x v="435"/>
    <x v="435"/>
    <x v="0"/>
    <x v="16"/>
    <x v="16"/>
    <x v="60"/>
    <x v="133"/>
    <x v="550"/>
    <x v="0"/>
    <x v="1217"/>
    <x v="597"/>
    <x v="62"/>
    <x v="0"/>
    <x v="615"/>
    <x v="287"/>
    <x v="0"/>
    <x v="1648"/>
    <x v="23"/>
  </r>
  <r>
    <x v="494"/>
    <x v="613"/>
    <x v="1401"/>
    <x v="565"/>
    <x v="565"/>
    <x v="0"/>
    <x v="12"/>
    <x v="12"/>
    <x v="48"/>
    <x v="355"/>
    <x v="150"/>
    <x v="1"/>
    <x v="648"/>
    <x v="606"/>
    <x v="1018"/>
    <x v="85"/>
    <x v="448"/>
    <x v="638"/>
    <x v="1"/>
    <x v="1548"/>
    <x v="2"/>
  </r>
  <r>
    <x v="262"/>
    <x v="549"/>
    <x v="1402"/>
    <x v="666"/>
    <x v="666"/>
    <x v="0"/>
    <x v="6"/>
    <x v="6"/>
    <x v="43"/>
    <x v="401"/>
    <x v="451"/>
    <x v="0"/>
    <x v="1020"/>
    <x v="461"/>
    <x v="216"/>
    <x v="490"/>
    <x v="551"/>
    <x v="625"/>
    <x v="1"/>
    <x v="798"/>
    <x v="7"/>
  </r>
  <r>
    <x v="83"/>
    <x v="681"/>
    <x v="1403"/>
    <x v="215"/>
    <x v="215"/>
    <x v="0"/>
    <x v="11"/>
    <x v="11"/>
    <x v="54"/>
    <x v="494"/>
    <x v="291"/>
    <x v="0"/>
    <x v="255"/>
    <x v="184"/>
    <x v="1007"/>
    <x v="658"/>
    <x v="524"/>
    <x v="679"/>
    <x v="1"/>
    <x v="968"/>
    <x v="29"/>
  </r>
  <r>
    <x v="437"/>
    <x v="189"/>
    <x v="1404"/>
    <x v="875"/>
    <x v="875"/>
    <x v="0"/>
    <x v="14"/>
    <x v="14"/>
    <x v="52"/>
    <x v="131"/>
    <x v="457"/>
    <x v="0"/>
    <x v="1613"/>
    <x v="371"/>
    <x v="778"/>
    <x v="178"/>
    <x v="631"/>
    <x v="246"/>
    <x v="0"/>
    <x v="1268"/>
    <x v="13"/>
  </r>
  <r>
    <x v="738"/>
    <x v="12"/>
    <x v="446"/>
    <x v="572"/>
    <x v="572"/>
    <x v="1"/>
    <x v="19"/>
    <x v="19"/>
    <x v="0"/>
    <x v="471"/>
    <x v="410"/>
    <x v="0"/>
    <x v="844"/>
    <x v="299"/>
    <x v="1114"/>
    <x v="0"/>
    <x v="421"/>
    <x v="637"/>
    <x v="1"/>
    <x v="1239"/>
    <x v="7"/>
  </r>
  <r>
    <x v="301"/>
    <x v="552"/>
    <x v="1406"/>
    <x v="880"/>
    <x v="880"/>
    <x v="0"/>
    <x v="7"/>
    <x v="7"/>
    <x v="38"/>
    <x v="128"/>
    <x v="398"/>
    <x v="0"/>
    <x v="1139"/>
    <x v="64"/>
    <x v="105"/>
    <x v="79"/>
    <x v="453"/>
    <x v="171"/>
    <x v="0"/>
    <x v="326"/>
    <x v="28"/>
  </r>
  <r>
    <x v="797"/>
    <x v="572"/>
    <x v="1407"/>
    <x v="110"/>
    <x v="110"/>
    <x v="1"/>
    <x v="21"/>
    <x v="21"/>
    <x v="0"/>
    <x v="519"/>
    <x v="125"/>
    <x v="1"/>
    <x v="1043"/>
    <x v="815"/>
    <x v="473"/>
    <x v="0"/>
    <x v="444"/>
    <x v="406"/>
    <x v="1"/>
    <x v="934"/>
    <x v="7"/>
  </r>
  <r>
    <x v="686"/>
    <x v="289"/>
    <x v="658"/>
    <x v="1538"/>
    <x v="1538"/>
    <x v="1"/>
    <x v="19"/>
    <x v="19"/>
    <x v="0"/>
    <x v="224"/>
    <x v="332"/>
    <x v="0"/>
    <x v="489"/>
    <x v="502"/>
    <x v="638"/>
    <x v="0"/>
    <x v="598"/>
    <x v="77"/>
    <x v="0"/>
    <x v="191"/>
    <x v="11"/>
  </r>
  <r>
    <x v="624"/>
    <x v="415"/>
    <x v="1409"/>
    <x v="768"/>
    <x v="768"/>
    <x v="1"/>
    <x v="16"/>
    <x v="16"/>
    <x v="54"/>
    <x v="346"/>
    <x v="123"/>
    <x v="1"/>
    <x v="280"/>
    <x v="240"/>
    <x v="538"/>
    <x v="0"/>
    <x v="445"/>
    <x v="496"/>
    <x v="1"/>
    <x v="459"/>
    <x v="11"/>
  </r>
  <r>
    <x v="191"/>
    <x v="90"/>
    <x v="291"/>
    <x v="607"/>
    <x v="607"/>
    <x v="0"/>
    <x v="8"/>
    <x v="8"/>
    <x v="31"/>
    <x v="335"/>
    <x v="487"/>
    <x v="0"/>
    <x v="1344"/>
    <x v="677"/>
    <x v="760"/>
    <x v="0"/>
    <x v="657"/>
    <x v="695"/>
    <x v="1"/>
    <x v="1689"/>
    <x v="30"/>
  </r>
  <r>
    <x v="616"/>
    <x v="87"/>
    <x v="1411"/>
    <x v="506"/>
    <x v="506"/>
    <x v="0"/>
    <x v="16"/>
    <x v="16"/>
    <x v="64"/>
    <x v="334"/>
    <x v="142"/>
    <x v="1"/>
    <x v="239"/>
    <x v="226"/>
    <x v="512"/>
    <x v="281"/>
    <x v="580"/>
    <x v="35"/>
    <x v="0"/>
    <x v="900"/>
    <x v="29"/>
  </r>
  <r>
    <x v="788"/>
    <x v="86"/>
    <x v="1032"/>
    <x v="8"/>
    <x v="8"/>
    <x v="1"/>
    <x v="20"/>
    <x v="20"/>
    <x v="61"/>
    <x v="345"/>
    <x v="389"/>
    <x v="0"/>
    <x v="1347"/>
    <x v="418"/>
    <x v="403"/>
    <x v="76"/>
    <x v="696"/>
    <x v="547"/>
    <x v="1"/>
    <x v="1486"/>
    <x v="25"/>
  </r>
  <r>
    <x v="282"/>
    <x v="636"/>
    <x v="1413"/>
    <x v="629"/>
    <x v="629"/>
    <x v="0"/>
    <x v="10"/>
    <x v="10"/>
    <x v="55"/>
    <x v="370"/>
    <x v="426"/>
    <x v="0"/>
    <x v="995"/>
    <x v="96"/>
    <x v="98"/>
    <x v="717"/>
    <x v="499"/>
    <x v="568"/>
    <x v="1"/>
    <x v="1337"/>
    <x v="15"/>
  </r>
  <r>
    <x v="417"/>
    <x v="758"/>
    <x v="1414"/>
    <x v="76"/>
    <x v="76"/>
    <x v="0"/>
    <x v="9"/>
    <x v="9"/>
    <x v="41"/>
    <x v="482"/>
    <x v="527"/>
    <x v="0"/>
    <x v="1136"/>
    <x v="310"/>
    <x v="359"/>
    <x v="569"/>
    <x v="95"/>
    <x v="699"/>
    <x v="1"/>
    <x v="692"/>
    <x v="34"/>
  </r>
  <r>
    <x v="16"/>
    <x v="48"/>
    <x v="1415"/>
    <x v="628"/>
    <x v="628"/>
    <x v="0"/>
    <x v="1"/>
    <x v="1"/>
    <x v="42"/>
    <x v="233"/>
    <x v="468"/>
    <x v="0"/>
    <x v="1115"/>
    <x v="117"/>
    <x v="333"/>
    <x v="0"/>
    <x v="574"/>
    <x v="315"/>
    <x v="0"/>
    <x v="485"/>
    <x v="23"/>
  </r>
  <r>
    <x v="618"/>
    <x v="733"/>
    <x v="1416"/>
    <x v="274"/>
    <x v="274"/>
    <x v="0"/>
    <x v="20"/>
    <x v="20"/>
    <x v="55"/>
    <x v="298"/>
    <x v="181"/>
    <x v="1"/>
    <x v="243"/>
    <x v="268"/>
    <x v="851"/>
    <x v="0"/>
    <x v="424"/>
    <x v="299"/>
    <x v="0"/>
    <x v="224"/>
    <x v="25"/>
  </r>
  <r>
    <x v="560"/>
    <x v="432"/>
    <x v="986"/>
    <x v="1498"/>
    <x v="1498"/>
    <x v="0"/>
    <x v="19"/>
    <x v="19"/>
    <x v="0"/>
    <x v="138"/>
    <x v="277"/>
    <x v="0"/>
    <x v="121"/>
    <x v="311"/>
    <x v="1147"/>
    <x v="599"/>
    <x v="641"/>
    <x v="161"/>
    <x v="0"/>
    <x v="502"/>
    <x v="23"/>
  </r>
  <r>
    <x v="674"/>
    <x v="682"/>
    <x v="1020"/>
    <x v="564"/>
    <x v="564"/>
    <x v="0"/>
    <x v="19"/>
    <x v="19"/>
    <x v="0"/>
    <x v="196"/>
    <x v="275"/>
    <x v="0"/>
    <x v="1003"/>
    <x v="481"/>
    <x v="860"/>
    <x v="0"/>
    <x v="415"/>
    <x v="237"/>
    <x v="0"/>
    <x v="1563"/>
    <x v="23"/>
  </r>
  <r>
    <x v="215"/>
    <x v="698"/>
    <x v="1419"/>
    <x v="1155"/>
    <x v="1155"/>
    <x v="1"/>
    <x v="6"/>
    <x v="6"/>
    <x v="40"/>
    <x v="552"/>
    <x v="314"/>
    <x v="0"/>
    <x v="828"/>
    <x v="592"/>
    <x v="513"/>
    <x v="491"/>
    <x v="613"/>
    <x v="499"/>
    <x v="1"/>
    <x v="754"/>
    <x v="11"/>
  </r>
  <r>
    <x v="695"/>
    <x v="504"/>
    <x v="1420"/>
    <x v="140"/>
    <x v="140"/>
    <x v="0"/>
    <x v="19"/>
    <x v="19"/>
    <x v="66"/>
    <x v="159"/>
    <x v="361"/>
    <x v="0"/>
    <x v="1544"/>
    <x v="495"/>
    <x v="983"/>
    <x v="131"/>
    <x v="474"/>
    <x v="153"/>
    <x v="0"/>
    <x v="1476"/>
    <x v="25"/>
  </r>
  <r>
    <x v="541"/>
    <x v="66"/>
    <x v="1421"/>
    <x v="618"/>
    <x v="618"/>
    <x v="0"/>
    <x v="14"/>
    <x v="14"/>
    <x v="39"/>
    <x v="240"/>
    <x v="400"/>
    <x v="0"/>
    <x v="523"/>
    <x v="281"/>
    <x v="893"/>
    <x v="689"/>
    <x v="425"/>
    <x v="655"/>
    <x v="1"/>
    <x v="1224"/>
    <x v="25"/>
  </r>
  <r>
    <x v="0"/>
    <x v="122"/>
    <x v="224"/>
    <x v="317"/>
    <x v="317"/>
    <x v="0"/>
    <x v="9"/>
    <x v="9"/>
    <x v="47"/>
    <x v="347"/>
    <x v="511"/>
    <x v="0"/>
    <x v="1351"/>
    <x v="186"/>
    <x v="1173"/>
    <x v="180"/>
    <x v="411"/>
    <x v="666"/>
    <x v="1"/>
    <x v="836"/>
    <x v="23"/>
  </r>
  <r>
    <x v="229"/>
    <x v="402"/>
    <x v="1423"/>
    <x v="216"/>
    <x v="216"/>
    <x v="0"/>
    <x v="6"/>
    <x v="6"/>
    <x v="57"/>
    <x v="297"/>
    <x v="340"/>
    <x v="0"/>
    <x v="811"/>
    <x v="70"/>
    <x v="151"/>
    <x v="693"/>
    <x v="417"/>
    <x v="236"/>
    <x v="0"/>
    <x v="1311"/>
    <x v="30"/>
  </r>
  <r>
    <x v="138"/>
    <x v="785"/>
    <x v="1424"/>
    <x v="1009"/>
    <x v="1009"/>
    <x v="0"/>
    <x v="3"/>
    <x v="3"/>
    <x v="54"/>
    <x v="26"/>
    <x v="505"/>
    <x v="0"/>
    <x v="931"/>
    <x v="236"/>
    <x v="32"/>
    <x v="182"/>
    <x v="199"/>
    <x v="127"/>
    <x v="0"/>
    <x v="1669"/>
    <x v="47"/>
  </r>
  <r>
    <x v="627"/>
    <x v="232"/>
    <x v="1424"/>
    <x v="1130"/>
    <x v="1130"/>
    <x v="0"/>
    <x v="16"/>
    <x v="16"/>
    <x v="55"/>
    <x v="451"/>
    <x v="271"/>
    <x v="0"/>
    <x v="1155"/>
    <x v="212"/>
    <x v="1019"/>
    <x v="11"/>
    <x v="126"/>
    <x v="738"/>
    <x v="1"/>
    <x v="901"/>
    <x v="23"/>
  </r>
  <r>
    <x v="6"/>
    <x v="242"/>
    <x v="1425"/>
    <x v="1774"/>
    <x v="1774"/>
    <x v="1"/>
    <x v="4"/>
    <x v="4"/>
    <x v="57"/>
    <x v="303"/>
    <x v="424"/>
    <x v="0"/>
    <x v="1242"/>
    <x v="602"/>
    <x v="133"/>
    <x v="86"/>
    <x v="51"/>
    <x v="74"/>
    <x v="0"/>
    <x v="1674"/>
    <x v="7"/>
  </r>
  <r>
    <x v="191"/>
    <x v="90"/>
    <x v="1426"/>
    <x v="275"/>
    <x v="275"/>
    <x v="0"/>
    <x v="10"/>
    <x v="10"/>
    <x v="53"/>
    <x v="80"/>
    <x v="188"/>
    <x v="1"/>
    <x v="835"/>
    <x v="744"/>
    <x v="558"/>
    <x v="0"/>
    <x v="491"/>
    <x v="140"/>
    <x v="0"/>
    <x v="1815"/>
    <x v="30"/>
  </r>
  <r>
    <x v="725"/>
    <x v="69"/>
    <x v="1050"/>
    <x v="445"/>
    <x v="445"/>
    <x v="0"/>
    <x v="19"/>
    <x v="19"/>
    <x v="0"/>
    <x v="280"/>
    <x v="342"/>
    <x v="0"/>
    <x v="959"/>
    <x v="86"/>
    <x v="515"/>
    <x v="0"/>
    <x v="584"/>
    <x v="374"/>
    <x v="1"/>
    <x v="1004"/>
    <x v="25"/>
  </r>
  <r>
    <x v="145"/>
    <x v="67"/>
    <x v="1428"/>
    <x v="461"/>
    <x v="461"/>
    <x v="0"/>
    <x v="4"/>
    <x v="4"/>
    <x v="61"/>
    <x v="127"/>
    <x v="500"/>
    <x v="0"/>
    <x v="1166"/>
    <x v="221"/>
    <x v="8"/>
    <x v="0"/>
    <x v="641"/>
    <x v="327"/>
    <x v="0"/>
    <x v="1570"/>
    <x v="23"/>
  </r>
  <r>
    <x v="686"/>
    <x v="289"/>
    <x v="1119"/>
    <x v="1300"/>
    <x v="1300"/>
    <x v="1"/>
    <x v="19"/>
    <x v="19"/>
    <x v="0"/>
    <x v="470"/>
    <x v="371"/>
    <x v="0"/>
    <x v="1369"/>
    <x v="703"/>
    <x v="366"/>
    <x v="0"/>
    <x v="294"/>
    <x v="255"/>
    <x v="0"/>
    <x v="1759"/>
    <x v="11"/>
  </r>
  <r>
    <x v="435"/>
    <x v="19"/>
    <x v="1430"/>
    <x v="1647"/>
    <x v="1647"/>
    <x v="0"/>
    <x v="14"/>
    <x v="14"/>
    <x v="60"/>
    <x v="33"/>
    <x v="161"/>
    <x v="1"/>
    <x v="356"/>
    <x v="30"/>
    <x v="1086"/>
    <x v="0"/>
    <x v="418"/>
    <x v="9"/>
    <x v="0"/>
    <x v="36"/>
    <x v="30"/>
  </r>
  <r>
    <x v="168"/>
    <x v="673"/>
    <x v="1118"/>
    <x v="843"/>
    <x v="843"/>
    <x v="0"/>
    <x v="20"/>
    <x v="20"/>
    <x v="70"/>
    <x v="377"/>
    <x v="482"/>
    <x v="0"/>
    <x v="1589"/>
    <x v="582"/>
    <x v="602"/>
    <x v="0"/>
    <x v="508"/>
    <x v="308"/>
    <x v="0"/>
    <x v="573"/>
    <x v="11"/>
  </r>
  <r>
    <x v="592"/>
    <x v="121"/>
    <x v="1286"/>
    <x v="399"/>
    <x v="399"/>
    <x v="0"/>
    <x v="14"/>
    <x v="14"/>
    <x v="58"/>
    <x v="350"/>
    <x v="472"/>
    <x v="0"/>
    <x v="1360"/>
    <x v="247"/>
    <x v="199"/>
    <x v="287"/>
    <x v="411"/>
    <x v="576"/>
    <x v="1"/>
    <x v="301"/>
    <x v="23"/>
  </r>
  <r>
    <x v="261"/>
    <x v="793"/>
    <x v="1433"/>
    <x v="1741"/>
    <x v="1741"/>
    <x v="1"/>
    <x v="6"/>
    <x v="6"/>
    <x v="58"/>
    <x v="194"/>
    <x v="334"/>
    <x v="0"/>
    <x v="711"/>
    <x v="635"/>
    <x v="1024"/>
    <x v="0"/>
    <x v="579"/>
    <x v="446"/>
    <x v="1"/>
    <x v="1525"/>
    <x v="15"/>
  </r>
  <r>
    <x v="278"/>
    <x v="388"/>
    <x v="1434"/>
    <x v="1334"/>
    <x v="1334"/>
    <x v="1"/>
    <x v="5"/>
    <x v="5"/>
    <x v="50"/>
    <x v="348"/>
    <x v="335"/>
    <x v="0"/>
    <x v="998"/>
    <x v="767"/>
    <x v="1137"/>
    <x v="0"/>
    <x v="180"/>
    <x v="702"/>
    <x v="1"/>
    <x v="1737"/>
    <x v="11"/>
  </r>
  <r>
    <x v="244"/>
    <x v="24"/>
    <x v="1435"/>
    <x v="631"/>
    <x v="631"/>
    <x v="1"/>
    <x v="8"/>
    <x v="8"/>
    <x v="44"/>
    <x v="552"/>
    <x v="344"/>
    <x v="0"/>
    <x v="878"/>
    <x v="215"/>
    <x v="1026"/>
    <x v="0"/>
    <x v="337"/>
    <x v="732"/>
    <x v="1"/>
    <x v="862"/>
    <x v="23"/>
  </r>
  <r>
    <x v="341"/>
    <x v="458"/>
    <x v="1436"/>
    <x v="330"/>
    <x v="330"/>
    <x v="1"/>
    <x v="8"/>
    <x v="8"/>
    <x v="54"/>
    <x v="267"/>
    <x v="241"/>
    <x v="1"/>
    <x v="620"/>
    <x v="11"/>
    <x v="123"/>
    <x v="0"/>
    <x v="520"/>
    <x v="562"/>
    <x v="1"/>
    <x v="372"/>
    <x v="23"/>
  </r>
  <r>
    <x v="116"/>
    <x v="38"/>
    <x v="1437"/>
    <x v="571"/>
    <x v="571"/>
    <x v="0"/>
    <x v="3"/>
    <x v="3"/>
    <x v="61"/>
    <x v="288"/>
    <x v="561"/>
    <x v="0"/>
    <x v="1207"/>
    <x v="311"/>
    <x v="189"/>
    <x v="603"/>
    <x v="448"/>
    <x v="682"/>
    <x v="1"/>
    <x v="1137"/>
    <x v="46"/>
  </r>
  <r>
    <x v="326"/>
    <x v="447"/>
    <x v="1438"/>
    <x v="1575"/>
    <x v="1575"/>
    <x v="0"/>
    <x v="8"/>
    <x v="8"/>
    <x v="53"/>
    <x v="467"/>
    <x v="357"/>
    <x v="0"/>
    <x v="944"/>
    <x v="689"/>
    <x v="288"/>
    <x v="0"/>
    <x v="584"/>
    <x v="460"/>
    <x v="1"/>
    <x v="114"/>
    <x v="11"/>
  </r>
  <r>
    <x v="57"/>
    <x v="629"/>
    <x v="1439"/>
    <x v="1767"/>
    <x v="1767"/>
    <x v="0"/>
    <x v="8"/>
    <x v="8"/>
    <x v="65"/>
    <x v="81"/>
    <x v="500"/>
    <x v="0"/>
    <x v="1410"/>
    <x v="237"/>
    <x v="858"/>
    <x v="240"/>
    <x v="423"/>
    <x v="435"/>
    <x v="1"/>
    <x v="622"/>
    <x v="38"/>
  </r>
  <r>
    <x v="814"/>
    <x v="64"/>
    <x v="1440"/>
    <x v="159"/>
    <x v="159"/>
    <x v="0"/>
    <x v="21"/>
    <x v="21"/>
    <x v="4"/>
    <x v="317"/>
    <x v="257"/>
    <x v="1"/>
    <x v="1078"/>
    <x v="177"/>
    <x v="733"/>
    <x v="0"/>
    <x v="638"/>
    <x v="443"/>
    <x v="1"/>
    <x v="1298"/>
    <x v="23"/>
  </r>
  <r>
    <x v="226"/>
    <x v="539"/>
    <x v="1441"/>
    <x v="1263"/>
    <x v="1263"/>
    <x v="0"/>
    <x v="5"/>
    <x v="5"/>
    <x v="50"/>
    <x v="253"/>
    <x v="161"/>
    <x v="1"/>
    <x v="357"/>
    <x v="554"/>
    <x v="914"/>
    <x v="0"/>
    <x v="548"/>
    <x v="423"/>
    <x v="1"/>
    <x v="107"/>
    <x v="30"/>
  </r>
  <r>
    <x v="342"/>
    <x v="557"/>
    <x v="1442"/>
    <x v="527"/>
    <x v="527"/>
    <x v="0"/>
    <x v="8"/>
    <x v="8"/>
    <x v="61"/>
    <x v="102"/>
    <x v="178"/>
    <x v="1"/>
    <x v="146"/>
    <x v="755"/>
    <x v="973"/>
    <x v="0"/>
    <x v="492"/>
    <x v="417"/>
    <x v="1"/>
    <x v="283"/>
    <x v="30"/>
  </r>
  <r>
    <x v="54"/>
    <x v="592"/>
    <x v="1443"/>
    <x v="708"/>
    <x v="708"/>
    <x v="1"/>
    <x v="10"/>
    <x v="10"/>
    <x v="62"/>
    <x v="172"/>
    <x v="470"/>
    <x v="0"/>
    <x v="1550"/>
    <x v="167"/>
    <x v="43"/>
    <x v="0"/>
    <x v="538"/>
    <x v="307"/>
    <x v="0"/>
    <x v="1108"/>
    <x v="23"/>
  </r>
  <r>
    <x v="54"/>
    <x v="592"/>
    <x v="1444"/>
    <x v="1369"/>
    <x v="1369"/>
    <x v="0"/>
    <x v="12"/>
    <x v="12"/>
    <x v="32"/>
    <x v="249"/>
    <x v="392"/>
    <x v="0"/>
    <x v="991"/>
    <x v="47"/>
    <x v="701"/>
    <x v="0"/>
    <x v="497"/>
    <x v="256"/>
    <x v="0"/>
    <x v="256"/>
    <x v="23"/>
  </r>
  <r>
    <x v="8"/>
    <x v="201"/>
    <x v="1445"/>
    <x v="1757"/>
    <x v="1757"/>
    <x v="0"/>
    <x v="6"/>
    <x v="6"/>
    <x v="49"/>
    <x v="505"/>
    <x v="61"/>
    <x v="1"/>
    <x v="374"/>
    <x v="794"/>
    <x v="592"/>
    <x v="0"/>
    <x v="279"/>
    <x v="714"/>
    <x v="1"/>
    <x v="48"/>
    <x v="30"/>
  </r>
  <r>
    <x v="634"/>
    <x v="165"/>
    <x v="1446"/>
    <x v="880"/>
    <x v="880"/>
    <x v="0"/>
    <x v="20"/>
    <x v="20"/>
    <x v="57"/>
    <x v="372"/>
    <x v="238"/>
    <x v="1"/>
    <x v="1118"/>
    <x v="179"/>
    <x v="591"/>
    <x v="329"/>
    <x v="636"/>
    <x v="403"/>
    <x v="1"/>
    <x v="637"/>
    <x v="25"/>
  </r>
  <r>
    <x v="742"/>
    <x v="506"/>
    <x v="1447"/>
    <x v="98"/>
    <x v="98"/>
    <x v="0"/>
    <x v="18"/>
    <x v="18"/>
    <x v="0"/>
    <x v="379"/>
    <x v="436"/>
    <x v="0"/>
    <x v="1633"/>
    <x v="245"/>
    <x v="588"/>
    <x v="0"/>
    <x v="496"/>
    <x v="216"/>
    <x v="0"/>
    <x v="790"/>
    <x v="25"/>
  </r>
  <r>
    <x v="819"/>
    <x v="475"/>
    <x v="1448"/>
    <x v="1513"/>
    <x v="1513"/>
    <x v="0"/>
    <x v="21"/>
    <x v="21"/>
    <x v="56"/>
    <x v="428"/>
    <x v="383"/>
    <x v="0"/>
    <x v="1203"/>
    <x v="174"/>
    <x v="1055"/>
    <x v="0"/>
    <x v="693"/>
    <x v="624"/>
    <x v="1"/>
    <x v="272"/>
    <x v="29"/>
  </r>
  <r>
    <x v="294"/>
    <x v="789"/>
    <x v="1449"/>
    <x v="1623"/>
    <x v="1623"/>
    <x v="1"/>
    <x v="6"/>
    <x v="6"/>
    <x v="36"/>
    <x v="523"/>
    <x v="129"/>
    <x v="1"/>
    <x v="415"/>
    <x v="801"/>
    <x v="194"/>
    <x v="0"/>
    <x v="415"/>
    <x v="492"/>
    <x v="1"/>
    <x v="160"/>
    <x v="11"/>
  </r>
  <r>
    <x v="637"/>
    <x v="553"/>
    <x v="1450"/>
    <x v="231"/>
    <x v="231"/>
    <x v="0"/>
    <x v="16"/>
    <x v="16"/>
    <x v="52"/>
    <x v="462"/>
    <x v="134"/>
    <x v="1"/>
    <x v="109"/>
    <x v="120"/>
    <x v="83"/>
    <x v="219"/>
    <x v="159"/>
    <x v="564"/>
    <x v="1"/>
    <x v="634"/>
    <x v="52"/>
  </r>
  <r>
    <x v="558"/>
    <x v="310"/>
    <x v="1451"/>
    <x v="1290"/>
    <x v="1290"/>
    <x v="0"/>
    <x v="13"/>
    <x v="13"/>
    <x v="43"/>
    <x v="493"/>
    <x v="141"/>
    <x v="1"/>
    <x v="345"/>
    <x v="104"/>
    <x v="1153"/>
    <x v="403"/>
    <x v="411"/>
    <x v="507"/>
    <x v="1"/>
    <x v="1245"/>
    <x v="52"/>
  </r>
  <r>
    <x v="101"/>
    <x v="565"/>
    <x v="1452"/>
    <x v="532"/>
    <x v="532"/>
    <x v="0"/>
    <x v="5"/>
    <x v="5"/>
    <x v="54"/>
    <x v="103"/>
    <x v="458"/>
    <x v="0"/>
    <x v="711"/>
    <x v="135"/>
    <x v="64"/>
    <x v="429"/>
    <x v="525"/>
    <x v="434"/>
    <x v="1"/>
    <x v="1668"/>
    <x v="46"/>
  </r>
  <r>
    <x v="435"/>
    <x v="19"/>
    <x v="1453"/>
    <x v="1637"/>
    <x v="1637"/>
    <x v="0"/>
    <x v="13"/>
    <x v="13"/>
    <x v="4"/>
    <x v="189"/>
    <x v="23"/>
    <x v="1"/>
    <x v="153"/>
    <x v="28"/>
    <x v="1199"/>
    <x v="0"/>
    <x v="401"/>
    <x v="155"/>
    <x v="0"/>
    <x v="1368"/>
    <x v="30"/>
  </r>
  <r>
    <x v="795"/>
    <x v="441"/>
    <x v="1454"/>
    <x v="151"/>
    <x v="151"/>
    <x v="0"/>
    <x v="21"/>
    <x v="21"/>
    <x v="70"/>
    <x v="140"/>
    <x v="53"/>
    <x v="1"/>
    <x v="705"/>
    <x v="67"/>
    <x v="1183"/>
    <x v="0"/>
    <x v="409"/>
    <x v="292"/>
    <x v="0"/>
    <x v="707"/>
    <x v="23"/>
  </r>
  <r>
    <x v="7"/>
    <x v="642"/>
    <x v="1455"/>
    <x v="72"/>
    <x v="72"/>
    <x v="0"/>
    <x v="3"/>
    <x v="3"/>
    <x v="50"/>
    <x v="289"/>
    <x v="129"/>
    <x v="1"/>
    <x v="17"/>
    <x v="13"/>
    <x v="1092"/>
    <x v="149"/>
    <x v="478"/>
    <x v="510"/>
    <x v="1"/>
    <x v="663"/>
    <x v="33"/>
  </r>
  <r>
    <x v="90"/>
    <x v="434"/>
    <x v="1456"/>
    <x v="838"/>
    <x v="838"/>
    <x v="0"/>
    <x v="3"/>
    <x v="3"/>
    <x v="51"/>
    <x v="278"/>
    <x v="574"/>
    <x v="0"/>
    <x v="407"/>
    <x v="181"/>
    <x v="484"/>
    <x v="353"/>
    <x v="414"/>
    <x v="234"/>
    <x v="0"/>
    <x v="1450"/>
    <x v="23"/>
  </r>
  <r>
    <x v="618"/>
    <x v="733"/>
    <x v="1457"/>
    <x v="1323"/>
    <x v="1323"/>
    <x v="0"/>
    <x v="19"/>
    <x v="19"/>
    <x v="69"/>
    <x v="252"/>
    <x v="237"/>
    <x v="1"/>
    <x v="381"/>
    <x v="65"/>
    <x v="617"/>
    <x v="229"/>
    <x v="468"/>
    <x v="292"/>
    <x v="0"/>
    <x v="591"/>
    <x v="25"/>
  </r>
  <r>
    <x v="208"/>
    <x v="305"/>
    <x v="1458"/>
    <x v="416"/>
    <x v="416"/>
    <x v="0"/>
    <x v="14"/>
    <x v="14"/>
    <x v="35"/>
    <x v="316"/>
    <x v="508"/>
    <x v="0"/>
    <x v="1334"/>
    <x v="213"/>
    <x v="458"/>
    <x v="0"/>
    <x v="640"/>
    <x v="691"/>
    <x v="1"/>
    <x v="1318"/>
    <x v="25"/>
  </r>
  <r>
    <x v="263"/>
    <x v="798"/>
    <x v="1459"/>
    <x v="1725"/>
    <x v="1725"/>
    <x v="0"/>
    <x v="6"/>
    <x v="6"/>
    <x v="42"/>
    <x v="169"/>
    <x v="200"/>
    <x v="1"/>
    <x v="716"/>
    <x v="5"/>
    <x v="175"/>
    <x v="747"/>
    <x v="409"/>
    <x v="202"/>
    <x v="0"/>
    <x v="388"/>
    <x v="57"/>
  </r>
  <r>
    <x v="582"/>
    <x v="419"/>
    <x v="1460"/>
    <x v="1181"/>
    <x v="1181"/>
    <x v="0"/>
    <x v="16"/>
    <x v="16"/>
    <x v="54"/>
    <x v="214"/>
    <x v="158"/>
    <x v="1"/>
    <x v="152"/>
    <x v="525"/>
    <x v="846"/>
    <x v="666"/>
    <x v="383"/>
    <x v="53"/>
    <x v="0"/>
    <x v="875"/>
    <x v="25"/>
  </r>
  <r>
    <x v="30"/>
    <x v="489"/>
    <x v="1461"/>
    <x v="1616"/>
    <x v="1616"/>
    <x v="0"/>
    <x v="7"/>
    <x v="7"/>
    <x v="47"/>
    <x v="224"/>
    <x v="477"/>
    <x v="0"/>
    <x v="524"/>
    <x v="201"/>
    <x v="109"/>
    <x v="652"/>
    <x v="473"/>
    <x v="289"/>
    <x v="0"/>
    <x v="1338"/>
    <x v="23"/>
  </r>
  <r>
    <x v="695"/>
    <x v="504"/>
    <x v="611"/>
    <x v="684"/>
    <x v="684"/>
    <x v="0"/>
    <x v="20"/>
    <x v="20"/>
    <x v="68"/>
    <x v="322"/>
    <x v="392"/>
    <x v="0"/>
    <x v="1603"/>
    <x v="193"/>
    <x v="928"/>
    <x v="0"/>
    <x v="471"/>
    <x v="504"/>
    <x v="1"/>
    <x v="518"/>
    <x v="25"/>
  </r>
  <r>
    <x v="191"/>
    <x v="90"/>
    <x v="1461"/>
    <x v="1080"/>
    <x v="1080"/>
    <x v="1"/>
    <x v="18"/>
    <x v="18"/>
    <x v="53"/>
    <x v="409"/>
    <x v="201"/>
    <x v="1"/>
    <x v="285"/>
    <x v="272"/>
    <x v="135"/>
    <x v="123"/>
    <x v="549"/>
    <x v="212"/>
    <x v="0"/>
    <x v="1270"/>
    <x v="30"/>
  </r>
  <r>
    <x v="833"/>
    <x v="374"/>
    <x v="1461"/>
    <x v="212"/>
    <x v="212"/>
    <x v="0"/>
    <x v="21"/>
    <x v="21"/>
    <x v="49"/>
    <x v="379"/>
    <x v="390"/>
    <x v="0"/>
    <x v="1097"/>
    <x v="294"/>
    <x v="645"/>
    <x v="493"/>
    <x v="609"/>
    <x v="663"/>
    <x v="1"/>
    <x v="1064"/>
    <x v="25"/>
  </r>
  <r>
    <x v="94"/>
    <x v="107"/>
    <x v="1462"/>
    <x v="583"/>
    <x v="583"/>
    <x v="0"/>
    <x v="6"/>
    <x v="6"/>
    <x v="43"/>
    <x v="199"/>
    <x v="203"/>
    <x v="1"/>
    <x v="371"/>
    <x v="53"/>
    <x v="921"/>
    <x v="56"/>
    <x v="660"/>
    <x v="288"/>
    <x v="0"/>
    <x v="63"/>
    <x v="23"/>
  </r>
  <r>
    <x v="282"/>
    <x v="636"/>
    <x v="1463"/>
    <x v="1201"/>
    <x v="1201"/>
    <x v="0"/>
    <x v="8"/>
    <x v="8"/>
    <x v="59"/>
    <x v="312"/>
    <x v="272"/>
    <x v="0"/>
    <x v="992"/>
    <x v="106"/>
    <x v="215"/>
    <x v="306"/>
    <x v="682"/>
    <x v="367"/>
    <x v="1"/>
    <x v="1397"/>
    <x v="15"/>
  </r>
  <r>
    <x v="541"/>
    <x v="66"/>
    <x v="1464"/>
    <x v="29"/>
    <x v="29"/>
    <x v="0"/>
    <x v="21"/>
    <x v="21"/>
    <x v="57"/>
    <x v="435"/>
    <x v="247"/>
    <x v="1"/>
    <x v="533"/>
    <x v="414"/>
    <x v="997"/>
    <x v="0"/>
    <x v="423"/>
    <x v="230"/>
    <x v="0"/>
    <x v="512"/>
    <x v="25"/>
  </r>
  <r>
    <x v="292"/>
    <x v="362"/>
    <x v="1465"/>
    <x v="1605"/>
    <x v="1605"/>
    <x v="1"/>
    <x v="7"/>
    <x v="7"/>
    <x v="41"/>
    <x v="319"/>
    <x v="113"/>
    <x v="1"/>
    <x v="216"/>
    <x v="200"/>
    <x v="88"/>
    <x v="0"/>
    <x v="461"/>
    <x v="11"/>
    <x v="0"/>
    <x v="146"/>
    <x v="11"/>
  </r>
  <r>
    <x v="208"/>
    <x v="305"/>
    <x v="1466"/>
    <x v="849"/>
    <x v="849"/>
    <x v="0"/>
    <x v="5"/>
    <x v="5"/>
    <x v="44"/>
    <x v="203"/>
    <x v="467"/>
    <x v="0"/>
    <x v="645"/>
    <x v="110"/>
    <x v="196"/>
    <x v="300"/>
    <x v="616"/>
    <x v="692"/>
    <x v="1"/>
    <x v="1672"/>
    <x v="25"/>
  </r>
  <r>
    <x v="136"/>
    <x v="472"/>
    <x v="1467"/>
    <x v="1707"/>
    <x v="1707"/>
    <x v="1"/>
    <x v="2"/>
    <x v="2"/>
    <x v="40"/>
    <x v="258"/>
    <x v="496"/>
    <x v="0"/>
    <x v="1058"/>
    <x v="706"/>
    <x v="534"/>
    <x v="0"/>
    <x v="365"/>
    <x v="448"/>
    <x v="1"/>
    <x v="366"/>
    <x v="11"/>
  </r>
  <r>
    <x v="275"/>
    <x v="463"/>
    <x v="1468"/>
    <x v="1597"/>
    <x v="1597"/>
    <x v="0"/>
    <x v="6"/>
    <x v="6"/>
    <x v="45"/>
    <x v="323"/>
    <x v="52"/>
    <x v="1"/>
    <x v="65"/>
    <x v="481"/>
    <x v="1066"/>
    <x v="0"/>
    <x v="263"/>
    <x v="294"/>
    <x v="0"/>
    <x v="25"/>
    <x v="15"/>
  </r>
  <r>
    <x v="543"/>
    <x v="275"/>
    <x v="1469"/>
    <x v="779"/>
    <x v="779"/>
    <x v="0"/>
    <x v="13"/>
    <x v="13"/>
    <x v="54"/>
    <x v="213"/>
    <x v="546"/>
    <x v="0"/>
    <x v="1356"/>
    <x v="221"/>
    <x v="158"/>
    <x v="590"/>
    <x v="384"/>
    <x v="425"/>
    <x v="1"/>
    <x v="1123"/>
    <x v="48"/>
  </r>
  <r>
    <x v="179"/>
    <x v="169"/>
    <x v="1470"/>
    <x v="1651"/>
    <x v="1651"/>
    <x v="0"/>
    <x v="7"/>
    <x v="7"/>
    <x v="55"/>
    <x v="153"/>
    <x v="498"/>
    <x v="0"/>
    <x v="382"/>
    <x v="308"/>
    <x v="249"/>
    <x v="677"/>
    <x v="223"/>
    <x v="209"/>
    <x v="0"/>
    <x v="1003"/>
    <x v="47"/>
  </r>
  <r>
    <x v="33"/>
    <x v="427"/>
    <x v="1471"/>
    <x v="544"/>
    <x v="544"/>
    <x v="0"/>
    <x v="2"/>
    <x v="2"/>
    <x v="41"/>
    <x v="396"/>
    <x v="263"/>
    <x v="0"/>
    <x v="226"/>
    <x v="283"/>
    <x v="1010"/>
    <x v="322"/>
    <x v="377"/>
    <x v="464"/>
    <x v="1"/>
    <x v="926"/>
    <x v="25"/>
  </r>
  <r>
    <x v="662"/>
    <x v="756"/>
    <x v="1472"/>
    <x v="458"/>
    <x v="458"/>
    <x v="0"/>
    <x v="18"/>
    <x v="18"/>
    <x v="57"/>
    <x v="191"/>
    <x v="259"/>
    <x v="1"/>
    <x v="574"/>
    <x v="15"/>
    <x v="902"/>
    <x v="0"/>
    <x v="417"/>
    <x v="612"/>
    <x v="1"/>
    <x v="95"/>
    <x v="45"/>
  </r>
  <r>
    <x v="136"/>
    <x v="472"/>
    <x v="1473"/>
    <x v="1665"/>
    <x v="1665"/>
    <x v="1"/>
    <x v="5"/>
    <x v="5"/>
    <x v="34"/>
    <x v="369"/>
    <x v="446"/>
    <x v="0"/>
    <x v="563"/>
    <x v="810"/>
    <x v="843"/>
    <x v="0"/>
    <x v="531"/>
    <x v="534"/>
    <x v="1"/>
    <x v="1530"/>
    <x v="11"/>
  </r>
  <r>
    <x v="431"/>
    <x v="363"/>
    <x v="1474"/>
    <x v="1350"/>
    <x v="1350"/>
    <x v="0"/>
    <x v="10"/>
    <x v="10"/>
    <x v="46"/>
    <x v="342"/>
    <x v="325"/>
    <x v="0"/>
    <x v="1344"/>
    <x v="248"/>
    <x v="594"/>
    <x v="0"/>
    <x v="206"/>
    <x v="492"/>
    <x v="1"/>
    <x v="701"/>
    <x v="32"/>
  </r>
  <r>
    <x v="695"/>
    <x v="504"/>
    <x v="1474"/>
    <x v="120"/>
    <x v="120"/>
    <x v="0"/>
    <x v="20"/>
    <x v="20"/>
    <x v="57"/>
    <x v="182"/>
    <x v="422"/>
    <x v="0"/>
    <x v="1142"/>
    <x v="616"/>
    <x v="389"/>
    <x v="0"/>
    <x v="768"/>
    <x v="449"/>
    <x v="1"/>
    <x v="1585"/>
    <x v="25"/>
  </r>
  <r>
    <x v="6"/>
    <x v="242"/>
    <x v="1475"/>
    <x v="1786"/>
    <x v="1786"/>
    <x v="1"/>
    <x v="2"/>
    <x v="2"/>
    <x v="69"/>
    <x v="414"/>
    <x v="368"/>
    <x v="0"/>
    <x v="1187"/>
    <x v="697"/>
    <x v="549"/>
    <x v="62"/>
    <x v="712"/>
    <x v="348"/>
    <x v="1"/>
    <x v="93"/>
    <x v="7"/>
  </r>
  <r>
    <x v="136"/>
    <x v="472"/>
    <x v="1476"/>
    <x v="665"/>
    <x v="665"/>
    <x v="1"/>
    <x v="5"/>
    <x v="5"/>
    <x v="43"/>
    <x v="386"/>
    <x v="440"/>
    <x v="0"/>
    <x v="1014"/>
    <x v="784"/>
    <x v="1059"/>
    <x v="0"/>
    <x v="343"/>
    <x v="626"/>
    <x v="1"/>
    <x v="475"/>
    <x v="11"/>
  </r>
  <r>
    <x v="643"/>
    <x v="762"/>
    <x v="1477"/>
    <x v="1039"/>
    <x v="1039"/>
    <x v="1"/>
    <x v="18"/>
    <x v="18"/>
    <x v="0"/>
    <x v="316"/>
    <x v="197"/>
    <x v="1"/>
    <x v="326"/>
    <x v="734"/>
    <x v="903"/>
    <x v="98"/>
    <x v="438"/>
    <x v="375"/>
    <x v="1"/>
    <x v="1799"/>
    <x v="30"/>
  </r>
  <r>
    <x v="123"/>
    <x v="757"/>
    <x v="1478"/>
    <x v="1115"/>
    <x v="1115"/>
    <x v="0"/>
    <x v="3"/>
    <x v="3"/>
    <x v="47"/>
    <x v="374"/>
    <x v="280"/>
    <x v="0"/>
    <x v="919"/>
    <x v="117"/>
    <x v="54"/>
    <x v="665"/>
    <x v="667"/>
    <x v="611"/>
    <x v="1"/>
    <x v="1156"/>
    <x v="2"/>
  </r>
  <r>
    <x v="497"/>
    <x v="238"/>
    <x v="1479"/>
    <x v="109"/>
    <x v="109"/>
    <x v="0"/>
    <x v="12"/>
    <x v="12"/>
    <x v="40"/>
    <x v="143"/>
    <x v="414"/>
    <x v="0"/>
    <x v="816"/>
    <x v="133"/>
    <x v="875"/>
    <x v="228"/>
    <x v="612"/>
    <x v="433"/>
    <x v="1"/>
    <x v="1573"/>
    <x v="34"/>
  </r>
  <r>
    <x v="525"/>
    <x v="566"/>
    <x v="1480"/>
    <x v="592"/>
    <x v="592"/>
    <x v="1"/>
    <x v="14"/>
    <x v="14"/>
    <x v="61"/>
    <x v="382"/>
    <x v="317"/>
    <x v="0"/>
    <x v="1628"/>
    <x v="437"/>
    <x v="875"/>
    <x v="0"/>
    <x v="547"/>
    <x v="579"/>
    <x v="1"/>
    <x v="1066"/>
    <x v="11"/>
  </r>
  <r>
    <x v="452"/>
    <x v="7"/>
    <x v="1481"/>
    <x v="446"/>
    <x v="446"/>
    <x v="0"/>
    <x v="12"/>
    <x v="12"/>
    <x v="18"/>
    <x v="240"/>
    <x v="395"/>
    <x v="0"/>
    <x v="571"/>
    <x v="411"/>
    <x v="128"/>
    <x v="0"/>
    <x v="509"/>
    <x v="131"/>
    <x v="0"/>
    <x v="1434"/>
    <x v="18"/>
  </r>
  <r>
    <x v="454"/>
    <x v="223"/>
    <x v="1482"/>
    <x v="94"/>
    <x v="94"/>
    <x v="1"/>
    <x v="15"/>
    <x v="15"/>
    <x v="51"/>
    <x v="427"/>
    <x v="137"/>
    <x v="1"/>
    <x v="196"/>
    <x v="626"/>
    <x v="522"/>
    <x v="0"/>
    <x v="460"/>
    <x v="399"/>
    <x v="1"/>
    <x v="172"/>
    <x v="15"/>
  </r>
  <r>
    <x v="388"/>
    <x v="385"/>
    <x v="1483"/>
    <x v="1685"/>
    <x v="1685"/>
    <x v="0"/>
    <x v="8"/>
    <x v="8"/>
    <x v="38"/>
    <x v="305"/>
    <x v="400"/>
    <x v="0"/>
    <x v="387"/>
    <x v="368"/>
    <x v="140"/>
    <x v="449"/>
    <x v="700"/>
    <x v="489"/>
    <x v="1"/>
    <x v="1010"/>
    <x v="2"/>
  </r>
  <r>
    <x v="282"/>
    <x v="636"/>
    <x v="1484"/>
    <x v="1229"/>
    <x v="1229"/>
    <x v="0"/>
    <x v="14"/>
    <x v="14"/>
    <x v="62"/>
    <x v="256"/>
    <x v="18"/>
    <x v="1"/>
    <x v="38"/>
    <x v="31"/>
    <x v="1204"/>
    <x v="320"/>
    <x v="421"/>
    <x v="37"/>
    <x v="0"/>
    <x v="738"/>
    <x v="15"/>
  </r>
  <r>
    <x v="593"/>
    <x v="833"/>
    <x v="1485"/>
    <x v="758"/>
    <x v="758"/>
    <x v="0"/>
    <x v="16"/>
    <x v="16"/>
    <x v="49"/>
    <x v="231"/>
    <x v="339"/>
    <x v="0"/>
    <x v="1538"/>
    <x v="154"/>
    <x v="851"/>
    <x v="0"/>
    <x v="370"/>
    <x v="306"/>
    <x v="0"/>
    <x v="1180"/>
    <x v="13"/>
  </r>
  <r>
    <x v="602"/>
    <x v="658"/>
    <x v="1486"/>
    <x v="83"/>
    <x v="83"/>
    <x v="0"/>
    <x v="16"/>
    <x v="16"/>
    <x v="66"/>
    <x v="73"/>
    <x v="62"/>
    <x v="1"/>
    <x v="464"/>
    <x v="156"/>
    <x v="1147"/>
    <x v="324"/>
    <x v="414"/>
    <x v="73"/>
    <x v="0"/>
    <x v="150"/>
    <x v="23"/>
  </r>
  <r>
    <x v="345"/>
    <x v="747"/>
    <x v="1487"/>
    <x v="713"/>
    <x v="713"/>
    <x v="0"/>
    <x v="8"/>
    <x v="8"/>
    <x v="42"/>
    <x v="164"/>
    <x v="182"/>
    <x v="1"/>
    <x v="1112"/>
    <x v="585"/>
    <x v="379"/>
    <x v="636"/>
    <x v="412"/>
    <x v="377"/>
    <x v="1"/>
    <x v="1009"/>
    <x v="38"/>
  </r>
  <r>
    <x v="559"/>
    <x v="584"/>
    <x v="1488"/>
    <x v="997"/>
    <x v="997"/>
    <x v="0"/>
    <x v="16"/>
    <x v="16"/>
    <x v="65"/>
    <x v="174"/>
    <x v="368"/>
    <x v="0"/>
    <x v="617"/>
    <x v="94"/>
    <x v="230"/>
    <x v="0"/>
    <x v="418"/>
    <x v="384"/>
    <x v="1"/>
    <x v="47"/>
    <x v="23"/>
  </r>
  <r>
    <x v="364"/>
    <x v="317"/>
    <x v="1489"/>
    <x v="601"/>
    <x v="601"/>
    <x v="0"/>
    <x v="13"/>
    <x v="13"/>
    <x v="67"/>
    <x v="281"/>
    <x v="395"/>
    <x v="0"/>
    <x v="1497"/>
    <x v="553"/>
    <x v="513"/>
    <x v="0"/>
    <x v="562"/>
    <x v="621"/>
    <x v="1"/>
    <x v="222"/>
    <x v="11"/>
  </r>
  <r>
    <x v="477"/>
    <x v="233"/>
    <x v="1490"/>
    <x v="170"/>
    <x v="170"/>
    <x v="0"/>
    <x v="12"/>
    <x v="12"/>
    <x v="52"/>
    <x v="432"/>
    <x v="383"/>
    <x v="0"/>
    <x v="1340"/>
    <x v="70"/>
    <x v="532"/>
    <x v="664"/>
    <x v="228"/>
    <x v="423"/>
    <x v="1"/>
    <x v="1150"/>
    <x v="23"/>
  </r>
  <r>
    <x v="284"/>
    <x v="746"/>
    <x v="1491"/>
    <x v="534"/>
    <x v="534"/>
    <x v="0"/>
    <x v="7"/>
    <x v="7"/>
    <x v="53"/>
    <x v="183"/>
    <x v="163"/>
    <x v="1"/>
    <x v="473"/>
    <x v="316"/>
    <x v="1005"/>
    <x v="0"/>
    <x v="196"/>
    <x v="236"/>
    <x v="0"/>
    <x v="79"/>
    <x v="30"/>
  </r>
  <r>
    <x v="318"/>
    <x v="109"/>
    <x v="1317"/>
    <x v="1303"/>
    <x v="1303"/>
    <x v="0"/>
    <x v="8"/>
    <x v="8"/>
    <x v="55"/>
    <x v="518"/>
    <x v="423"/>
    <x v="0"/>
    <x v="1396"/>
    <x v="587"/>
    <x v="725"/>
    <x v="0"/>
    <x v="78"/>
    <x v="712"/>
    <x v="1"/>
    <x v="1207"/>
    <x v="25"/>
  </r>
  <r>
    <x v="380"/>
    <x v="598"/>
    <x v="1493"/>
    <x v="730"/>
    <x v="730"/>
    <x v="0"/>
    <x v="15"/>
    <x v="15"/>
    <x v="65"/>
    <x v="237"/>
    <x v="523"/>
    <x v="0"/>
    <x v="1377"/>
    <x v="182"/>
    <x v="346"/>
    <x v="0"/>
    <x v="105"/>
    <x v="592"/>
    <x v="1"/>
    <x v="1380"/>
    <x v="33"/>
  </r>
  <r>
    <x v="740"/>
    <x v="523"/>
    <x v="1494"/>
    <x v="237"/>
    <x v="237"/>
    <x v="1"/>
    <x v="20"/>
    <x v="20"/>
    <x v="58"/>
    <x v="450"/>
    <x v="416"/>
    <x v="0"/>
    <x v="797"/>
    <x v="723"/>
    <x v="172"/>
    <x v="0"/>
    <x v="463"/>
    <x v="349"/>
    <x v="1"/>
    <x v="1783"/>
    <x v="11"/>
  </r>
  <r>
    <x v="416"/>
    <x v="519"/>
    <x v="919"/>
    <x v="1705"/>
    <x v="1705"/>
    <x v="0"/>
    <x v="20"/>
    <x v="20"/>
    <x v="67"/>
    <x v="340"/>
    <x v="313"/>
    <x v="0"/>
    <x v="542"/>
    <x v="129"/>
    <x v="352"/>
    <x v="497"/>
    <x v="404"/>
    <x v="454"/>
    <x v="1"/>
    <x v="424"/>
    <x v="38"/>
  </r>
  <r>
    <x v="222"/>
    <x v="403"/>
    <x v="1496"/>
    <x v="1345"/>
    <x v="1345"/>
    <x v="0"/>
    <x v="4"/>
    <x v="4"/>
    <x v="40"/>
    <x v="284"/>
    <x v="319"/>
    <x v="0"/>
    <x v="960"/>
    <x v="322"/>
    <x v="295"/>
    <x v="118"/>
    <x v="478"/>
    <x v="321"/>
    <x v="0"/>
    <x v="83"/>
    <x v="15"/>
  </r>
  <r>
    <x v="667"/>
    <x v="426"/>
    <x v="1497"/>
    <x v="891"/>
    <x v="891"/>
    <x v="0"/>
    <x v="18"/>
    <x v="18"/>
    <x v="60"/>
    <x v="275"/>
    <x v="237"/>
    <x v="1"/>
    <x v="236"/>
    <x v="685"/>
    <x v="996"/>
    <x v="0"/>
    <x v="608"/>
    <x v="319"/>
    <x v="0"/>
    <x v="524"/>
    <x v="25"/>
  </r>
  <r>
    <x v="667"/>
    <x v="426"/>
    <x v="1497"/>
    <x v="882"/>
    <x v="882"/>
    <x v="0"/>
    <x v="18"/>
    <x v="18"/>
    <x v="0"/>
    <x v="313"/>
    <x v="235"/>
    <x v="1"/>
    <x v="465"/>
    <x v="635"/>
    <x v="889"/>
    <x v="0"/>
    <x v="451"/>
    <x v="322"/>
    <x v="0"/>
    <x v="486"/>
    <x v="25"/>
  </r>
  <r>
    <x v="626"/>
    <x v="529"/>
    <x v="1498"/>
    <x v="1737"/>
    <x v="1737"/>
    <x v="0"/>
    <x v="16"/>
    <x v="16"/>
    <x v="59"/>
    <x v="511"/>
    <x v="185"/>
    <x v="1"/>
    <x v="101"/>
    <x v="122"/>
    <x v="1090"/>
    <x v="418"/>
    <x v="229"/>
    <x v="558"/>
    <x v="1"/>
    <x v="776"/>
    <x v="52"/>
  </r>
  <r>
    <x v="424"/>
    <x v="585"/>
    <x v="1499"/>
    <x v="907"/>
    <x v="907"/>
    <x v="0"/>
    <x v="9"/>
    <x v="9"/>
    <x v="45"/>
    <x v="131"/>
    <x v="459"/>
    <x v="0"/>
    <x v="1202"/>
    <x v="79"/>
    <x v="704"/>
    <x v="0"/>
    <x v="227"/>
    <x v="121"/>
    <x v="0"/>
    <x v="279"/>
    <x v="23"/>
  </r>
  <r>
    <x v="358"/>
    <x v="502"/>
    <x v="1500"/>
    <x v="1085"/>
    <x v="1085"/>
    <x v="0"/>
    <x v="9"/>
    <x v="9"/>
    <x v="32"/>
    <x v="261"/>
    <x v="506"/>
    <x v="0"/>
    <x v="1185"/>
    <x v="146"/>
    <x v="112"/>
    <x v="191"/>
    <x v="441"/>
    <x v="202"/>
    <x v="0"/>
    <x v="853"/>
    <x v="23"/>
  </r>
  <r>
    <x v="559"/>
    <x v="584"/>
    <x v="1501"/>
    <x v="1304"/>
    <x v="1304"/>
    <x v="0"/>
    <x v="15"/>
    <x v="15"/>
    <x v="67"/>
    <x v="235"/>
    <x v="264"/>
    <x v="0"/>
    <x v="662"/>
    <x v="217"/>
    <x v="955"/>
    <x v="0"/>
    <x v="423"/>
    <x v="153"/>
    <x v="0"/>
    <x v="952"/>
    <x v="23"/>
  </r>
  <r>
    <x v="111"/>
    <x v="727"/>
    <x v="1502"/>
    <x v="1638"/>
    <x v="1638"/>
    <x v="0"/>
    <x v="2"/>
    <x v="2"/>
    <x v="34"/>
    <x v="311"/>
    <x v="204"/>
    <x v="1"/>
    <x v="992"/>
    <x v="45"/>
    <x v="845"/>
    <x v="0"/>
    <x v="451"/>
    <x v="88"/>
    <x v="0"/>
    <x v="882"/>
    <x v="30"/>
  </r>
  <r>
    <x v="650"/>
    <x v="792"/>
    <x v="1503"/>
    <x v="434"/>
    <x v="434"/>
    <x v="0"/>
    <x v="17"/>
    <x v="17"/>
    <x v="69"/>
    <x v="369"/>
    <x v="239"/>
    <x v="1"/>
    <x v="706"/>
    <x v="606"/>
    <x v="600"/>
    <x v="256"/>
    <x v="127"/>
    <x v="481"/>
    <x v="1"/>
    <x v="1712"/>
    <x v="38"/>
  </r>
  <r>
    <x v="815"/>
    <x v="826"/>
    <x v="1504"/>
    <x v="677"/>
    <x v="677"/>
    <x v="1"/>
    <x v="21"/>
    <x v="21"/>
    <x v="47"/>
    <x v="170"/>
    <x v="185"/>
    <x v="1"/>
    <x v="663"/>
    <x v="566"/>
    <x v="357"/>
    <x v="235"/>
    <x v="405"/>
    <x v="428"/>
    <x v="1"/>
    <x v="1401"/>
    <x v="7"/>
  </r>
  <r>
    <x v="750"/>
    <x v="442"/>
    <x v="1505"/>
    <x v="472"/>
    <x v="472"/>
    <x v="0"/>
    <x v="19"/>
    <x v="19"/>
    <x v="1"/>
    <x v="497"/>
    <x v="106"/>
    <x v="1"/>
    <x v="734"/>
    <x v="281"/>
    <x v="973"/>
    <x v="0"/>
    <x v="234"/>
    <x v="367"/>
    <x v="1"/>
    <x v="658"/>
    <x v="23"/>
  </r>
  <r>
    <x v="268"/>
    <x v="394"/>
    <x v="1506"/>
    <x v="1732"/>
    <x v="1732"/>
    <x v="1"/>
    <x v="9"/>
    <x v="9"/>
    <x v="40"/>
    <x v="252"/>
    <x v="318"/>
    <x v="0"/>
    <x v="193"/>
    <x v="618"/>
    <x v="269"/>
    <x v="0"/>
    <x v="679"/>
    <x v="332"/>
    <x v="0"/>
    <x v="606"/>
    <x v="7"/>
  </r>
  <r>
    <x v="229"/>
    <x v="402"/>
    <x v="1507"/>
    <x v="858"/>
    <x v="858"/>
    <x v="0"/>
    <x v="13"/>
    <x v="13"/>
    <x v="60"/>
    <x v="197"/>
    <x v="539"/>
    <x v="0"/>
    <x v="1199"/>
    <x v="215"/>
    <x v="599"/>
    <x v="0"/>
    <x v="416"/>
    <x v="517"/>
    <x v="1"/>
    <x v="813"/>
    <x v="30"/>
  </r>
  <r>
    <x v="54"/>
    <x v="592"/>
    <x v="1508"/>
    <x v="335"/>
    <x v="335"/>
    <x v="1"/>
    <x v="8"/>
    <x v="8"/>
    <x v="0"/>
    <x v="318"/>
    <x v="486"/>
    <x v="0"/>
    <x v="933"/>
    <x v="409"/>
    <x v="76"/>
    <x v="552"/>
    <x v="86"/>
    <x v="404"/>
    <x v="1"/>
    <x v="525"/>
    <x v="23"/>
  </r>
  <r>
    <x v="78"/>
    <x v="372"/>
    <x v="1509"/>
    <x v="646"/>
    <x v="646"/>
    <x v="0"/>
    <x v="2"/>
    <x v="2"/>
    <x v="43"/>
    <x v="402"/>
    <x v="359"/>
    <x v="0"/>
    <x v="443"/>
    <x v="582"/>
    <x v="626"/>
    <x v="0"/>
    <x v="600"/>
    <x v="510"/>
    <x v="1"/>
    <x v="221"/>
    <x v="30"/>
  </r>
  <r>
    <x v="438"/>
    <x v="728"/>
    <x v="1510"/>
    <x v="1046"/>
    <x v="1046"/>
    <x v="0"/>
    <x v="16"/>
    <x v="16"/>
    <x v="47"/>
    <x v="223"/>
    <x v="391"/>
    <x v="0"/>
    <x v="734"/>
    <x v="145"/>
    <x v="163"/>
    <x v="566"/>
    <x v="422"/>
    <x v="330"/>
    <x v="0"/>
    <x v="337"/>
    <x v="23"/>
  </r>
  <r>
    <x v="438"/>
    <x v="728"/>
    <x v="1510"/>
    <x v="1046"/>
    <x v="1046"/>
    <x v="0"/>
    <x v="16"/>
    <x v="16"/>
    <x v="63"/>
    <x v="223"/>
    <x v="391"/>
    <x v="0"/>
    <x v="734"/>
    <x v="145"/>
    <x v="163"/>
    <x v="566"/>
    <x v="422"/>
    <x v="330"/>
    <x v="0"/>
    <x v="337"/>
    <x v="23"/>
  </r>
  <r>
    <x v="371"/>
    <x v="130"/>
    <x v="1165"/>
    <x v="699"/>
    <x v="699"/>
    <x v="0"/>
    <x v="20"/>
    <x v="20"/>
    <x v="67"/>
    <x v="424"/>
    <x v="462"/>
    <x v="0"/>
    <x v="1506"/>
    <x v="575"/>
    <x v="548"/>
    <x v="254"/>
    <x v="264"/>
    <x v="429"/>
    <x v="1"/>
    <x v="1024"/>
    <x v="13"/>
  </r>
  <r>
    <x v="433"/>
    <x v="380"/>
    <x v="1512"/>
    <x v="142"/>
    <x v="142"/>
    <x v="0"/>
    <x v="21"/>
    <x v="21"/>
    <x v="65"/>
    <x v="474"/>
    <x v="335"/>
    <x v="0"/>
    <x v="927"/>
    <x v="317"/>
    <x v="585"/>
    <x v="0"/>
    <x v="410"/>
    <x v="745"/>
    <x v="1"/>
    <x v="1403"/>
    <x v="23"/>
  </r>
  <r>
    <x v="657"/>
    <x v="786"/>
    <x v="1417"/>
    <x v="1733"/>
    <x v="1733"/>
    <x v="1"/>
    <x v="20"/>
    <x v="20"/>
    <x v="67"/>
    <x v="466"/>
    <x v="331"/>
    <x v="0"/>
    <x v="1394"/>
    <x v="681"/>
    <x v="254"/>
    <x v="0"/>
    <x v="428"/>
    <x v="292"/>
    <x v="0"/>
    <x v="1617"/>
    <x v="9"/>
  </r>
  <r>
    <x v="312"/>
    <x v="424"/>
    <x v="1514"/>
    <x v="419"/>
    <x v="419"/>
    <x v="0"/>
    <x v="7"/>
    <x v="7"/>
    <x v="57"/>
    <x v="222"/>
    <x v="367"/>
    <x v="0"/>
    <x v="695"/>
    <x v="190"/>
    <x v="955"/>
    <x v="0"/>
    <x v="416"/>
    <x v="497"/>
    <x v="1"/>
    <x v="539"/>
    <x v="56"/>
  </r>
  <r>
    <x v="395"/>
    <x v="343"/>
    <x v="1515"/>
    <x v="816"/>
    <x v="816"/>
    <x v="0"/>
    <x v="9"/>
    <x v="9"/>
    <x v="44"/>
    <x v="105"/>
    <x v="80"/>
    <x v="1"/>
    <x v="140"/>
    <x v="794"/>
    <x v="1164"/>
    <x v="0"/>
    <x v="422"/>
    <x v="293"/>
    <x v="0"/>
    <x v="124"/>
    <x v="16"/>
  </r>
  <r>
    <x v="616"/>
    <x v="87"/>
    <x v="1422"/>
    <x v="211"/>
    <x v="211"/>
    <x v="0"/>
    <x v="20"/>
    <x v="20"/>
    <x v="55"/>
    <x v="424"/>
    <x v="346"/>
    <x v="0"/>
    <x v="1400"/>
    <x v="205"/>
    <x v="1051"/>
    <x v="265"/>
    <x v="408"/>
    <x v="643"/>
    <x v="1"/>
    <x v="320"/>
    <x v="29"/>
  </r>
  <r>
    <x v="235"/>
    <x v="503"/>
    <x v="1517"/>
    <x v="1131"/>
    <x v="1131"/>
    <x v="1"/>
    <x v="16"/>
    <x v="16"/>
    <x v="0"/>
    <x v="379"/>
    <x v="383"/>
    <x v="0"/>
    <x v="310"/>
    <x v="84"/>
    <x v="648"/>
    <x v="0"/>
    <x v="300"/>
    <x v="697"/>
    <x v="1"/>
    <x v="925"/>
    <x v="23"/>
  </r>
  <r>
    <x v="744"/>
    <x v="135"/>
    <x v="724"/>
    <x v="1391"/>
    <x v="1391"/>
    <x v="1"/>
    <x v="20"/>
    <x v="20"/>
    <x v="65"/>
    <x v="449"/>
    <x v="327"/>
    <x v="0"/>
    <x v="1305"/>
    <x v="594"/>
    <x v="837"/>
    <x v="0"/>
    <x v="654"/>
    <x v="483"/>
    <x v="1"/>
    <x v="1384"/>
    <x v="11"/>
  </r>
  <r>
    <x v="821"/>
    <x v="178"/>
    <x v="1519"/>
    <x v="49"/>
    <x v="49"/>
    <x v="1"/>
    <x v="21"/>
    <x v="21"/>
    <x v="58"/>
    <x v="504"/>
    <x v="263"/>
    <x v="0"/>
    <x v="453"/>
    <x v="816"/>
    <x v="678"/>
    <x v="0"/>
    <x v="431"/>
    <x v="660"/>
    <x v="1"/>
    <x v="35"/>
    <x v="7"/>
  </r>
  <r>
    <x v="175"/>
    <x v="387"/>
    <x v="1520"/>
    <x v="1760"/>
    <x v="1760"/>
    <x v="1"/>
    <x v="15"/>
    <x v="15"/>
    <x v="53"/>
    <x v="428"/>
    <x v="199"/>
    <x v="1"/>
    <x v="1366"/>
    <x v="678"/>
    <x v="845"/>
    <x v="0"/>
    <x v="468"/>
    <x v="213"/>
    <x v="0"/>
    <x v="567"/>
    <x v="23"/>
  </r>
  <r>
    <x v="371"/>
    <x v="130"/>
    <x v="1521"/>
    <x v="922"/>
    <x v="922"/>
    <x v="0"/>
    <x v="16"/>
    <x v="16"/>
    <x v="12"/>
    <x v="238"/>
    <x v="461"/>
    <x v="0"/>
    <x v="1435"/>
    <x v="73"/>
    <x v="446"/>
    <x v="683"/>
    <x v="404"/>
    <x v="550"/>
    <x v="1"/>
    <x v="1181"/>
    <x v="13"/>
  </r>
  <r>
    <x v="175"/>
    <x v="387"/>
    <x v="1522"/>
    <x v="1387"/>
    <x v="1387"/>
    <x v="0"/>
    <x v="8"/>
    <x v="8"/>
    <x v="52"/>
    <x v="241"/>
    <x v="195"/>
    <x v="1"/>
    <x v="291"/>
    <x v="503"/>
    <x v="740"/>
    <x v="0"/>
    <x v="616"/>
    <x v="321"/>
    <x v="0"/>
    <x v="375"/>
    <x v="23"/>
  </r>
  <r>
    <x v="560"/>
    <x v="432"/>
    <x v="1523"/>
    <x v="703"/>
    <x v="703"/>
    <x v="0"/>
    <x v="15"/>
    <x v="15"/>
    <x v="58"/>
    <x v="207"/>
    <x v="410"/>
    <x v="0"/>
    <x v="670"/>
    <x v="291"/>
    <x v="399"/>
    <x v="161"/>
    <x v="434"/>
    <x v="29"/>
    <x v="0"/>
    <x v="1117"/>
    <x v="23"/>
  </r>
  <r>
    <x v="745"/>
    <x v="617"/>
    <x v="1524"/>
    <x v="34"/>
    <x v="34"/>
    <x v="0"/>
    <x v="21"/>
    <x v="21"/>
    <x v="65"/>
    <x v="390"/>
    <x v="136"/>
    <x v="1"/>
    <x v="1176"/>
    <x v="306"/>
    <x v="1128"/>
    <x v="0"/>
    <x v="178"/>
    <x v="727"/>
    <x v="1"/>
    <x v="216"/>
    <x v="7"/>
  </r>
  <r>
    <x v="206"/>
    <x v="694"/>
    <x v="1525"/>
    <x v="366"/>
    <x v="366"/>
    <x v="0"/>
    <x v="10"/>
    <x v="10"/>
    <x v="44"/>
    <x v="424"/>
    <x v="334"/>
    <x v="0"/>
    <x v="894"/>
    <x v="38"/>
    <x v="143"/>
    <x v="731"/>
    <x v="299"/>
    <x v="721"/>
    <x v="1"/>
    <x v="654"/>
    <x v="51"/>
  </r>
  <r>
    <x v="673"/>
    <x v="606"/>
    <x v="1526"/>
    <x v="1176"/>
    <x v="1176"/>
    <x v="0"/>
    <x v="17"/>
    <x v="17"/>
    <x v="57"/>
    <x v="416"/>
    <x v="93"/>
    <x v="1"/>
    <x v="66"/>
    <x v="241"/>
    <x v="1180"/>
    <x v="765"/>
    <x v="413"/>
    <x v="109"/>
    <x v="0"/>
    <x v="246"/>
    <x v="2"/>
  </r>
  <r>
    <x v="261"/>
    <x v="793"/>
    <x v="1527"/>
    <x v="948"/>
    <x v="948"/>
    <x v="1"/>
    <x v="6"/>
    <x v="6"/>
    <x v="42"/>
    <x v="545"/>
    <x v="488"/>
    <x v="0"/>
    <x v="818"/>
    <x v="742"/>
    <x v="988"/>
    <x v="0"/>
    <x v="634"/>
    <x v="642"/>
    <x v="1"/>
    <x v="460"/>
    <x v="15"/>
  </r>
  <r>
    <x v="267"/>
    <x v="455"/>
    <x v="1528"/>
    <x v="933"/>
    <x v="933"/>
    <x v="1"/>
    <x v="6"/>
    <x v="6"/>
    <x v="28"/>
    <x v="447"/>
    <x v="44"/>
    <x v="1"/>
    <x v="51"/>
    <x v="542"/>
    <x v="470"/>
    <x v="0"/>
    <x v="435"/>
    <x v="617"/>
    <x v="1"/>
    <x v="313"/>
    <x v="11"/>
  </r>
  <r>
    <x v="525"/>
    <x v="566"/>
    <x v="1529"/>
    <x v="384"/>
    <x v="384"/>
    <x v="1"/>
    <x v="12"/>
    <x v="12"/>
    <x v="0"/>
    <x v="355"/>
    <x v="461"/>
    <x v="0"/>
    <x v="1183"/>
    <x v="669"/>
    <x v="995"/>
    <x v="133"/>
    <x v="734"/>
    <x v="502"/>
    <x v="1"/>
    <x v="1144"/>
    <x v="11"/>
  </r>
  <r>
    <x v="552"/>
    <x v="752"/>
    <x v="1530"/>
    <x v="1303"/>
    <x v="1303"/>
    <x v="0"/>
    <x v="16"/>
    <x v="16"/>
    <x v="60"/>
    <x v="129"/>
    <x v="485"/>
    <x v="0"/>
    <x v="1259"/>
    <x v="140"/>
    <x v="154"/>
    <x v="0"/>
    <x v="219"/>
    <x v="473"/>
    <x v="1"/>
    <x v="1690"/>
    <x v="33"/>
  </r>
  <r>
    <x v="322"/>
    <x v="543"/>
    <x v="1531"/>
    <x v="635"/>
    <x v="635"/>
    <x v="0"/>
    <x v="8"/>
    <x v="8"/>
    <x v="61"/>
    <x v="303"/>
    <x v="521"/>
    <x v="0"/>
    <x v="1389"/>
    <x v="181"/>
    <x v="615"/>
    <x v="604"/>
    <x v="314"/>
    <x v="607"/>
    <x v="1"/>
    <x v="908"/>
    <x v="38"/>
  </r>
  <r>
    <x v="197"/>
    <x v="349"/>
    <x v="1532"/>
    <x v="720"/>
    <x v="720"/>
    <x v="0"/>
    <x v="5"/>
    <x v="5"/>
    <x v="55"/>
    <x v="434"/>
    <x v="247"/>
    <x v="1"/>
    <x v="342"/>
    <x v="102"/>
    <x v="597"/>
    <x v="0"/>
    <x v="26"/>
    <x v="646"/>
    <x v="1"/>
    <x v="717"/>
    <x v="23"/>
  </r>
  <r>
    <x v="434"/>
    <x v="476"/>
    <x v="1533"/>
    <x v="1657"/>
    <x v="1657"/>
    <x v="0"/>
    <x v="9"/>
    <x v="9"/>
    <x v="50"/>
    <x v="207"/>
    <x v="422"/>
    <x v="0"/>
    <x v="595"/>
    <x v="794"/>
    <x v="943"/>
    <x v="0"/>
    <x v="642"/>
    <x v="317"/>
    <x v="0"/>
    <x v="334"/>
    <x v="11"/>
  </r>
  <r>
    <x v="529"/>
    <x v="101"/>
    <x v="1534"/>
    <x v="725"/>
    <x v="725"/>
    <x v="0"/>
    <x v="15"/>
    <x v="15"/>
    <x v="42"/>
    <x v="211"/>
    <x v="327"/>
    <x v="0"/>
    <x v="1093"/>
    <x v="97"/>
    <x v="982"/>
    <x v="0"/>
    <x v="412"/>
    <x v="419"/>
    <x v="1"/>
    <x v="1391"/>
    <x v="0"/>
  </r>
  <r>
    <x v="519"/>
    <x v="524"/>
    <x v="1535"/>
    <x v="302"/>
    <x v="302"/>
    <x v="0"/>
    <x v="12"/>
    <x v="12"/>
    <x v="64"/>
    <x v="319"/>
    <x v="210"/>
    <x v="1"/>
    <x v="163"/>
    <x v="565"/>
    <x v="482"/>
    <x v="441"/>
    <x v="493"/>
    <x v="340"/>
    <x v="0"/>
    <x v="98"/>
    <x v="30"/>
  </r>
  <r>
    <x v="8"/>
    <x v="201"/>
    <x v="1536"/>
    <x v="1404"/>
    <x v="1404"/>
    <x v="0"/>
    <x v="3"/>
    <x v="3"/>
    <x v="56"/>
    <x v="153"/>
    <x v="511"/>
    <x v="0"/>
    <x v="1652"/>
    <x v="811"/>
    <x v="652"/>
    <x v="0"/>
    <x v="773"/>
    <x v="453"/>
    <x v="1"/>
    <x v="1657"/>
    <x v="30"/>
  </r>
  <r>
    <x v="358"/>
    <x v="502"/>
    <x v="1140"/>
    <x v="760"/>
    <x v="760"/>
    <x v="0"/>
    <x v="20"/>
    <x v="20"/>
    <x v="65"/>
    <x v="236"/>
    <x v="394"/>
    <x v="0"/>
    <x v="651"/>
    <x v="380"/>
    <x v="349"/>
    <x v="17"/>
    <x v="666"/>
    <x v="115"/>
    <x v="0"/>
    <x v="779"/>
    <x v="23"/>
  </r>
  <r>
    <x v="645"/>
    <x v="624"/>
    <x v="1538"/>
    <x v="549"/>
    <x v="549"/>
    <x v="1"/>
    <x v="18"/>
    <x v="18"/>
    <x v="61"/>
    <x v="316"/>
    <x v="19"/>
    <x v="1"/>
    <x v="76"/>
    <x v="310"/>
    <x v="936"/>
    <x v="204"/>
    <x v="404"/>
    <x v="61"/>
    <x v="0"/>
    <x v="1444"/>
    <x v="11"/>
  </r>
  <r>
    <x v="215"/>
    <x v="698"/>
    <x v="1539"/>
    <x v="315"/>
    <x v="315"/>
    <x v="0"/>
    <x v="13"/>
    <x v="13"/>
    <x v="54"/>
    <x v="446"/>
    <x v="333"/>
    <x v="0"/>
    <x v="722"/>
    <x v="48"/>
    <x v="671"/>
    <x v="531"/>
    <x v="274"/>
    <x v="561"/>
    <x v="1"/>
    <x v="1285"/>
    <x v="11"/>
  </r>
  <r>
    <x v="578"/>
    <x v="742"/>
    <x v="1540"/>
    <x v="1225"/>
    <x v="1225"/>
    <x v="0"/>
    <x v="15"/>
    <x v="15"/>
    <x v="75"/>
    <x v="247"/>
    <x v="407"/>
    <x v="0"/>
    <x v="1595"/>
    <x v="83"/>
    <x v="616"/>
    <x v="662"/>
    <x v="405"/>
    <x v="251"/>
    <x v="0"/>
    <x v="1032"/>
    <x v="47"/>
  </r>
  <r>
    <x v="408"/>
    <x v="292"/>
    <x v="1541"/>
    <x v="427"/>
    <x v="427"/>
    <x v="0"/>
    <x v="10"/>
    <x v="10"/>
    <x v="42"/>
    <x v="306"/>
    <x v="302"/>
    <x v="0"/>
    <x v="940"/>
    <x v="36"/>
    <x v="677"/>
    <x v="75"/>
    <x v="467"/>
    <x v="422"/>
    <x v="1"/>
    <x v="1323"/>
    <x v="37"/>
  </r>
  <r>
    <x v="814"/>
    <x v="64"/>
    <x v="1542"/>
    <x v="198"/>
    <x v="198"/>
    <x v="0"/>
    <x v="20"/>
    <x v="20"/>
    <x v="6"/>
    <x v="354"/>
    <x v="305"/>
    <x v="0"/>
    <x v="1055"/>
    <x v="216"/>
    <x v="718"/>
    <x v="0"/>
    <x v="470"/>
    <x v="462"/>
    <x v="1"/>
    <x v="1339"/>
    <x v="23"/>
  </r>
  <r>
    <x v="0"/>
    <x v="122"/>
    <x v="754"/>
    <x v="457"/>
    <x v="457"/>
    <x v="0"/>
    <x v="3"/>
    <x v="3"/>
    <x v="55"/>
    <x v="478"/>
    <x v="443"/>
    <x v="0"/>
    <x v="1432"/>
    <x v="571"/>
    <x v="1085"/>
    <x v="388"/>
    <x v="411"/>
    <x v="752"/>
    <x v="1"/>
    <x v="722"/>
    <x v="23"/>
  </r>
  <r>
    <x v="218"/>
    <x v="623"/>
    <x v="1544"/>
    <x v="557"/>
    <x v="557"/>
    <x v="0"/>
    <x v="5"/>
    <x v="5"/>
    <x v="24"/>
    <x v="480"/>
    <x v="462"/>
    <x v="0"/>
    <x v="1431"/>
    <x v="603"/>
    <x v="731"/>
    <x v="535"/>
    <x v="361"/>
    <x v="717"/>
    <x v="1"/>
    <x v="1291"/>
    <x v="25"/>
  </r>
  <r>
    <x v="695"/>
    <x v="504"/>
    <x v="523"/>
    <x v="439"/>
    <x v="439"/>
    <x v="1"/>
    <x v="20"/>
    <x v="20"/>
    <x v="64"/>
    <x v="261"/>
    <x v="480"/>
    <x v="0"/>
    <x v="1634"/>
    <x v="242"/>
    <x v="941"/>
    <x v="0"/>
    <x v="432"/>
    <x v="374"/>
    <x v="1"/>
    <x v="363"/>
    <x v="25"/>
  </r>
  <r>
    <x v="371"/>
    <x v="130"/>
    <x v="1546"/>
    <x v="638"/>
    <x v="638"/>
    <x v="0"/>
    <x v="14"/>
    <x v="14"/>
    <x v="57"/>
    <x v="208"/>
    <x v="529"/>
    <x v="0"/>
    <x v="1324"/>
    <x v="574"/>
    <x v="933"/>
    <x v="373"/>
    <x v="108"/>
    <x v="419"/>
    <x v="1"/>
    <x v="1171"/>
    <x v="13"/>
  </r>
  <r>
    <x v="393"/>
    <x v="816"/>
    <x v="1547"/>
    <x v="1236"/>
    <x v="1236"/>
    <x v="0"/>
    <x v="9"/>
    <x v="9"/>
    <x v="42"/>
    <x v="368"/>
    <x v="345"/>
    <x v="0"/>
    <x v="1450"/>
    <x v="287"/>
    <x v="748"/>
    <x v="0"/>
    <x v="628"/>
    <x v="369"/>
    <x v="1"/>
    <x v="280"/>
    <x v="52"/>
  </r>
  <r>
    <x v="738"/>
    <x v="12"/>
    <x v="1548"/>
    <x v="224"/>
    <x v="224"/>
    <x v="1"/>
    <x v="20"/>
    <x v="20"/>
    <x v="61"/>
    <x v="216"/>
    <x v="263"/>
    <x v="0"/>
    <x v="854"/>
    <x v="750"/>
    <x v="395"/>
    <x v="0"/>
    <x v="415"/>
    <x v="281"/>
    <x v="0"/>
    <x v="297"/>
    <x v="7"/>
  </r>
  <r>
    <x v="538"/>
    <x v="404"/>
    <x v="1549"/>
    <x v="1738"/>
    <x v="1738"/>
    <x v="1"/>
    <x v="14"/>
    <x v="14"/>
    <x v="49"/>
    <x v="351"/>
    <x v="106"/>
    <x v="1"/>
    <x v="212"/>
    <x v="808"/>
    <x v="864"/>
    <x v="264"/>
    <x v="736"/>
    <x v="128"/>
    <x v="0"/>
    <x v="22"/>
    <x v="7"/>
  </r>
  <r>
    <x v="303"/>
    <x v="811"/>
    <x v="1550"/>
    <x v="344"/>
    <x v="344"/>
    <x v="0"/>
    <x v="22"/>
    <x v="22"/>
    <x v="20"/>
    <x v="501"/>
    <x v="500"/>
    <x v="0"/>
    <x v="1187"/>
    <x v="643"/>
    <x v="357"/>
    <x v="469"/>
    <x v="721"/>
    <x v="322"/>
    <x v="0"/>
    <x v="581"/>
    <x v="11"/>
  </r>
  <r>
    <x v="634"/>
    <x v="165"/>
    <x v="1551"/>
    <x v="700"/>
    <x v="700"/>
    <x v="0"/>
    <x v="19"/>
    <x v="19"/>
    <x v="0"/>
    <x v="353"/>
    <x v="212"/>
    <x v="1"/>
    <x v="1065"/>
    <x v="172"/>
    <x v="1003"/>
    <x v="276"/>
    <x v="532"/>
    <x v="339"/>
    <x v="0"/>
    <x v="988"/>
    <x v="25"/>
  </r>
  <r>
    <x v="156"/>
    <x v="498"/>
    <x v="1553"/>
    <x v="391"/>
    <x v="391"/>
    <x v="0"/>
    <x v="5"/>
    <x v="5"/>
    <x v="46"/>
    <x v="257"/>
    <x v="476"/>
    <x v="0"/>
    <x v="206"/>
    <x v="421"/>
    <x v="102"/>
    <x v="43"/>
    <x v="586"/>
    <x v="377"/>
    <x v="1"/>
    <x v="1479"/>
    <x v="46"/>
  </r>
  <r>
    <x v="282"/>
    <x v="636"/>
    <x v="1554"/>
    <x v="1019"/>
    <x v="1019"/>
    <x v="0"/>
    <x v="10"/>
    <x v="10"/>
    <x v="60"/>
    <x v="332"/>
    <x v="93"/>
    <x v="1"/>
    <x v="240"/>
    <x v="414"/>
    <x v="975"/>
    <x v="0"/>
    <x v="365"/>
    <x v="410"/>
    <x v="1"/>
    <x v="115"/>
    <x v="15"/>
  </r>
  <r>
    <x v="23"/>
    <x v="459"/>
    <x v="1555"/>
    <x v="1749"/>
    <x v="1749"/>
    <x v="0"/>
    <x v="2"/>
    <x v="2"/>
    <x v="58"/>
    <x v="79"/>
    <x v="452"/>
    <x v="0"/>
    <x v="729"/>
    <x v="201"/>
    <x v="415"/>
    <x v="739"/>
    <x v="360"/>
    <x v="353"/>
    <x v="1"/>
    <x v="564"/>
    <x v="22"/>
  </r>
  <r>
    <x v="454"/>
    <x v="223"/>
    <x v="1556"/>
    <x v="1595"/>
    <x v="1595"/>
    <x v="1"/>
    <x v="13"/>
    <x v="13"/>
    <x v="61"/>
    <x v="264"/>
    <x v="129"/>
    <x v="1"/>
    <x v="35"/>
    <x v="720"/>
    <x v="482"/>
    <x v="217"/>
    <x v="321"/>
    <x v="165"/>
    <x v="0"/>
    <x v="959"/>
    <x v="15"/>
  </r>
  <r>
    <x v="470"/>
    <x v="407"/>
    <x v="1557"/>
    <x v="710"/>
    <x v="710"/>
    <x v="0"/>
    <x v="12"/>
    <x v="12"/>
    <x v="54"/>
    <x v="364"/>
    <x v="276"/>
    <x v="0"/>
    <x v="836"/>
    <x v="34"/>
    <x v="4"/>
    <x v="526"/>
    <x v="306"/>
    <x v="568"/>
    <x v="1"/>
    <x v="1074"/>
    <x v="25"/>
  </r>
  <r>
    <x v="627"/>
    <x v="232"/>
    <x v="1558"/>
    <x v="228"/>
    <x v="228"/>
    <x v="1"/>
    <x v="21"/>
    <x v="21"/>
    <x v="52"/>
    <x v="511"/>
    <x v="362"/>
    <x v="0"/>
    <x v="757"/>
    <x v="675"/>
    <x v="953"/>
    <x v="0"/>
    <x v="466"/>
    <x v="441"/>
    <x v="1"/>
    <x v="1413"/>
    <x v="23"/>
  </r>
  <r>
    <x v="264"/>
    <x v="284"/>
    <x v="1559"/>
    <x v="1158"/>
    <x v="1158"/>
    <x v="0"/>
    <x v="6"/>
    <x v="6"/>
    <x v="63"/>
    <x v="15"/>
    <x v="264"/>
    <x v="0"/>
    <x v="100"/>
    <x v="121"/>
    <x v="51"/>
    <x v="471"/>
    <x v="440"/>
    <x v="367"/>
    <x v="1"/>
    <x v="620"/>
    <x v="38"/>
  </r>
  <r>
    <x v="669"/>
    <x v="327"/>
    <x v="1560"/>
    <x v="1242"/>
    <x v="1242"/>
    <x v="0"/>
    <x v="16"/>
    <x v="16"/>
    <x v="67"/>
    <x v="201"/>
    <x v="265"/>
    <x v="0"/>
    <x v="831"/>
    <x v="205"/>
    <x v="1163"/>
    <x v="0"/>
    <x v="420"/>
    <x v="284"/>
    <x v="0"/>
    <x v="1232"/>
    <x v="4"/>
  </r>
  <r>
    <x v="276"/>
    <x v="465"/>
    <x v="1561"/>
    <x v="79"/>
    <x v="79"/>
    <x v="0"/>
    <x v="6"/>
    <x v="6"/>
    <x v="45"/>
    <x v="303"/>
    <x v="505"/>
    <x v="0"/>
    <x v="800"/>
    <x v="124"/>
    <x v="159"/>
    <x v="676"/>
    <x v="445"/>
    <x v="500"/>
    <x v="1"/>
    <x v="1230"/>
    <x v="2"/>
  </r>
  <r>
    <x v="386"/>
    <x v="672"/>
    <x v="1562"/>
    <x v="1154"/>
    <x v="1154"/>
    <x v="0"/>
    <x v="10"/>
    <x v="10"/>
    <x v="51"/>
    <x v="387"/>
    <x v="521"/>
    <x v="0"/>
    <x v="1189"/>
    <x v="398"/>
    <x v="420"/>
    <x v="0"/>
    <x v="551"/>
    <x v="467"/>
    <x v="1"/>
    <x v="799"/>
    <x v="15"/>
  </r>
  <r>
    <x v="609"/>
    <x v="216"/>
    <x v="1563"/>
    <x v="636"/>
    <x v="636"/>
    <x v="1"/>
    <x v="21"/>
    <x v="21"/>
    <x v="56"/>
    <x v="474"/>
    <x v="401"/>
    <x v="0"/>
    <x v="1239"/>
    <x v="687"/>
    <x v="895"/>
    <x v="127"/>
    <x v="150"/>
    <x v="451"/>
    <x v="1"/>
    <x v="377"/>
    <x v="13"/>
  </r>
  <r>
    <x v="454"/>
    <x v="223"/>
    <x v="1110"/>
    <x v="596"/>
    <x v="596"/>
    <x v="1"/>
    <x v="20"/>
    <x v="20"/>
    <x v="63"/>
    <x v="220"/>
    <x v="509"/>
    <x v="0"/>
    <x v="457"/>
    <x v="406"/>
    <x v="802"/>
    <x v="365"/>
    <x v="423"/>
    <x v="585"/>
    <x v="1"/>
    <x v="304"/>
    <x v="15"/>
  </r>
  <r>
    <x v="457"/>
    <x v="357"/>
    <x v="1565"/>
    <x v="122"/>
    <x v="122"/>
    <x v="1"/>
    <x v="15"/>
    <x v="15"/>
    <x v="42"/>
    <x v="395"/>
    <x v="253"/>
    <x v="1"/>
    <x v="278"/>
    <x v="691"/>
    <x v="533"/>
    <x v="0"/>
    <x v="597"/>
    <x v="586"/>
    <x v="1"/>
    <x v="537"/>
    <x v="11"/>
  </r>
  <r>
    <x v="607"/>
    <x v="781"/>
    <x v="1566"/>
    <x v="1187"/>
    <x v="1187"/>
    <x v="1"/>
    <x v="16"/>
    <x v="16"/>
    <x v="52"/>
    <x v="371"/>
    <x v="361"/>
    <x v="0"/>
    <x v="774"/>
    <x v="85"/>
    <x v="831"/>
    <x v="0"/>
    <x v="271"/>
    <x v="31"/>
    <x v="0"/>
    <x v="907"/>
    <x v="25"/>
  </r>
  <r>
    <x v="468"/>
    <x v="123"/>
    <x v="1567"/>
    <x v="770"/>
    <x v="770"/>
    <x v="0"/>
    <x v="12"/>
    <x v="12"/>
    <x v="62"/>
    <x v="137"/>
    <x v="194"/>
    <x v="1"/>
    <x v="1057"/>
    <x v="68"/>
    <x v="1119"/>
    <x v="0"/>
    <x v="411"/>
    <x v="8"/>
    <x v="0"/>
    <x v="1527"/>
    <x v="23"/>
  </r>
  <r>
    <x v="549"/>
    <x v="795"/>
    <x v="1568"/>
    <x v="1086"/>
    <x v="1086"/>
    <x v="1"/>
    <x v="20"/>
    <x v="20"/>
    <x v="59"/>
    <x v="510"/>
    <x v="166"/>
    <x v="1"/>
    <x v="258"/>
    <x v="585"/>
    <x v="462"/>
    <x v="0"/>
    <x v="405"/>
    <x v="198"/>
    <x v="0"/>
    <x v="440"/>
    <x v="11"/>
  </r>
  <r>
    <x v="426"/>
    <x v="381"/>
    <x v="1569"/>
    <x v="1091"/>
    <x v="1091"/>
    <x v="0"/>
    <x v="9"/>
    <x v="9"/>
    <x v="40"/>
    <x v="201"/>
    <x v="366"/>
    <x v="0"/>
    <x v="939"/>
    <x v="142"/>
    <x v="1093"/>
    <x v="0"/>
    <x v="405"/>
    <x v="386"/>
    <x v="1"/>
    <x v="1700"/>
    <x v="30"/>
  </r>
  <r>
    <x v="282"/>
    <x v="636"/>
    <x v="1570"/>
    <x v="558"/>
    <x v="558"/>
    <x v="1"/>
    <x v="11"/>
    <x v="11"/>
    <x v="53"/>
    <x v="202"/>
    <x v="308"/>
    <x v="0"/>
    <x v="772"/>
    <x v="481"/>
    <x v="1133"/>
    <x v="405"/>
    <x v="404"/>
    <x v="579"/>
    <x v="1"/>
    <x v="1728"/>
    <x v="15"/>
  </r>
  <r>
    <x v="599"/>
    <x v="53"/>
    <x v="1127"/>
    <x v="496"/>
    <x v="496"/>
    <x v="0"/>
    <x v="20"/>
    <x v="20"/>
    <x v="63"/>
    <x v="334"/>
    <x v="314"/>
    <x v="0"/>
    <x v="759"/>
    <x v="322"/>
    <x v="567"/>
    <x v="89"/>
    <x v="588"/>
    <x v="210"/>
    <x v="0"/>
    <x v="971"/>
    <x v="23"/>
  </r>
  <r>
    <x v="487"/>
    <x v="129"/>
    <x v="1572"/>
    <x v="1167"/>
    <x v="1167"/>
    <x v="1"/>
    <x v="13"/>
    <x v="13"/>
    <x v="52"/>
    <x v="477"/>
    <x v="74"/>
    <x v="1"/>
    <x v="962"/>
    <x v="606"/>
    <x v="936"/>
    <x v="360"/>
    <x v="363"/>
    <x v="353"/>
    <x v="1"/>
    <x v="162"/>
    <x v="11"/>
  </r>
  <r>
    <x v="568"/>
    <x v="468"/>
    <x v="1573"/>
    <x v="271"/>
    <x v="271"/>
    <x v="0"/>
    <x v="15"/>
    <x v="15"/>
    <x v="0"/>
    <x v="326"/>
    <x v="186"/>
    <x v="1"/>
    <x v="257"/>
    <x v="540"/>
    <x v="900"/>
    <x v="0"/>
    <x v="543"/>
    <x v="274"/>
    <x v="0"/>
    <x v="528"/>
    <x v="25"/>
  </r>
  <r>
    <x v="568"/>
    <x v="468"/>
    <x v="1573"/>
    <x v="271"/>
    <x v="271"/>
    <x v="0"/>
    <x v="15"/>
    <x v="15"/>
    <x v="62"/>
    <x v="325"/>
    <x v="182"/>
    <x v="1"/>
    <x v="259"/>
    <x v="537"/>
    <x v="905"/>
    <x v="0"/>
    <x v="595"/>
    <x v="263"/>
    <x v="0"/>
    <x v="494"/>
    <x v="25"/>
  </r>
  <r>
    <x v="609"/>
    <x v="216"/>
    <x v="1564"/>
    <x v="636"/>
    <x v="636"/>
    <x v="1"/>
    <x v="20"/>
    <x v="20"/>
    <x v="62"/>
    <x v="474"/>
    <x v="401"/>
    <x v="0"/>
    <x v="1239"/>
    <x v="687"/>
    <x v="895"/>
    <x v="127"/>
    <x v="150"/>
    <x v="451"/>
    <x v="1"/>
    <x v="377"/>
    <x v="13"/>
  </r>
  <r>
    <x v="79"/>
    <x v="809"/>
    <x v="1575"/>
    <x v="1241"/>
    <x v="1241"/>
    <x v="1"/>
    <x v="1"/>
    <x v="1"/>
    <x v="57"/>
    <x v="260"/>
    <x v="450"/>
    <x v="0"/>
    <x v="1338"/>
    <x v="234"/>
    <x v="1045"/>
    <x v="424"/>
    <x v="478"/>
    <x v="466"/>
    <x v="1"/>
    <x v="332"/>
    <x v="52"/>
  </r>
  <r>
    <x v="397"/>
    <x v="398"/>
    <x v="1576"/>
    <x v="981"/>
    <x v="981"/>
    <x v="0"/>
    <x v="12"/>
    <x v="12"/>
    <x v="55"/>
    <x v="354"/>
    <x v="398"/>
    <x v="0"/>
    <x v="1107"/>
    <x v="106"/>
    <x v="404"/>
    <x v="62"/>
    <x v="438"/>
    <x v="428"/>
    <x v="1"/>
    <x v="914"/>
    <x v="23"/>
  </r>
  <r>
    <x v="356"/>
    <x v="546"/>
    <x v="1577"/>
    <x v="43"/>
    <x v="43"/>
    <x v="0"/>
    <x v="8"/>
    <x v="8"/>
    <x v="66"/>
    <x v="109"/>
    <x v="457"/>
    <x v="0"/>
    <x v="1553"/>
    <x v="352"/>
    <x v="622"/>
    <x v="0"/>
    <x v="488"/>
    <x v="671"/>
    <x v="1"/>
    <x v="737"/>
    <x v="38"/>
  </r>
  <r>
    <x v="436"/>
    <x v="431"/>
    <x v="1578"/>
    <x v="828"/>
    <x v="828"/>
    <x v="0"/>
    <x v="11"/>
    <x v="11"/>
    <x v="55"/>
    <x v="456"/>
    <x v="436"/>
    <x v="0"/>
    <x v="631"/>
    <x v="147"/>
    <x v="256"/>
    <x v="495"/>
    <x v="416"/>
    <x v="546"/>
    <x v="1"/>
    <x v="975"/>
    <x v="23"/>
  </r>
  <r>
    <x v="168"/>
    <x v="673"/>
    <x v="1579"/>
    <x v="784"/>
    <x v="784"/>
    <x v="0"/>
    <x v="7"/>
    <x v="7"/>
    <x v="64"/>
    <x v="555"/>
    <x v="203"/>
    <x v="1"/>
    <x v="1076"/>
    <x v="389"/>
    <x v="848"/>
    <x v="0"/>
    <x v="199"/>
    <x v="645"/>
    <x v="1"/>
    <x v="1075"/>
    <x v="11"/>
  </r>
  <r>
    <x v="49"/>
    <x v="497"/>
    <x v="1580"/>
    <x v="1441"/>
    <x v="1441"/>
    <x v="0"/>
    <x v="1"/>
    <x v="1"/>
    <x v="45"/>
    <x v="34"/>
    <x v="145"/>
    <x v="1"/>
    <x v="639"/>
    <x v="78"/>
    <x v="1149"/>
    <x v="0"/>
    <x v="410"/>
    <x v="49"/>
    <x v="0"/>
    <x v="1249"/>
    <x v="30"/>
  </r>
  <r>
    <x v="105"/>
    <x v="205"/>
    <x v="1581"/>
    <x v="781"/>
    <x v="781"/>
    <x v="0"/>
    <x v="1"/>
    <x v="1"/>
    <x v="59"/>
    <x v="360"/>
    <x v="187"/>
    <x v="1"/>
    <x v="46"/>
    <x v="169"/>
    <x v="1017"/>
    <x v="427"/>
    <x v="163"/>
    <x v="589"/>
    <x v="1"/>
    <x v="82"/>
    <x v="23"/>
  </r>
  <r>
    <x v="308"/>
    <x v="683"/>
    <x v="1582"/>
    <x v="808"/>
    <x v="808"/>
    <x v="0"/>
    <x v="8"/>
    <x v="8"/>
    <x v="1"/>
    <x v="18"/>
    <x v="123"/>
    <x v="1"/>
    <x v="609"/>
    <x v="83"/>
    <x v="1063"/>
    <x v="0"/>
    <x v="565"/>
    <x v="43"/>
    <x v="0"/>
    <x v="6"/>
    <x v="23"/>
  </r>
  <r>
    <x v="417"/>
    <x v="758"/>
    <x v="1583"/>
    <x v="1730"/>
    <x v="1730"/>
    <x v="0"/>
    <x v="10"/>
    <x v="10"/>
    <x v="37"/>
    <x v="390"/>
    <x v="501"/>
    <x v="0"/>
    <x v="1525"/>
    <x v="516"/>
    <x v="595"/>
    <x v="681"/>
    <x v="646"/>
    <x v="748"/>
    <x v="1"/>
    <x v="1523"/>
    <x v="34"/>
  </r>
  <r>
    <x v="64"/>
    <x v="143"/>
    <x v="1584"/>
    <x v="1240"/>
    <x v="1240"/>
    <x v="0"/>
    <x v="1"/>
    <x v="1"/>
    <x v="50"/>
    <x v="269"/>
    <x v="486"/>
    <x v="0"/>
    <x v="790"/>
    <x v="176"/>
    <x v="892"/>
    <x v="0"/>
    <x v="422"/>
    <x v="415"/>
    <x v="1"/>
    <x v="300"/>
    <x v="23"/>
  </r>
  <r>
    <x v="57"/>
    <x v="629"/>
    <x v="1585"/>
    <x v="1619"/>
    <x v="1619"/>
    <x v="0"/>
    <x v="13"/>
    <x v="13"/>
    <x v="51"/>
    <x v="318"/>
    <x v="335"/>
    <x v="0"/>
    <x v="1127"/>
    <x v="38"/>
    <x v="104"/>
    <x v="653"/>
    <x v="553"/>
    <x v="414"/>
    <x v="1"/>
    <x v="665"/>
    <x v="38"/>
  </r>
  <r>
    <x v="406"/>
    <x v="28"/>
    <x v="1586"/>
    <x v="593"/>
    <x v="593"/>
    <x v="0"/>
    <x v="10"/>
    <x v="10"/>
    <x v="37"/>
    <x v="267"/>
    <x v="568"/>
    <x v="0"/>
    <x v="1631"/>
    <x v="586"/>
    <x v="862"/>
    <x v="341"/>
    <x v="14"/>
    <x v="661"/>
    <x v="1"/>
    <x v="185"/>
    <x v="23"/>
  </r>
  <r>
    <x v="274"/>
    <x v="397"/>
    <x v="1587"/>
    <x v="1381"/>
    <x v="1381"/>
    <x v="0"/>
    <x v="5"/>
    <x v="5"/>
    <x v="41"/>
    <x v="197"/>
    <x v="4"/>
    <x v="1"/>
    <x v="9"/>
    <x v="60"/>
    <x v="1194"/>
    <x v="438"/>
    <x v="392"/>
    <x v="28"/>
    <x v="0"/>
    <x v="1160"/>
    <x v="27"/>
  </r>
  <r>
    <x v="366"/>
    <x v="133"/>
    <x v="1588"/>
    <x v="22"/>
    <x v="22"/>
    <x v="0"/>
    <x v="8"/>
    <x v="8"/>
    <x v="10"/>
    <x v="478"/>
    <x v="461"/>
    <x v="0"/>
    <x v="411"/>
    <x v="330"/>
    <x v="1000"/>
    <x v="673"/>
    <x v="139"/>
    <x v="554"/>
    <x v="1"/>
    <x v="1163"/>
    <x v="52"/>
  </r>
  <r>
    <x v="436"/>
    <x v="431"/>
    <x v="1589"/>
    <x v="1747"/>
    <x v="1747"/>
    <x v="0"/>
    <x v="13"/>
    <x v="13"/>
    <x v="53"/>
    <x v="218"/>
    <x v="368"/>
    <x v="0"/>
    <x v="455"/>
    <x v="153"/>
    <x v="42"/>
    <x v="658"/>
    <x v="413"/>
    <x v="213"/>
    <x v="0"/>
    <x v="1177"/>
    <x v="23"/>
  </r>
  <r>
    <x v="341"/>
    <x v="458"/>
    <x v="1590"/>
    <x v="526"/>
    <x v="526"/>
    <x v="1"/>
    <x v="11"/>
    <x v="11"/>
    <x v="39"/>
    <x v="296"/>
    <x v="447"/>
    <x v="0"/>
    <x v="340"/>
    <x v="147"/>
    <x v="1087"/>
    <x v="351"/>
    <x v="411"/>
    <x v="363"/>
    <x v="1"/>
    <x v="1353"/>
    <x v="23"/>
  </r>
  <r>
    <x v="330"/>
    <x v="725"/>
    <x v="1591"/>
    <x v="1661"/>
    <x v="1661"/>
    <x v="0"/>
    <x v="12"/>
    <x v="12"/>
    <x v="43"/>
    <x v="153"/>
    <x v="430"/>
    <x v="0"/>
    <x v="573"/>
    <x v="182"/>
    <x v="555"/>
    <x v="21"/>
    <x v="426"/>
    <x v="42"/>
    <x v="0"/>
    <x v="545"/>
    <x v="23"/>
  </r>
  <r>
    <x v="584"/>
    <x v="822"/>
    <x v="1592"/>
    <x v="663"/>
    <x v="663"/>
    <x v="0"/>
    <x v="15"/>
    <x v="15"/>
    <x v="49"/>
    <x v="338"/>
    <x v="467"/>
    <x v="0"/>
    <x v="1195"/>
    <x v="194"/>
    <x v="849"/>
    <x v="0"/>
    <x v="423"/>
    <x v="385"/>
    <x v="1"/>
    <x v="1206"/>
    <x v="7"/>
  </r>
  <r>
    <x v="759"/>
    <x v="571"/>
    <x v="1571"/>
    <x v="1787"/>
    <x v="1787"/>
    <x v="1"/>
    <x v="20"/>
    <x v="20"/>
    <x v="62"/>
    <x v="525"/>
    <x v="276"/>
    <x v="0"/>
    <x v="1466"/>
    <x v="673"/>
    <x v="1134"/>
    <x v="220"/>
    <x v="122"/>
    <x v="288"/>
    <x v="0"/>
    <x v="401"/>
    <x v="21"/>
  </r>
  <r>
    <x v="834"/>
    <x v="102"/>
    <x v="1594"/>
    <x v="395"/>
    <x v="395"/>
    <x v="0"/>
    <x v="21"/>
    <x v="21"/>
    <x v="55"/>
    <x v="478"/>
    <x v="279"/>
    <x v="0"/>
    <x v="119"/>
    <x v="574"/>
    <x v="709"/>
    <x v="0"/>
    <x v="569"/>
    <x v="635"/>
    <x v="1"/>
    <x v="437"/>
    <x v="8"/>
  </r>
  <r>
    <x v="180"/>
    <x v="94"/>
    <x v="1492"/>
    <x v="1768"/>
    <x v="1768"/>
    <x v="1"/>
    <x v="4"/>
    <x v="4"/>
    <x v="50"/>
    <x v="310"/>
    <x v="210"/>
    <x v="1"/>
    <x v="1442"/>
    <x v="627"/>
    <x v="505"/>
    <x v="198"/>
    <x v="626"/>
    <x v="399"/>
    <x v="1"/>
    <x v="1771"/>
    <x v="11"/>
  </r>
  <r>
    <x v="818"/>
    <x v="602"/>
    <x v="259"/>
    <x v="1183"/>
    <x v="1183"/>
    <x v="0"/>
    <x v="20"/>
    <x v="20"/>
    <x v="60"/>
    <x v="458"/>
    <x v="373"/>
    <x v="0"/>
    <x v="1224"/>
    <x v="262"/>
    <x v="1030"/>
    <x v="0"/>
    <x v="447"/>
    <x v="588"/>
    <x v="1"/>
    <x v="1136"/>
    <x v="29"/>
  </r>
  <r>
    <x v="719"/>
    <x v="132"/>
    <x v="1100"/>
    <x v="965"/>
    <x v="965"/>
    <x v="0"/>
    <x v="20"/>
    <x v="20"/>
    <x v="60"/>
    <x v="272"/>
    <x v="314"/>
    <x v="0"/>
    <x v="1186"/>
    <x v="435"/>
    <x v="919"/>
    <x v="485"/>
    <x v="441"/>
    <x v="114"/>
    <x v="0"/>
    <x v="1256"/>
    <x v="23"/>
  </r>
  <r>
    <x v="581"/>
    <x v="677"/>
    <x v="1598"/>
    <x v="975"/>
    <x v="975"/>
    <x v="0"/>
    <x v="16"/>
    <x v="16"/>
    <x v="44"/>
    <x v="251"/>
    <x v="389"/>
    <x v="0"/>
    <x v="1007"/>
    <x v="121"/>
    <x v="635"/>
    <x v="0"/>
    <x v="446"/>
    <x v="455"/>
    <x v="1"/>
    <x v="131"/>
    <x v="23"/>
  </r>
  <r>
    <x v="581"/>
    <x v="677"/>
    <x v="1598"/>
    <x v="976"/>
    <x v="976"/>
    <x v="0"/>
    <x v="16"/>
    <x v="16"/>
    <x v="50"/>
    <x v="251"/>
    <x v="389"/>
    <x v="0"/>
    <x v="1007"/>
    <x v="121"/>
    <x v="635"/>
    <x v="0"/>
    <x v="446"/>
    <x v="455"/>
    <x v="1"/>
    <x v="131"/>
    <x v="23"/>
  </r>
  <r>
    <x v="643"/>
    <x v="762"/>
    <x v="1599"/>
    <x v="1253"/>
    <x v="1253"/>
    <x v="1"/>
    <x v="17"/>
    <x v="17"/>
    <x v="70"/>
    <x v="220"/>
    <x v="171"/>
    <x v="1"/>
    <x v="313"/>
    <x v="253"/>
    <x v="711"/>
    <x v="0"/>
    <x v="439"/>
    <x v="41"/>
    <x v="0"/>
    <x v="759"/>
    <x v="30"/>
  </r>
  <r>
    <x v="204"/>
    <x v="456"/>
    <x v="1600"/>
    <x v="1121"/>
    <x v="1121"/>
    <x v="1"/>
    <x v="5"/>
    <x v="5"/>
    <x v="34"/>
    <x v="483"/>
    <x v="353"/>
    <x v="0"/>
    <x v="99"/>
    <x v="776"/>
    <x v="916"/>
    <x v="125"/>
    <x v="102"/>
    <x v="735"/>
    <x v="1"/>
    <x v="628"/>
    <x v="15"/>
  </r>
  <r>
    <x v="153"/>
    <x v="433"/>
    <x v="1601"/>
    <x v="670"/>
    <x v="670"/>
    <x v="0"/>
    <x v="4"/>
    <x v="4"/>
    <x v="52"/>
    <x v="242"/>
    <x v="523"/>
    <x v="0"/>
    <x v="380"/>
    <x v="543"/>
    <x v="430"/>
    <x v="5"/>
    <x v="350"/>
    <x v="680"/>
    <x v="1"/>
    <x v="1793"/>
    <x v="52"/>
  </r>
  <r>
    <x v="302"/>
    <x v="766"/>
    <x v="1602"/>
    <x v="1060"/>
    <x v="1060"/>
    <x v="0"/>
    <x v="7"/>
    <x v="7"/>
    <x v="60"/>
    <x v="2"/>
    <x v="512"/>
    <x v="0"/>
    <x v="1346"/>
    <x v="464"/>
    <x v="121"/>
    <x v="436"/>
    <x v="728"/>
    <x v="156"/>
    <x v="0"/>
    <x v="1789"/>
    <x v="38"/>
  </r>
  <r>
    <x v="193"/>
    <x v="98"/>
    <x v="1797"/>
    <x v="1563"/>
    <x v="1563"/>
    <x v="0"/>
    <x v="5"/>
    <x v="5"/>
    <x v="54"/>
    <x v="467"/>
    <x v="288"/>
    <x v="0"/>
    <x v="1520"/>
    <x v="647"/>
    <x v="843"/>
    <x v="0"/>
    <x v="436"/>
    <x v="649"/>
    <x v="1"/>
    <x v="325"/>
    <x v="11"/>
  </r>
  <r>
    <x v="744"/>
    <x v="135"/>
    <x v="201"/>
    <x v="903"/>
    <x v="903"/>
    <x v="1"/>
    <x v="20"/>
    <x v="20"/>
    <x v="58"/>
    <x v="545"/>
    <x v="304"/>
    <x v="0"/>
    <x v="493"/>
    <x v="568"/>
    <x v="704"/>
    <x v="0"/>
    <x v="529"/>
    <x v="328"/>
    <x v="0"/>
    <x v="1071"/>
    <x v="11"/>
  </r>
  <r>
    <x v="158"/>
    <x v="670"/>
    <x v="1605"/>
    <x v="1109"/>
    <x v="1109"/>
    <x v="0"/>
    <x v="15"/>
    <x v="15"/>
    <x v="32"/>
    <x v="166"/>
    <x v="533"/>
    <x v="0"/>
    <x v="509"/>
    <x v="126"/>
    <x v="104"/>
    <x v="680"/>
    <x v="688"/>
    <x v="335"/>
    <x v="0"/>
    <x v="1502"/>
    <x v="25"/>
  </r>
  <r>
    <x v="810"/>
    <x v="827"/>
    <x v="1606"/>
    <x v="388"/>
    <x v="388"/>
    <x v="1"/>
    <x v="21"/>
    <x v="21"/>
    <x v="55"/>
    <x v="429"/>
    <x v="190"/>
    <x v="1"/>
    <x v="341"/>
    <x v="612"/>
    <x v="469"/>
    <x v="0"/>
    <x v="436"/>
    <x v="70"/>
    <x v="0"/>
    <x v="436"/>
    <x v="11"/>
  </r>
  <r>
    <x v="84"/>
    <x v="370"/>
    <x v="1607"/>
    <x v="53"/>
    <x v="53"/>
    <x v="0"/>
    <x v="3"/>
    <x v="3"/>
    <x v="64"/>
    <x v="278"/>
    <x v="449"/>
    <x v="0"/>
    <x v="787"/>
    <x v="264"/>
    <x v="549"/>
    <x v="0"/>
    <x v="115"/>
    <x v="713"/>
    <x v="1"/>
    <x v="1661"/>
    <x v="47"/>
  </r>
  <r>
    <x v="593"/>
    <x v="833"/>
    <x v="1607"/>
    <x v="172"/>
    <x v="172"/>
    <x v="0"/>
    <x v="20"/>
    <x v="20"/>
    <x v="66"/>
    <x v="388"/>
    <x v="258"/>
    <x v="1"/>
    <x v="1554"/>
    <x v="190"/>
    <x v="909"/>
    <x v="0"/>
    <x v="416"/>
    <x v="284"/>
    <x v="0"/>
    <x v="677"/>
    <x v="13"/>
  </r>
  <r>
    <x v="6"/>
    <x v="242"/>
    <x v="1608"/>
    <x v="1351"/>
    <x v="1351"/>
    <x v="1"/>
    <x v="15"/>
    <x v="15"/>
    <x v="61"/>
    <x v="415"/>
    <x v="453"/>
    <x v="0"/>
    <x v="1408"/>
    <x v="414"/>
    <x v="632"/>
    <x v="0"/>
    <x v="424"/>
    <x v="458"/>
    <x v="1"/>
    <x v="723"/>
    <x v="7"/>
  </r>
  <r>
    <x v="454"/>
    <x v="223"/>
    <x v="1609"/>
    <x v="145"/>
    <x v="145"/>
    <x v="1"/>
    <x v="13"/>
    <x v="13"/>
    <x v="60"/>
    <x v="401"/>
    <x v="77"/>
    <x v="1"/>
    <x v="125"/>
    <x v="789"/>
    <x v="14"/>
    <x v="320"/>
    <x v="415"/>
    <x v="243"/>
    <x v="0"/>
    <x v="1824"/>
    <x v="15"/>
  </r>
  <r>
    <x v="18"/>
    <x v="222"/>
    <x v="1610"/>
    <x v="41"/>
    <x v="41"/>
    <x v="1"/>
    <x v="1"/>
    <x v="1"/>
    <x v="68"/>
    <x v="541"/>
    <x v="509"/>
    <x v="0"/>
    <x v="1630"/>
    <x v="724"/>
    <x v="490"/>
    <x v="0"/>
    <x v="297"/>
    <x v="171"/>
    <x v="0"/>
    <x v="367"/>
    <x v="7"/>
  </r>
  <r>
    <x v="541"/>
    <x v="66"/>
    <x v="1611"/>
    <x v="111"/>
    <x v="111"/>
    <x v="0"/>
    <x v="16"/>
    <x v="16"/>
    <x v="71"/>
    <x v="166"/>
    <x v="435"/>
    <x v="0"/>
    <x v="833"/>
    <x v="175"/>
    <x v="407"/>
    <x v="0"/>
    <x v="545"/>
    <x v="487"/>
    <x v="1"/>
    <x v="1095"/>
    <x v="25"/>
  </r>
  <r>
    <x v="701"/>
    <x v="526"/>
    <x v="1612"/>
    <x v="161"/>
    <x v="161"/>
    <x v="0"/>
    <x v="18"/>
    <x v="18"/>
    <x v="56"/>
    <x v="267"/>
    <x v="179"/>
    <x v="1"/>
    <x v="454"/>
    <x v="38"/>
    <x v="453"/>
    <x v="42"/>
    <x v="408"/>
    <x v="75"/>
    <x v="0"/>
    <x v="232"/>
    <x v="25"/>
  </r>
  <r>
    <x v="397"/>
    <x v="398"/>
    <x v="1613"/>
    <x v="974"/>
    <x v="974"/>
    <x v="0"/>
    <x v="14"/>
    <x v="14"/>
    <x v="58"/>
    <x v="322"/>
    <x v="392"/>
    <x v="0"/>
    <x v="1297"/>
    <x v="99"/>
    <x v="84"/>
    <x v="0"/>
    <x v="502"/>
    <x v="677"/>
    <x v="1"/>
    <x v="1346"/>
    <x v="23"/>
  </r>
  <r>
    <x v="457"/>
    <x v="357"/>
    <x v="1614"/>
    <x v="966"/>
    <x v="966"/>
    <x v="0"/>
    <x v="15"/>
    <x v="15"/>
    <x v="36"/>
    <x v="196"/>
    <x v="436"/>
    <x v="0"/>
    <x v="1326"/>
    <x v="565"/>
    <x v="632"/>
    <x v="0"/>
    <x v="440"/>
    <x v="358"/>
    <x v="1"/>
    <x v="1169"/>
    <x v="11"/>
  </r>
  <r>
    <x v="315"/>
    <x v="278"/>
    <x v="1615"/>
    <x v="1541"/>
    <x v="1541"/>
    <x v="0"/>
    <x v="9"/>
    <x v="9"/>
    <x v="64"/>
    <x v="84"/>
    <x v="558"/>
    <x v="0"/>
    <x v="1289"/>
    <x v="173"/>
    <x v="90"/>
    <x v="0"/>
    <x v="5"/>
    <x v="220"/>
    <x v="0"/>
    <x v="1740"/>
    <x v="46"/>
  </r>
  <r>
    <x v="6"/>
    <x v="242"/>
    <x v="1616"/>
    <x v="1630"/>
    <x v="1630"/>
    <x v="1"/>
    <x v="2"/>
    <x v="2"/>
    <x v="72"/>
    <x v="553"/>
    <x v="262"/>
    <x v="0"/>
    <x v="1214"/>
    <x v="303"/>
    <x v="505"/>
    <x v="0"/>
    <x v="56"/>
    <x v="587"/>
    <x v="1"/>
    <x v="619"/>
    <x v="7"/>
  </r>
  <r>
    <x v="236"/>
    <x v="324"/>
    <x v="1617"/>
    <x v="1083"/>
    <x v="1083"/>
    <x v="0"/>
    <x v="5"/>
    <x v="5"/>
    <x v="65"/>
    <x v="116"/>
    <x v="272"/>
    <x v="0"/>
    <x v="1087"/>
    <x v="38"/>
    <x v="376"/>
    <x v="0"/>
    <x v="463"/>
    <x v="4"/>
    <x v="0"/>
    <x v="126"/>
    <x v="36"/>
  </r>
  <r>
    <x v="10"/>
    <x v="302"/>
    <x v="1618"/>
    <x v="1639"/>
    <x v="1639"/>
    <x v="0"/>
    <x v="1"/>
    <x v="1"/>
    <x v="50"/>
    <x v="375"/>
    <x v="476"/>
    <x v="0"/>
    <x v="352"/>
    <x v="114"/>
    <x v="413"/>
    <x v="537"/>
    <x v="245"/>
    <x v="647"/>
    <x v="1"/>
    <x v="1145"/>
    <x v="23"/>
  </r>
  <r>
    <x v="70"/>
    <x v="808"/>
    <x v="1619"/>
    <x v="792"/>
    <x v="792"/>
    <x v="0"/>
    <x v="8"/>
    <x v="8"/>
    <x v="0"/>
    <x v="14"/>
    <x v="3"/>
    <x v="1"/>
    <x v="56"/>
    <x v="42"/>
    <x v="1185"/>
    <x v="0"/>
    <x v="258"/>
    <x v="65"/>
    <x v="0"/>
    <x v="703"/>
    <x v="23"/>
  </r>
  <r>
    <x v="227"/>
    <x v="750"/>
    <x v="1620"/>
    <x v="1527"/>
    <x v="1527"/>
    <x v="1"/>
    <x v="4"/>
    <x v="4"/>
    <x v="49"/>
    <x v="393"/>
    <x v="556"/>
    <x v="0"/>
    <x v="1638"/>
    <x v="103"/>
    <x v="561"/>
    <x v="0"/>
    <x v="437"/>
    <x v="755"/>
    <x v="1"/>
    <x v="734"/>
    <x v="7"/>
  </r>
  <r>
    <x v="434"/>
    <x v="476"/>
    <x v="1621"/>
    <x v="1210"/>
    <x v="1210"/>
    <x v="1"/>
    <x v="13"/>
    <x v="13"/>
    <x v="56"/>
    <x v="226"/>
    <x v="489"/>
    <x v="0"/>
    <x v="1358"/>
    <x v="580"/>
    <x v="426"/>
    <x v="0"/>
    <x v="459"/>
    <x v="483"/>
    <x v="1"/>
    <x v="1490"/>
    <x v="11"/>
  </r>
  <r>
    <x v="240"/>
    <x v="316"/>
    <x v="1622"/>
    <x v="1314"/>
    <x v="1314"/>
    <x v="0"/>
    <x v="8"/>
    <x v="8"/>
    <x v="57"/>
    <x v="391"/>
    <x v="370"/>
    <x v="0"/>
    <x v="1452"/>
    <x v="90"/>
    <x v="928"/>
    <x v="0"/>
    <x v="482"/>
    <x v="560"/>
    <x v="1"/>
    <x v="890"/>
    <x v="30"/>
  </r>
  <r>
    <x v="120"/>
    <x v="62"/>
    <x v="1623"/>
    <x v="503"/>
    <x v="503"/>
    <x v="0"/>
    <x v="4"/>
    <x v="4"/>
    <x v="51"/>
    <x v="416"/>
    <x v="251"/>
    <x v="1"/>
    <x v="1256"/>
    <x v="70"/>
    <x v="443"/>
    <x v="598"/>
    <x v="167"/>
    <x v="498"/>
    <x v="1"/>
    <x v="608"/>
    <x v="23"/>
  </r>
  <r>
    <x v="193"/>
    <x v="98"/>
    <x v="1624"/>
    <x v="1728"/>
    <x v="1728"/>
    <x v="0"/>
    <x v="12"/>
    <x v="12"/>
    <x v="55"/>
    <x v="449"/>
    <x v="413"/>
    <x v="0"/>
    <x v="200"/>
    <x v="376"/>
    <x v="706"/>
    <x v="76"/>
    <x v="735"/>
    <x v="283"/>
    <x v="0"/>
    <x v="1189"/>
    <x v="11"/>
  </r>
  <r>
    <x v="26"/>
    <x v="538"/>
    <x v="1625"/>
    <x v="1744"/>
    <x v="1744"/>
    <x v="0"/>
    <x v="2"/>
    <x v="2"/>
    <x v="40"/>
    <x v="317"/>
    <x v="344"/>
    <x v="0"/>
    <x v="29"/>
    <x v="629"/>
    <x v="1049"/>
    <x v="386"/>
    <x v="572"/>
    <x v="385"/>
    <x v="1"/>
    <x v="1181"/>
    <x v="25"/>
  </r>
  <r>
    <x v="599"/>
    <x v="53"/>
    <x v="1626"/>
    <x v="968"/>
    <x v="968"/>
    <x v="0"/>
    <x v="15"/>
    <x v="15"/>
    <x v="51"/>
    <x v="280"/>
    <x v="478"/>
    <x v="0"/>
    <x v="1512"/>
    <x v="578"/>
    <x v="1011"/>
    <x v="0"/>
    <x v="230"/>
    <x v="675"/>
    <x v="1"/>
    <x v="117"/>
    <x v="23"/>
  </r>
  <r>
    <x v="698"/>
    <x v="149"/>
    <x v="1627"/>
    <x v="184"/>
    <x v="184"/>
    <x v="0"/>
    <x v="20"/>
    <x v="20"/>
    <x v="50"/>
    <x v="390"/>
    <x v="369"/>
    <x v="0"/>
    <x v="712"/>
    <x v="649"/>
    <x v="1024"/>
    <x v="64"/>
    <x v="140"/>
    <x v="475"/>
    <x v="1"/>
    <x v="791"/>
    <x v="23"/>
  </r>
  <r>
    <x v="360"/>
    <x v="770"/>
    <x v="1628"/>
    <x v="130"/>
    <x v="130"/>
    <x v="0"/>
    <x v="9"/>
    <x v="9"/>
    <x v="66"/>
    <x v="366"/>
    <x v="407"/>
    <x v="0"/>
    <x v="448"/>
    <x v="565"/>
    <x v="919"/>
    <x v="762"/>
    <x v="608"/>
    <x v="592"/>
    <x v="1"/>
    <x v="784"/>
    <x v="15"/>
  </r>
  <r>
    <x v="193"/>
    <x v="98"/>
    <x v="1262"/>
    <x v="648"/>
    <x v="648"/>
    <x v="0"/>
    <x v="7"/>
    <x v="7"/>
    <x v="61"/>
    <x v="283"/>
    <x v="531"/>
    <x v="0"/>
    <x v="1526"/>
    <x v="644"/>
    <x v="339"/>
    <x v="0"/>
    <x v="770"/>
    <x v="572"/>
    <x v="1"/>
    <x v="1608"/>
    <x v="11"/>
  </r>
  <r>
    <x v="103"/>
    <x v="589"/>
    <x v="1630"/>
    <x v="1105"/>
    <x v="1105"/>
    <x v="1"/>
    <x v="5"/>
    <x v="5"/>
    <x v="52"/>
    <x v="499"/>
    <x v="200"/>
    <x v="1"/>
    <x v="981"/>
    <x v="205"/>
    <x v="866"/>
    <x v="374"/>
    <x v="147"/>
    <x v="468"/>
    <x v="1"/>
    <x v="1099"/>
    <x v="11"/>
  </r>
  <r>
    <x v="103"/>
    <x v="589"/>
    <x v="1631"/>
    <x v="1680"/>
    <x v="1680"/>
    <x v="1"/>
    <x v="3"/>
    <x v="3"/>
    <x v="37"/>
    <x v="447"/>
    <x v="452"/>
    <x v="0"/>
    <x v="534"/>
    <x v="806"/>
    <x v="828"/>
    <x v="15"/>
    <x v="8"/>
    <x v="547"/>
    <x v="1"/>
    <x v="1792"/>
    <x v="11"/>
  </r>
  <r>
    <x v="54"/>
    <x v="592"/>
    <x v="1632"/>
    <x v="442"/>
    <x v="442"/>
    <x v="0"/>
    <x v="2"/>
    <x v="2"/>
    <x v="41"/>
    <x v="454"/>
    <x v="447"/>
    <x v="0"/>
    <x v="388"/>
    <x v="531"/>
    <x v="784"/>
    <x v="0"/>
    <x v="55"/>
    <x v="501"/>
    <x v="1"/>
    <x v="689"/>
    <x v="23"/>
  </r>
  <r>
    <x v="2"/>
    <x v="257"/>
    <x v="1633"/>
    <x v="863"/>
    <x v="863"/>
    <x v="0"/>
    <x v="3"/>
    <x v="3"/>
    <x v="46"/>
    <x v="24"/>
    <x v="125"/>
    <x v="1"/>
    <x v="207"/>
    <x v="54"/>
    <x v="1121"/>
    <x v="0"/>
    <x v="431"/>
    <x v="64"/>
    <x v="0"/>
    <x v="1234"/>
    <x v="24"/>
  </r>
  <r>
    <x v="674"/>
    <x v="682"/>
    <x v="1634"/>
    <x v="374"/>
    <x v="374"/>
    <x v="0"/>
    <x v="19"/>
    <x v="19"/>
    <x v="0"/>
    <x v="487"/>
    <x v="400"/>
    <x v="0"/>
    <x v="1293"/>
    <x v="312"/>
    <x v="1068"/>
    <x v="0"/>
    <x v="341"/>
    <x v="755"/>
    <x v="1"/>
    <x v="972"/>
    <x v="23"/>
  </r>
  <r>
    <x v="371"/>
    <x v="130"/>
    <x v="1635"/>
    <x v="1330"/>
    <x v="1330"/>
    <x v="0"/>
    <x v="14"/>
    <x v="14"/>
    <x v="51"/>
    <x v="360"/>
    <x v="474"/>
    <x v="0"/>
    <x v="1393"/>
    <x v="140"/>
    <x v="171"/>
    <x v="457"/>
    <x v="378"/>
    <x v="576"/>
    <x v="1"/>
    <x v="1192"/>
    <x v="13"/>
  </r>
  <r>
    <x v="627"/>
    <x v="232"/>
    <x v="1636"/>
    <x v="1615"/>
    <x v="1615"/>
    <x v="0"/>
    <x v="16"/>
    <x v="16"/>
    <x v="67"/>
    <x v="415"/>
    <x v="80"/>
    <x v="1"/>
    <x v="580"/>
    <x v="43"/>
    <x v="1107"/>
    <x v="0"/>
    <x v="488"/>
    <x v="428"/>
    <x v="1"/>
    <x v="66"/>
    <x v="23"/>
  </r>
  <r>
    <x v="631"/>
    <x v="768"/>
    <x v="828"/>
    <x v="728"/>
    <x v="728"/>
    <x v="1"/>
    <x v="20"/>
    <x v="20"/>
    <x v="58"/>
    <x v="382"/>
    <x v="434"/>
    <x v="0"/>
    <x v="1588"/>
    <x v="191"/>
    <x v="1064"/>
    <x v="0"/>
    <x v="118"/>
    <x v="520"/>
    <x v="1"/>
    <x v="1204"/>
    <x v="25"/>
  </r>
  <r>
    <x v="335"/>
    <x v="259"/>
    <x v="1638"/>
    <x v="625"/>
    <x v="625"/>
    <x v="0"/>
    <x v="9"/>
    <x v="9"/>
    <x v="54"/>
    <x v="86"/>
    <x v="487"/>
    <x v="0"/>
    <x v="1278"/>
    <x v="356"/>
    <x v="78"/>
    <x v="0"/>
    <x v="16"/>
    <x v="257"/>
    <x v="0"/>
    <x v="1822"/>
    <x v="38"/>
  </r>
  <r>
    <x v="618"/>
    <x v="733"/>
    <x v="1639"/>
    <x v="350"/>
    <x v="350"/>
    <x v="0"/>
    <x v="20"/>
    <x v="20"/>
    <x v="59"/>
    <x v="210"/>
    <x v="176"/>
    <x v="1"/>
    <x v="186"/>
    <x v="181"/>
    <x v="651"/>
    <x v="0"/>
    <x v="340"/>
    <x v="295"/>
    <x v="0"/>
    <x v="645"/>
    <x v="25"/>
  </r>
  <r>
    <x v="703"/>
    <x v="425"/>
    <x v="1640"/>
    <x v="306"/>
    <x v="306"/>
    <x v="0"/>
    <x v="18"/>
    <x v="18"/>
    <x v="0"/>
    <x v="423"/>
    <x v="306"/>
    <x v="0"/>
    <x v="1070"/>
    <x v="127"/>
    <x v="761"/>
    <x v="302"/>
    <x v="547"/>
    <x v="343"/>
    <x v="1"/>
    <x v="967"/>
    <x v="25"/>
  </r>
  <r>
    <x v="397"/>
    <x v="398"/>
    <x v="1641"/>
    <x v="468"/>
    <x v="468"/>
    <x v="0"/>
    <x v="15"/>
    <x v="15"/>
    <x v="46"/>
    <x v="325"/>
    <x v="238"/>
    <x v="1"/>
    <x v="590"/>
    <x v="198"/>
    <x v="438"/>
    <x v="0"/>
    <x v="451"/>
    <x v="625"/>
    <x v="1"/>
    <x v="388"/>
    <x v="23"/>
  </r>
  <r>
    <x v="403"/>
    <x v="813"/>
    <x v="1642"/>
    <x v="1603"/>
    <x v="1603"/>
    <x v="0"/>
    <x v="15"/>
    <x v="15"/>
    <x v="48"/>
    <x v="173"/>
    <x v="396"/>
    <x v="0"/>
    <x v="1465"/>
    <x v="186"/>
    <x v="243"/>
    <x v="0"/>
    <x v="449"/>
    <x v="149"/>
    <x v="0"/>
    <x v="1233"/>
    <x v="11"/>
  </r>
  <r>
    <x v="594"/>
    <x v="55"/>
    <x v="1643"/>
    <x v="470"/>
    <x v="470"/>
    <x v="0"/>
    <x v="15"/>
    <x v="15"/>
    <x v="52"/>
    <x v="186"/>
    <x v="433"/>
    <x v="0"/>
    <x v="863"/>
    <x v="48"/>
    <x v="562"/>
    <x v="76"/>
    <x v="143"/>
    <x v="47"/>
    <x v="0"/>
    <x v="1254"/>
    <x v="25"/>
  </r>
  <r>
    <x v="237"/>
    <x v="179"/>
    <x v="449"/>
    <x v="393"/>
    <x v="393"/>
    <x v="0"/>
    <x v="20"/>
    <x v="20"/>
    <x v="57"/>
    <x v="416"/>
    <x v="440"/>
    <x v="0"/>
    <x v="1473"/>
    <x v="248"/>
    <x v="912"/>
    <x v="0"/>
    <x v="681"/>
    <x v="656"/>
    <x v="1"/>
    <x v="348"/>
    <x v="21"/>
  </r>
  <r>
    <x v="369"/>
    <x v="530"/>
    <x v="1645"/>
    <x v="1397"/>
    <x v="1397"/>
    <x v="1"/>
    <x v="9"/>
    <x v="9"/>
    <x v="45"/>
    <x v="256"/>
    <x v="203"/>
    <x v="1"/>
    <x v="487"/>
    <x v="836"/>
    <x v="999"/>
    <x v="0"/>
    <x v="706"/>
    <x v="328"/>
    <x v="0"/>
    <x v="88"/>
    <x v="11"/>
  </r>
  <r>
    <x v="235"/>
    <x v="503"/>
    <x v="1646"/>
    <x v="508"/>
    <x v="508"/>
    <x v="0"/>
    <x v="4"/>
    <x v="4"/>
    <x v="63"/>
    <x v="347"/>
    <x v="462"/>
    <x v="0"/>
    <x v="1100"/>
    <x v="122"/>
    <x v="632"/>
    <x v="0"/>
    <x v="355"/>
    <x v="633"/>
    <x v="1"/>
    <x v="359"/>
    <x v="23"/>
  </r>
  <r>
    <x v="761"/>
    <x v="359"/>
    <x v="860"/>
    <x v="1024"/>
    <x v="1024"/>
    <x v="1"/>
    <x v="20"/>
    <x v="20"/>
    <x v="57"/>
    <x v="280"/>
    <x v="306"/>
    <x v="0"/>
    <x v="950"/>
    <x v="747"/>
    <x v="85"/>
    <x v="0"/>
    <x v="432"/>
    <x v="230"/>
    <x v="0"/>
    <x v="1399"/>
    <x v="11"/>
  </r>
  <r>
    <x v="335"/>
    <x v="259"/>
    <x v="1648"/>
    <x v="455"/>
    <x v="455"/>
    <x v="0"/>
    <x v="9"/>
    <x v="9"/>
    <x v="62"/>
    <x v="106"/>
    <x v="491"/>
    <x v="0"/>
    <x v="929"/>
    <x v="345"/>
    <x v="253"/>
    <x v="0"/>
    <x v="410"/>
    <x v="425"/>
    <x v="1"/>
    <x v="1614"/>
    <x v="38"/>
  </r>
  <r>
    <x v="5"/>
    <x v="695"/>
    <x v="1649"/>
    <x v="1399"/>
    <x v="1399"/>
    <x v="1"/>
    <x v="1"/>
    <x v="1"/>
    <x v="55"/>
    <x v="341"/>
    <x v="488"/>
    <x v="0"/>
    <x v="338"/>
    <x v="370"/>
    <x v="861"/>
    <x v="364"/>
    <x v="191"/>
    <x v="544"/>
    <x v="1"/>
    <x v="957"/>
    <x v="15"/>
  </r>
  <r>
    <x v="820"/>
    <x v="108"/>
    <x v="1650"/>
    <x v="7"/>
    <x v="7"/>
    <x v="1"/>
    <x v="20"/>
    <x v="20"/>
    <x v="1"/>
    <x v="528"/>
    <x v="42"/>
    <x v="1"/>
    <x v="11"/>
    <x v="723"/>
    <x v="918"/>
    <x v="0"/>
    <x v="417"/>
    <x v="244"/>
    <x v="0"/>
    <x v="614"/>
    <x v="7"/>
  </r>
  <r>
    <x v="571"/>
    <x v="486"/>
    <x v="1651"/>
    <x v="1134"/>
    <x v="1134"/>
    <x v="1"/>
    <x v="14"/>
    <x v="14"/>
    <x v="1"/>
    <x v="415"/>
    <x v="140"/>
    <x v="1"/>
    <x v="331"/>
    <x v="741"/>
    <x v="684"/>
    <x v="0"/>
    <x v="58"/>
    <x v="495"/>
    <x v="1"/>
    <x v="345"/>
    <x v="11"/>
  </r>
  <r>
    <x v="268"/>
    <x v="394"/>
    <x v="1652"/>
    <x v="844"/>
    <x v="844"/>
    <x v="1"/>
    <x v="6"/>
    <x v="6"/>
    <x v="62"/>
    <x v="206"/>
    <x v="340"/>
    <x v="0"/>
    <x v="559"/>
    <x v="706"/>
    <x v="327"/>
    <x v="137"/>
    <x v="462"/>
    <x v="493"/>
    <x v="1"/>
    <x v="132"/>
    <x v="7"/>
  </r>
  <r>
    <x v="228"/>
    <x v="255"/>
    <x v="1653"/>
    <x v="1062"/>
    <x v="1062"/>
    <x v="1"/>
    <x v="11"/>
    <x v="11"/>
    <x v="45"/>
    <x v="422"/>
    <x v="159"/>
    <x v="1"/>
    <x v="260"/>
    <x v="213"/>
    <x v="912"/>
    <x v="0"/>
    <x v="130"/>
    <x v="529"/>
    <x v="1"/>
    <x v="1731"/>
    <x v="15"/>
  </r>
  <r>
    <x v="390"/>
    <x v="632"/>
    <x v="1654"/>
    <x v="1497"/>
    <x v="1497"/>
    <x v="1"/>
    <x v="9"/>
    <x v="9"/>
    <x v="43"/>
    <x v="332"/>
    <x v="460"/>
    <x v="0"/>
    <x v="872"/>
    <x v="818"/>
    <x v="546"/>
    <x v="0"/>
    <x v="207"/>
    <x v="280"/>
    <x v="0"/>
    <x v="1656"/>
    <x v="11"/>
  </r>
  <r>
    <x v="570"/>
    <x v="336"/>
    <x v="1655"/>
    <x v="196"/>
    <x v="196"/>
    <x v="0"/>
    <x v="19"/>
    <x v="19"/>
    <x v="1"/>
    <x v="235"/>
    <x v="410"/>
    <x v="0"/>
    <x v="1052"/>
    <x v="219"/>
    <x v="297"/>
    <x v="733"/>
    <x v="459"/>
    <x v="164"/>
    <x v="0"/>
    <x v="1694"/>
    <x v="38"/>
  </r>
  <r>
    <x v="333"/>
    <x v="512"/>
    <x v="1656"/>
    <x v="229"/>
    <x v="229"/>
    <x v="0"/>
    <x v="7"/>
    <x v="7"/>
    <x v="32"/>
    <x v="314"/>
    <x v="522"/>
    <x v="0"/>
    <x v="1078"/>
    <x v="42"/>
    <x v="36"/>
    <x v="756"/>
    <x v="189"/>
    <x v="630"/>
    <x v="1"/>
    <x v="1240"/>
    <x v="52"/>
  </r>
  <r>
    <x v="763"/>
    <x v="467"/>
    <x v="472"/>
    <x v="477"/>
    <x v="477"/>
    <x v="1"/>
    <x v="20"/>
    <x v="20"/>
    <x v="55"/>
    <x v="302"/>
    <x v="342"/>
    <x v="0"/>
    <x v="1265"/>
    <x v="122"/>
    <x v="583"/>
    <x v="0"/>
    <x v="231"/>
    <x v="269"/>
    <x v="0"/>
    <x v="1568"/>
    <x v="11"/>
  </r>
  <r>
    <x v="470"/>
    <x v="407"/>
    <x v="1658"/>
    <x v="378"/>
    <x v="378"/>
    <x v="0"/>
    <x v="12"/>
    <x v="12"/>
    <x v="66"/>
    <x v="390"/>
    <x v="437"/>
    <x v="0"/>
    <x v="1607"/>
    <x v="607"/>
    <x v="838"/>
    <x v="0"/>
    <x v="583"/>
    <x v="544"/>
    <x v="1"/>
    <x v="922"/>
    <x v="25"/>
  </r>
  <r>
    <x v="6"/>
    <x v="242"/>
    <x v="1"/>
    <x v="1693"/>
    <x v="1693"/>
    <x v="1"/>
    <x v="4"/>
    <x v="4"/>
    <x v="71"/>
    <x v="183"/>
    <x v="447"/>
    <x v="0"/>
    <x v="1507"/>
    <x v="649"/>
    <x v="686"/>
    <x v="0"/>
    <x v="265"/>
    <x v="23"/>
    <x v="0"/>
    <x v="1723"/>
    <x v="7"/>
  </r>
  <r>
    <x v="0"/>
    <x v="122"/>
    <x v="1659"/>
    <x v="1178"/>
    <x v="1178"/>
    <x v="0"/>
    <x v="13"/>
    <x v="13"/>
    <x v="51"/>
    <x v="328"/>
    <x v="306"/>
    <x v="0"/>
    <x v="685"/>
    <x v="377"/>
    <x v="455"/>
    <x v="0"/>
    <x v="504"/>
    <x v="296"/>
    <x v="0"/>
    <x v="1321"/>
    <x v="23"/>
  </r>
  <r>
    <x v="439"/>
    <x v="610"/>
    <x v="1660"/>
    <x v="464"/>
    <x v="464"/>
    <x v="0"/>
    <x v="14"/>
    <x v="14"/>
    <x v="66"/>
    <x v="216"/>
    <x v="560"/>
    <x v="0"/>
    <x v="1270"/>
    <x v="554"/>
    <x v="500"/>
    <x v="0"/>
    <x v="443"/>
    <x v="613"/>
    <x v="1"/>
    <x v="1271"/>
    <x v="14"/>
  </r>
  <r>
    <x v="439"/>
    <x v="610"/>
    <x v="1661"/>
    <x v="1017"/>
    <x v="1017"/>
    <x v="1"/>
    <x v="16"/>
    <x v="16"/>
    <x v="66"/>
    <x v="356"/>
    <x v="402"/>
    <x v="0"/>
    <x v="667"/>
    <x v="312"/>
    <x v="816"/>
    <x v="0"/>
    <x v="764"/>
    <x v="554"/>
    <x v="1"/>
    <x v="1029"/>
    <x v="14"/>
  </r>
  <r>
    <x v="457"/>
    <x v="357"/>
    <x v="1662"/>
    <x v="199"/>
    <x v="199"/>
    <x v="0"/>
    <x v="19"/>
    <x v="19"/>
    <x v="50"/>
    <x v="476"/>
    <x v="310"/>
    <x v="0"/>
    <x v="1117"/>
    <x v="413"/>
    <x v="459"/>
    <x v="0"/>
    <x v="364"/>
    <x v="454"/>
    <x v="1"/>
    <x v="455"/>
    <x v="11"/>
  </r>
  <r>
    <x v="265"/>
    <x v="341"/>
    <x v="1663"/>
    <x v="1322"/>
    <x v="1322"/>
    <x v="1"/>
    <x v="3"/>
    <x v="3"/>
    <x v="45"/>
    <x v="544"/>
    <x v="342"/>
    <x v="0"/>
    <x v="654"/>
    <x v="758"/>
    <x v="701"/>
    <x v="0"/>
    <x v="53"/>
    <x v="487"/>
    <x v="1"/>
    <x v="300"/>
    <x v="11"/>
  </r>
  <r>
    <x v="437"/>
    <x v="189"/>
    <x v="1664"/>
    <x v="1293"/>
    <x v="1293"/>
    <x v="0"/>
    <x v="14"/>
    <x v="14"/>
    <x v="65"/>
    <x v="239"/>
    <x v="387"/>
    <x v="0"/>
    <x v="1410"/>
    <x v="568"/>
    <x v="714"/>
    <x v="724"/>
    <x v="431"/>
    <x v="166"/>
    <x v="0"/>
    <x v="1120"/>
    <x v="13"/>
  </r>
  <r>
    <x v="531"/>
    <x v="313"/>
    <x v="1665"/>
    <x v="774"/>
    <x v="774"/>
    <x v="0"/>
    <x v="13"/>
    <x v="13"/>
    <x v="65"/>
    <x v="195"/>
    <x v="536"/>
    <x v="0"/>
    <x v="652"/>
    <x v="181"/>
    <x v="324"/>
    <x v="0"/>
    <x v="465"/>
    <x v="225"/>
    <x v="0"/>
    <x v="756"/>
    <x v="35"/>
  </r>
  <r>
    <x v="37"/>
    <x v="245"/>
    <x v="1666"/>
    <x v="1075"/>
    <x v="1075"/>
    <x v="1"/>
    <x v="12"/>
    <x v="12"/>
    <x v="49"/>
    <x v="283"/>
    <x v="490"/>
    <x v="0"/>
    <x v="1308"/>
    <x v="261"/>
    <x v="499"/>
    <x v="100"/>
    <x v="420"/>
    <x v="178"/>
    <x v="0"/>
    <x v="1092"/>
    <x v="29"/>
  </r>
  <r>
    <x v="530"/>
    <x v="325"/>
    <x v="1667"/>
    <x v="392"/>
    <x v="392"/>
    <x v="0"/>
    <x v="13"/>
    <x v="13"/>
    <x v="59"/>
    <x v="321"/>
    <x v="383"/>
    <x v="0"/>
    <x v="964"/>
    <x v="584"/>
    <x v="744"/>
    <x v="0"/>
    <x v="467"/>
    <x v="637"/>
    <x v="1"/>
    <x v="501"/>
    <x v="18"/>
  </r>
  <r>
    <x v="555"/>
    <x v="32"/>
    <x v="1668"/>
    <x v="1431"/>
    <x v="1431"/>
    <x v="0"/>
    <x v="13"/>
    <x v="13"/>
    <x v="46"/>
    <x v="223"/>
    <x v="295"/>
    <x v="0"/>
    <x v="1201"/>
    <x v="131"/>
    <x v="340"/>
    <x v="0"/>
    <x v="417"/>
    <x v="139"/>
    <x v="0"/>
    <x v="1111"/>
    <x v="38"/>
  </r>
  <r>
    <x v="454"/>
    <x v="223"/>
    <x v="1669"/>
    <x v="1490"/>
    <x v="1490"/>
    <x v="1"/>
    <x v="18"/>
    <x v="18"/>
    <x v="60"/>
    <x v="427"/>
    <x v="254"/>
    <x v="1"/>
    <x v="195"/>
    <x v="569"/>
    <x v="612"/>
    <x v="303"/>
    <x v="404"/>
    <x v="250"/>
    <x v="0"/>
    <x v="846"/>
    <x v="15"/>
  </r>
  <r>
    <x v="602"/>
    <x v="658"/>
    <x v="1670"/>
    <x v="401"/>
    <x v="401"/>
    <x v="0"/>
    <x v="19"/>
    <x v="19"/>
    <x v="65"/>
    <x v="316"/>
    <x v="39"/>
    <x v="1"/>
    <x v="156"/>
    <x v="174"/>
    <x v="1164"/>
    <x v="0"/>
    <x v="473"/>
    <x v="320"/>
    <x v="0"/>
    <x v="260"/>
    <x v="23"/>
  </r>
  <r>
    <x v="256"/>
    <x v="377"/>
    <x v="1671"/>
    <x v="902"/>
    <x v="902"/>
    <x v="0"/>
    <x v="8"/>
    <x v="8"/>
    <x v="34"/>
    <x v="173"/>
    <x v="423"/>
    <x v="0"/>
    <x v="817"/>
    <x v="173"/>
    <x v="362"/>
    <x v="109"/>
    <x v="450"/>
    <x v="518"/>
    <x v="1"/>
    <x v="129"/>
    <x v="15"/>
  </r>
  <r>
    <x v="155"/>
    <x v="716"/>
    <x v="1672"/>
    <x v="1171"/>
    <x v="1171"/>
    <x v="0"/>
    <x v="5"/>
    <x v="5"/>
    <x v="44"/>
    <x v="221"/>
    <x v="306"/>
    <x v="0"/>
    <x v="993"/>
    <x v="35"/>
    <x v="610"/>
    <x v="0"/>
    <x v="454"/>
    <x v="304"/>
    <x v="0"/>
    <x v="445"/>
    <x v="30"/>
  </r>
  <r>
    <x v="150"/>
    <x v="128"/>
    <x v="1673"/>
    <x v="705"/>
    <x v="705"/>
    <x v="1"/>
    <x v="8"/>
    <x v="8"/>
    <x v="47"/>
    <x v="293"/>
    <x v="160"/>
    <x v="1"/>
    <x v="416"/>
    <x v="799"/>
    <x v="229"/>
    <x v="371"/>
    <x v="499"/>
    <x v="288"/>
    <x v="0"/>
    <x v="1417"/>
    <x v="11"/>
  </r>
  <r>
    <x v="115"/>
    <x v="652"/>
    <x v="1674"/>
    <x v="649"/>
    <x v="649"/>
    <x v="0"/>
    <x v="3"/>
    <x v="3"/>
    <x v="40"/>
    <x v="110"/>
    <x v="522"/>
    <x v="0"/>
    <x v="139"/>
    <x v="358"/>
    <x v="865"/>
    <x v="736"/>
    <x v="98"/>
    <x v="528"/>
    <x v="1"/>
    <x v="1247"/>
    <x v="2"/>
  </r>
  <r>
    <x v="49"/>
    <x v="497"/>
    <x v="1675"/>
    <x v="476"/>
    <x v="476"/>
    <x v="0"/>
    <x v="10"/>
    <x v="10"/>
    <x v="0"/>
    <x v="350"/>
    <x v="266"/>
    <x v="0"/>
    <x v="214"/>
    <x v="240"/>
    <x v="841"/>
    <x v="0"/>
    <x v="523"/>
    <x v="657"/>
    <x v="1"/>
    <x v="58"/>
    <x v="30"/>
  </r>
  <r>
    <x v="268"/>
    <x v="394"/>
    <x v="1676"/>
    <x v="1153"/>
    <x v="1153"/>
    <x v="1"/>
    <x v="7"/>
    <x v="7"/>
    <x v="59"/>
    <x v="187"/>
    <x v="446"/>
    <x v="0"/>
    <x v="990"/>
    <x v="778"/>
    <x v="363"/>
    <x v="0"/>
    <x v="599"/>
    <x v="393"/>
    <x v="1"/>
    <x v="462"/>
    <x v="7"/>
  </r>
  <r>
    <x v="201"/>
    <x v="76"/>
    <x v="1516"/>
    <x v="1203"/>
    <x v="1203"/>
    <x v="0"/>
    <x v="5"/>
    <x v="5"/>
    <x v="59"/>
    <x v="297"/>
    <x v="349"/>
    <x v="0"/>
    <x v="1558"/>
    <x v="722"/>
    <x v="1172"/>
    <x v="189"/>
    <x v="285"/>
    <x v="375"/>
    <x v="1"/>
    <x v="118"/>
    <x v="17"/>
  </r>
  <r>
    <x v="643"/>
    <x v="762"/>
    <x v="1247"/>
    <x v="610"/>
    <x v="610"/>
    <x v="1"/>
    <x v="20"/>
    <x v="20"/>
    <x v="55"/>
    <x v="370"/>
    <x v="278"/>
    <x v="0"/>
    <x v="963"/>
    <x v="538"/>
    <x v="743"/>
    <x v="253"/>
    <x v="415"/>
    <x v="75"/>
    <x v="0"/>
    <x v="543"/>
    <x v="30"/>
  </r>
  <r>
    <x v="100"/>
    <x v="119"/>
    <x v="1764"/>
    <x v="1389"/>
    <x v="1389"/>
    <x v="0"/>
    <x v="4"/>
    <x v="4"/>
    <x v="29"/>
    <x v="321"/>
    <x v="299"/>
    <x v="0"/>
    <x v="1577"/>
    <x v="682"/>
    <x v="990"/>
    <x v="0"/>
    <x v="668"/>
    <x v="576"/>
    <x v="1"/>
    <x v="303"/>
    <x v="15"/>
  </r>
  <r>
    <x v="674"/>
    <x v="682"/>
    <x v="1680"/>
    <x v="205"/>
    <x v="205"/>
    <x v="0"/>
    <x v="19"/>
    <x v="19"/>
    <x v="68"/>
    <x v="94"/>
    <x v="419"/>
    <x v="0"/>
    <x v="1275"/>
    <x v="777"/>
    <x v="848"/>
    <x v="0"/>
    <x v="411"/>
    <x v="575"/>
    <x v="1"/>
    <x v="122"/>
    <x v="23"/>
  </r>
  <r>
    <x v="249"/>
    <x v="401"/>
    <x v="1681"/>
    <x v="504"/>
    <x v="504"/>
    <x v="1"/>
    <x v="5"/>
    <x v="5"/>
    <x v="49"/>
    <x v="563"/>
    <x v="321"/>
    <x v="0"/>
    <x v="1487"/>
    <x v="614"/>
    <x v="547"/>
    <x v="454"/>
    <x v="614"/>
    <x v="751"/>
    <x v="1"/>
    <x v="681"/>
    <x v="31"/>
  </r>
  <r>
    <x v="782"/>
    <x v="237"/>
    <x v="1682"/>
    <x v="672"/>
    <x v="672"/>
    <x v="0"/>
    <x v="20"/>
    <x v="20"/>
    <x v="58"/>
    <x v="118"/>
    <x v="213"/>
    <x v="1"/>
    <x v="724"/>
    <x v="609"/>
    <x v="955"/>
    <x v="0"/>
    <x v="411"/>
    <x v="214"/>
    <x v="0"/>
    <x v="78"/>
    <x v="15"/>
  </r>
  <r>
    <x v="7"/>
    <x v="642"/>
    <x v="1683"/>
    <x v="1590"/>
    <x v="1590"/>
    <x v="0"/>
    <x v="7"/>
    <x v="7"/>
    <x v="44"/>
    <x v="301"/>
    <x v="522"/>
    <x v="0"/>
    <x v="1151"/>
    <x v="171"/>
    <x v="557"/>
    <x v="412"/>
    <x v="144"/>
    <x v="649"/>
    <x v="1"/>
    <x v="850"/>
    <x v="33"/>
  </r>
  <r>
    <x v="513"/>
    <x v="582"/>
    <x v="1684"/>
    <x v="179"/>
    <x v="179"/>
    <x v="0"/>
    <x v="14"/>
    <x v="14"/>
    <x v="0"/>
    <x v="397"/>
    <x v="463"/>
    <x v="0"/>
    <x v="1402"/>
    <x v="297"/>
    <x v="393"/>
    <x v="0"/>
    <x v="429"/>
    <x v="754"/>
    <x v="1"/>
    <x v="657"/>
    <x v="25"/>
  </r>
  <r>
    <x v="310"/>
    <x v="654"/>
    <x v="1685"/>
    <x v="465"/>
    <x v="465"/>
    <x v="0"/>
    <x v="6"/>
    <x v="6"/>
    <x v="48"/>
    <x v="233"/>
    <x v="50"/>
    <x v="1"/>
    <x v="41"/>
    <x v="2"/>
    <x v="1103"/>
    <x v="0"/>
    <x v="455"/>
    <x v="223"/>
    <x v="0"/>
    <x v="405"/>
    <x v="23"/>
  </r>
  <r>
    <x v="54"/>
    <x v="592"/>
    <x v="1686"/>
    <x v="1044"/>
    <x v="1044"/>
    <x v="1"/>
    <x v="14"/>
    <x v="14"/>
    <x v="57"/>
    <x v="104"/>
    <x v="423"/>
    <x v="0"/>
    <x v="1045"/>
    <x v="756"/>
    <x v="124"/>
    <x v="0"/>
    <x v="412"/>
    <x v="416"/>
    <x v="1"/>
    <x v="1814"/>
    <x v="23"/>
  </r>
  <r>
    <x v="457"/>
    <x v="357"/>
    <x v="1687"/>
    <x v="757"/>
    <x v="757"/>
    <x v="0"/>
    <x v="15"/>
    <x v="15"/>
    <x v="39"/>
    <x v="262"/>
    <x v="304"/>
    <x v="0"/>
    <x v="1002"/>
    <x v="695"/>
    <x v="1141"/>
    <x v="0"/>
    <x v="381"/>
    <x v="473"/>
    <x v="1"/>
    <x v="104"/>
    <x v="11"/>
  </r>
  <r>
    <x v="54"/>
    <x v="592"/>
    <x v="1688"/>
    <x v="1329"/>
    <x v="1329"/>
    <x v="0"/>
    <x v="14"/>
    <x v="14"/>
    <x v="62"/>
    <x v="309"/>
    <x v="230"/>
    <x v="1"/>
    <x v="309"/>
    <x v="48"/>
    <x v="124"/>
    <x v="0"/>
    <x v="367"/>
    <x v="391"/>
    <x v="1"/>
    <x v="609"/>
    <x v="23"/>
  </r>
  <r>
    <x v="15"/>
    <x v="17"/>
    <x v="1689"/>
    <x v="1627"/>
    <x v="1627"/>
    <x v="0"/>
    <x v="4"/>
    <x v="4"/>
    <x v="39"/>
    <x v="430"/>
    <x v="224"/>
    <x v="1"/>
    <x v="719"/>
    <x v="739"/>
    <x v="761"/>
    <x v="0"/>
    <x v="285"/>
    <x v="561"/>
    <x v="1"/>
    <x v="296"/>
    <x v="15"/>
  </r>
  <r>
    <x v="632"/>
    <x v="8"/>
    <x v="1868"/>
    <x v="451"/>
    <x v="451"/>
    <x v="0"/>
    <x v="20"/>
    <x v="20"/>
    <x v="55"/>
    <x v="231"/>
    <x v="454"/>
    <x v="0"/>
    <x v="898"/>
    <x v="825"/>
    <x v="410"/>
    <x v="0"/>
    <x v="428"/>
    <x v="52"/>
    <x v="0"/>
    <x v="939"/>
    <x v="23"/>
  </r>
  <r>
    <x v="684"/>
    <x v="127"/>
    <x v="1690"/>
    <x v="1245"/>
    <x v="1245"/>
    <x v="0"/>
    <x v="18"/>
    <x v="18"/>
    <x v="58"/>
    <x v="473"/>
    <x v="241"/>
    <x v="1"/>
    <x v="584"/>
    <x v="391"/>
    <x v="398"/>
    <x v="696"/>
    <x v="97"/>
    <x v="508"/>
    <x v="1"/>
    <x v="471"/>
    <x v="2"/>
  </r>
  <r>
    <x v="737"/>
    <x v="422"/>
    <x v="1691"/>
    <x v="1530"/>
    <x v="1530"/>
    <x v="1"/>
    <x v="19"/>
    <x v="19"/>
    <x v="37"/>
    <x v="136"/>
    <x v="110"/>
    <x v="1"/>
    <x v="217"/>
    <x v="742"/>
    <x v="661"/>
    <x v="367"/>
    <x v="426"/>
    <x v="104"/>
    <x v="0"/>
    <x v="1727"/>
    <x v="7"/>
  </r>
  <r>
    <x v="609"/>
    <x v="216"/>
    <x v="1692"/>
    <x v="664"/>
    <x v="664"/>
    <x v="0"/>
    <x v="15"/>
    <x v="15"/>
    <x v="56"/>
    <x v="451"/>
    <x v="399"/>
    <x v="0"/>
    <x v="1264"/>
    <x v="621"/>
    <x v="102"/>
    <x v="716"/>
    <x v="109"/>
    <x v="12"/>
    <x v="0"/>
    <x v="517"/>
    <x v="13"/>
  </r>
  <r>
    <x v="258"/>
    <x v="409"/>
    <x v="1693"/>
    <x v="254"/>
    <x v="254"/>
    <x v="0"/>
    <x v="6"/>
    <x v="6"/>
    <x v="53"/>
    <x v="312"/>
    <x v="283"/>
    <x v="0"/>
    <x v="351"/>
    <x v="106"/>
    <x v="572"/>
    <x v="0"/>
    <x v="23"/>
    <x v="687"/>
    <x v="1"/>
    <x v="666"/>
    <x v="7"/>
  </r>
  <r>
    <x v="437"/>
    <x v="189"/>
    <x v="1694"/>
    <x v="377"/>
    <x v="377"/>
    <x v="0"/>
    <x v="14"/>
    <x v="14"/>
    <x v="51"/>
    <x v="339"/>
    <x v="393"/>
    <x v="0"/>
    <x v="1641"/>
    <x v="319"/>
    <x v="611"/>
    <x v="0"/>
    <x v="726"/>
    <x v="261"/>
    <x v="0"/>
    <x v="1179"/>
    <x v="13"/>
  </r>
  <r>
    <x v="365"/>
    <x v="704"/>
    <x v="1695"/>
    <x v="510"/>
    <x v="510"/>
    <x v="0"/>
    <x v="10"/>
    <x v="10"/>
    <x v="45"/>
    <x v="182"/>
    <x v="313"/>
    <x v="0"/>
    <x v="1541"/>
    <x v="18"/>
    <x v="95"/>
    <x v="0"/>
    <x v="678"/>
    <x v="331"/>
    <x v="0"/>
    <x v="1590"/>
    <x v="11"/>
  </r>
  <r>
    <x v="82"/>
    <x v="559"/>
    <x v="1696"/>
    <x v="1582"/>
    <x v="1582"/>
    <x v="0"/>
    <x v="2"/>
    <x v="2"/>
    <x v="1"/>
    <x v="222"/>
    <x v="280"/>
    <x v="0"/>
    <x v="513"/>
    <x v="536"/>
    <x v="776"/>
    <x v="444"/>
    <x v="682"/>
    <x v="483"/>
    <x v="1"/>
    <x v="1781"/>
    <x v="14"/>
  </r>
  <r>
    <x v="290"/>
    <x v="160"/>
    <x v="1697"/>
    <x v="992"/>
    <x v="992"/>
    <x v="0"/>
    <x v="14"/>
    <x v="14"/>
    <x v="50"/>
    <x v="229"/>
    <x v="441"/>
    <x v="0"/>
    <x v="669"/>
    <x v="567"/>
    <x v="34"/>
    <x v="57"/>
    <x v="460"/>
    <x v="476"/>
    <x v="1"/>
    <x v="1257"/>
    <x v="15"/>
  </r>
  <r>
    <x v="447"/>
    <x v="406"/>
    <x v="1698"/>
    <x v="1332"/>
    <x v="1332"/>
    <x v="1"/>
    <x v="10"/>
    <x v="10"/>
    <x v="27"/>
    <x v="296"/>
    <x v="188"/>
    <x v="1"/>
    <x v="911"/>
    <x v="334"/>
    <x v="181"/>
    <x v="127"/>
    <x v="438"/>
    <x v="20"/>
    <x v="0"/>
    <x v="1641"/>
    <x v="30"/>
  </r>
  <r>
    <x v="54"/>
    <x v="592"/>
    <x v="1699"/>
    <x v="687"/>
    <x v="687"/>
    <x v="1"/>
    <x v="8"/>
    <x v="8"/>
    <x v="0"/>
    <x v="344"/>
    <x v="491"/>
    <x v="0"/>
    <x v="1403"/>
    <x v="266"/>
    <x v="124"/>
    <x v="0"/>
    <x v="19"/>
    <x v="698"/>
    <x v="1"/>
    <x v="1470"/>
    <x v="23"/>
  </r>
  <r>
    <x v="325"/>
    <x v="229"/>
    <x v="1700"/>
    <x v="441"/>
    <x v="441"/>
    <x v="1"/>
    <x v="8"/>
    <x v="8"/>
    <x v="49"/>
    <x v="488"/>
    <x v="105"/>
    <x v="1"/>
    <x v="255"/>
    <x v="730"/>
    <x v="464"/>
    <x v="41"/>
    <x v="427"/>
    <x v="186"/>
    <x v="0"/>
    <x v="508"/>
    <x v="11"/>
  </r>
  <r>
    <x v="119"/>
    <x v="801"/>
    <x v="1701"/>
    <x v="1542"/>
    <x v="1542"/>
    <x v="1"/>
    <x v="3"/>
    <x v="3"/>
    <x v="45"/>
    <x v="426"/>
    <x v="174"/>
    <x v="1"/>
    <x v="968"/>
    <x v="200"/>
    <x v="607"/>
    <x v="279"/>
    <x v="10"/>
    <x v="630"/>
    <x v="1"/>
    <x v="513"/>
    <x v="15"/>
  </r>
  <r>
    <x v="51"/>
    <x v="221"/>
    <x v="1702"/>
    <x v="1273"/>
    <x v="1273"/>
    <x v="1"/>
    <x v="1"/>
    <x v="1"/>
    <x v="49"/>
    <x v="484"/>
    <x v="154"/>
    <x v="1"/>
    <x v="537"/>
    <x v="492"/>
    <x v="569"/>
    <x v="312"/>
    <x v="49"/>
    <x v="680"/>
    <x v="1"/>
    <x v="592"/>
    <x v="30"/>
  </r>
  <r>
    <x v="193"/>
    <x v="98"/>
    <x v="420"/>
    <x v="1212"/>
    <x v="1212"/>
    <x v="0"/>
    <x v="7"/>
    <x v="7"/>
    <x v="48"/>
    <x v="325"/>
    <x v="528"/>
    <x v="0"/>
    <x v="1601"/>
    <x v="334"/>
    <x v="339"/>
    <x v="0"/>
    <x v="716"/>
    <x v="440"/>
    <x v="1"/>
    <x v="1306"/>
    <x v="11"/>
  </r>
  <r>
    <x v="633"/>
    <x v="291"/>
    <x v="1704"/>
    <x v="354"/>
    <x v="354"/>
    <x v="0"/>
    <x v="16"/>
    <x v="16"/>
    <x v="50"/>
    <x v="285"/>
    <x v="386"/>
    <x v="0"/>
    <x v="761"/>
    <x v="204"/>
    <x v="427"/>
    <x v="0"/>
    <x v="611"/>
    <x v="292"/>
    <x v="0"/>
    <x v="1051"/>
    <x v="23"/>
  </r>
  <r>
    <x v="94"/>
    <x v="107"/>
    <x v="71"/>
    <x v="901"/>
    <x v="901"/>
    <x v="0"/>
    <x v="3"/>
    <x v="3"/>
    <x v="49"/>
    <x v="356"/>
    <x v="338"/>
    <x v="0"/>
    <x v="1604"/>
    <x v="72"/>
    <x v="862"/>
    <x v="0"/>
    <x v="469"/>
    <x v="731"/>
    <x v="1"/>
    <x v="441"/>
    <x v="23"/>
  </r>
  <r>
    <x v="282"/>
    <x v="636"/>
    <x v="1706"/>
    <x v="1581"/>
    <x v="1581"/>
    <x v="0"/>
    <x v="10"/>
    <x v="10"/>
    <x v="67"/>
    <x v="218"/>
    <x v="429"/>
    <x v="0"/>
    <x v="1102"/>
    <x v="599"/>
    <x v="326"/>
    <x v="0"/>
    <x v="51"/>
    <x v="413"/>
    <x v="1"/>
    <x v="1747"/>
    <x v="15"/>
  </r>
  <r>
    <x v="162"/>
    <x v="295"/>
    <x v="1707"/>
    <x v="1097"/>
    <x v="1097"/>
    <x v="0"/>
    <x v="5"/>
    <x v="5"/>
    <x v="21"/>
    <x v="42"/>
    <x v="65"/>
    <x v="1"/>
    <x v="172"/>
    <x v="25"/>
    <x v="982"/>
    <x v="145"/>
    <x v="412"/>
    <x v="89"/>
    <x v="0"/>
    <x v="668"/>
    <x v="23"/>
  </r>
  <r>
    <x v="397"/>
    <x v="398"/>
    <x v="1708"/>
    <x v="1010"/>
    <x v="1010"/>
    <x v="0"/>
    <x v="15"/>
    <x v="15"/>
    <x v="0"/>
    <x v="190"/>
    <x v="330"/>
    <x v="0"/>
    <x v="1027"/>
    <x v="131"/>
    <x v="200"/>
    <x v="0"/>
    <x v="511"/>
    <x v="223"/>
    <x v="0"/>
    <x v="1235"/>
    <x v="23"/>
  </r>
  <r>
    <x v="371"/>
    <x v="130"/>
    <x v="1709"/>
    <x v="166"/>
    <x v="166"/>
    <x v="0"/>
    <x v="16"/>
    <x v="16"/>
    <x v="58"/>
    <x v="180"/>
    <x v="515"/>
    <x v="0"/>
    <x v="1476"/>
    <x v="490"/>
    <x v="869"/>
    <x v="504"/>
    <x v="419"/>
    <x v="351"/>
    <x v="1"/>
    <x v="1124"/>
    <x v="13"/>
  </r>
  <r>
    <x v="148"/>
    <x v="573"/>
    <x v="1710"/>
    <x v="1711"/>
    <x v="1711"/>
    <x v="0"/>
    <x v="3"/>
    <x v="3"/>
    <x v="15"/>
    <x v="364"/>
    <x v="332"/>
    <x v="0"/>
    <x v="1024"/>
    <x v="388"/>
    <x v="962"/>
    <x v="27"/>
    <x v="669"/>
    <x v="656"/>
    <x v="1"/>
    <x v="1416"/>
    <x v="47"/>
  </r>
  <r>
    <x v="83"/>
    <x v="681"/>
    <x v="1711"/>
    <x v="911"/>
    <x v="911"/>
    <x v="0"/>
    <x v="3"/>
    <x v="3"/>
    <x v="50"/>
    <x v="251"/>
    <x v="200"/>
    <x v="1"/>
    <x v="821"/>
    <x v="157"/>
    <x v="1174"/>
    <x v="0"/>
    <x v="408"/>
    <x v="218"/>
    <x v="0"/>
    <x v="1686"/>
    <x v="29"/>
  </r>
  <r>
    <x v="282"/>
    <x v="636"/>
    <x v="1712"/>
    <x v="965"/>
    <x v="965"/>
    <x v="0"/>
    <x v="8"/>
    <x v="8"/>
    <x v="56"/>
    <x v="223"/>
    <x v="46"/>
    <x v="1"/>
    <x v="122"/>
    <x v="81"/>
    <x v="1192"/>
    <x v="0"/>
    <x v="526"/>
    <x v="205"/>
    <x v="0"/>
    <x v="1503"/>
    <x v="15"/>
  </r>
  <r>
    <x v="489"/>
    <x v="212"/>
    <x v="1115"/>
    <x v="1463"/>
    <x v="1463"/>
    <x v="1"/>
    <x v="20"/>
    <x v="20"/>
    <x v="53"/>
    <x v="187"/>
    <x v="360"/>
    <x v="0"/>
    <x v="1064"/>
    <x v="778"/>
    <x v="731"/>
    <x v="0"/>
    <x v="305"/>
    <x v="472"/>
    <x v="1"/>
    <x v="1374"/>
    <x v="11"/>
  </r>
  <r>
    <x v="110"/>
    <x v="4"/>
    <x v="1714"/>
    <x v="1514"/>
    <x v="1514"/>
    <x v="1"/>
    <x v="3"/>
    <x v="3"/>
    <x v="43"/>
    <x v="392"/>
    <x v="307"/>
    <x v="0"/>
    <x v="401"/>
    <x v="665"/>
    <x v="482"/>
    <x v="0"/>
    <x v="499"/>
    <x v="229"/>
    <x v="0"/>
    <x v="410"/>
    <x v="7"/>
  </r>
  <r>
    <x v="456"/>
    <x v="760"/>
    <x v="1715"/>
    <x v="1416"/>
    <x v="1416"/>
    <x v="0"/>
    <x v="7"/>
    <x v="7"/>
    <x v="44"/>
    <x v="192"/>
    <x v="383"/>
    <x v="0"/>
    <x v="999"/>
    <x v="693"/>
    <x v="412"/>
    <x v="660"/>
    <x v="455"/>
    <x v="288"/>
    <x v="0"/>
    <x v="1767"/>
    <x v="25"/>
  </r>
  <r>
    <x v="74"/>
    <x v="510"/>
    <x v="1716"/>
    <x v="1007"/>
    <x v="1007"/>
    <x v="0"/>
    <x v="4"/>
    <x v="4"/>
    <x v="49"/>
    <x v="8"/>
    <x v="388"/>
    <x v="0"/>
    <x v="850"/>
    <x v="146"/>
    <x v="503"/>
    <x v="0"/>
    <x v="766"/>
    <x v="276"/>
    <x v="0"/>
    <x v="97"/>
    <x v="33"/>
  </r>
  <r>
    <x v="350"/>
    <x v="554"/>
    <x v="1717"/>
    <x v="1458"/>
    <x v="1458"/>
    <x v="0"/>
    <x v="6"/>
    <x v="6"/>
    <x v="2"/>
    <x v="341"/>
    <x v="400"/>
    <x v="0"/>
    <x v="494"/>
    <x v="142"/>
    <x v="274"/>
    <x v="0"/>
    <x v="270"/>
    <x v="463"/>
    <x v="1"/>
    <x v="516"/>
    <x v="23"/>
  </r>
  <r>
    <x v="513"/>
    <x v="582"/>
    <x v="1718"/>
    <x v="917"/>
    <x v="917"/>
    <x v="0"/>
    <x v="16"/>
    <x v="16"/>
    <x v="0"/>
    <x v="325"/>
    <x v="445"/>
    <x v="0"/>
    <x v="1075"/>
    <x v="86"/>
    <x v="430"/>
    <x v="0"/>
    <x v="405"/>
    <x v="471"/>
    <x v="1"/>
    <x v="787"/>
    <x v="25"/>
  </r>
  <r>
    <x v="322"/>
    <x v="543"/>
    <x v="1719"/>
    <x v="1724"/>
    <x v="1724"/>
    <x v="0"/>
    <x v="11"/>
    <x v="11"/>
    <x v="61"/>
    <x v="237"/>
    <x v="505"/>
    <x v="0"/>
    <x v="1287"/>
    <x v="453"/>
    <x v="26"/>
    <x v="694"/>
    <x v="421"/>
    <x v="260"/>
    <x v="0"/>
    <x v="1214"/>
    <x v="38"/>
  </r>
  <r>
    <x v="358"/>
    <x v="502"/>
    <x v="1720"/>
    <x v="1546"/>
    <x v="1546"/>
    <x v="1"/>
    <x v="17"/>
    <x v="17"/>
    <x v="68"/>
    <x v="486"/>
    <x v="212"/>
    <x v="1"/>
    <x v="292"/>
    <x v="483"/>
    <x v="317"/>
    <x v="346"/>
    <x v="21"/>
    <x v="730"/>
    <x v="1"/>
    <x v="793"/>
    <x v="23"/>
  </r>
  <r>
    <x v="773"/>
    <x v="591"/>
    <x v="1721"/>
    <x v="105"/>
    <x v="105"/>
    <x v="0"/>
    <x v="20"/>
    <x v="20"/>
    <x v="58"/>
    <x v="389"/>
    <x v="405"/>
    <x v="0"/>
    <x v="1213"/>
    <x v="439"/>
    <x v="1025"/>
    <x v="0"/>
    <x v="505"/>
    <x v="394"/>
    <x v="1"/>
    <x v="315"/>
    <x v="21"/>
  </r>
  <r>
    <x v="358"/>
    <x v="502"/>
    <x v="1722"/>
    <x v="802"/>
    <x v="802"/>
    <x v="0"/>
    <x v="9"/>
    <x v="9"/>
    <x v="0"/>
    <x v="333"/>
    <x v="444"/>
    <x v="0"/>
    <x v="1036"/>
    <x v="280"/>
    <x v="166"/>
    <x v="461"/>
    <x v="428"/>
    <x v="708"/>
    <x v="1"/>
    <x v="651"/>
    <x v="23"/>
  </r>
  <r>
    <x v="263"/>
    <x v="798"/>
    <x v="1723"/>
    <x v="283"/>
    <x v="283"/>
    <x v="0"/>
    <x v="6"/>
    <x v="6"/>
    <x v="50"/>
    <x v="71"/>
    <x v="419"/>
    <x v="0"/>
    <x v="1310"/>
    <x v="336"/>
    <x v="18"/>
    <x v="515"/>
    <x v="451"/>
    <x v="465"/>
    <x v="1"/>
    <x v="1462"/>
    <x v="57"/>
  </r>
  <r>
    <x v="179"/>
    <x v="169"/>
    <x v="1724"/>
    <x v="880"/>
    <x v="880"/>
    <x v="0"/>
    <x v="10"/>
    <x v="10"/>
    <x v="49"/>
    <x v="26"/>
    <x v="184"/>
    <x v="1"/>
    <x v="189"/>
    <x v="118"/>
    <x v="682"/>
    <x v="528"/>
    <x v="419"/>
    <x v="29"/>
    <x v="0"/>
    <x v="42"/>
    <x v="47"/>
  </r>
  <r>
    <x v="179"/>
    <x v="169"/>
    <x v="1725"/>
    <x v="1255"/>
    <x v="1255"/>
    <x v="0"/>
    <x v="10"/>
    <x v="10"/>
    <x v="66"/>
    <x v="126"/>
    <x v="219"/>
    <x v="1"/>
    <x v="305"/>
    <x v="35"/>
    <x v="826"/>
    <x v="90"/>
    <x v="413"/>
    <x v="264"/>
    <x v="0"/>
    <x v="1409"/>
    <x v="47"/>
  </r>
  <r>
    <x v="816"/>
    <x v="714"/>
    <x v="1726"/>
    <x v="320"/>
    <x v="320"/>
    <x v="1"/>
    <x v="21"/>
    <x v="21"/>
    <x v="50"/>
    <x v="317"/>
    <x v="254"/>
    <x v="1"/>
    <x v="579"/>
    <x v="776"/>
    <x v="870"/>
    <x v="521"/>
    <x v="433"/>
    <x v="275"/>
    <x v="0"/>
    <x v="1804"/>
    <x v="9"/>
  </r>
  <r>
    <x v="255"/>
    <x v="821"/>
    <x v="1727"/>
    <x v="131"/>
    <x v="131"/>
    <x v="1"/>
    <x v="7"/>
    <x v="7"/>
    <x v="43"/>
    <x v="548"/>
    <x v="127"/>
    <x v="1"/>
    <x v="8"/>
    <x v="782"/>
    <x v="104"/>
    <x v="564"/>
    <x v="411"/>
    <x v="432"/>
    <x v="1"/>
    <x v="570"/>
    <x v="11"/>
  </r>
  <r>
    <x v="685"/>
    <x v="814"/>
    <x v="1728"/>
    <x v="324"/>
    <x v="324"/>
    <x v="0"/>
    <x v="17"/>
    <x v="17"/>
    <x v="72"/>
    <x v="399"/>
    <x v="306"/>
    <x v="0"/>
    <x v="843"/>
    <x v="26"/>
    <x v="549"/>
    <x v="248"/>
    <x v="366"/>
    <x v="505"/>
    <x v="1"/>
    <x v="552"/>
    <x v="31"/>
  </r>
  <r>
    <x v="392"/>
    <x v="239"/>
    <x v="1729"/>
    <x v="1473"/>
    <x v="1473"/>
    <x v="0"/>
    <x v="9"/>
    <x v="9"/>
    <x v="44"/>
    <x v="399"/>
    <x v="108"/>
    <x v="1"/>
    <x v="386"/>
    <x v="29"/>
    <x v="977"/>
    <x v="0"/>
    <x v="488"/>
    <x v="208"/>
    <x v="0"/>
    <x v="811"/>
    <x v="52"/>
  </r>
  <r>
    <x v="564"/>
    <x v="650"/>
    <x v="1730"/>
    <x v="1670"/>
    <x v="1670"/>
    <x v="0"/>
    <x v="15"/>
    <x v="15"/>
    <x v="52"/>
    <x v="180"/>
    <x v="329"/>
    <x v="0"/>
    <x v="808"/>
    <x v="238"/>
    <x v="173"/>
    <x v="638"/>
    <x v="690"/>
    <x v="148"/>
    <x v="0"/>
    <x v="1751"/>
    <x v="25"/>
  </r>
  <r>
    <x v="681"/>
    <x v="691"/>
    <x v="458"/>
    <x v="1026"/>
    <x v="1026"/>
    <x v="0"/>
    <x v="20"/>
    <x v="20"/>
    <x v="52"/>
    <x v="315"/>
    <x v="542"/>
    <x v="0"/>
    <x v="1228"/>
    <x v="351"/>
    <x v="913"/>
    <x v="529"/>
    <x v="421"/>
    <x v="480"/>
    <x v="1"/>
    <x v="1020"/>
    <x v="25"/>
  </r>
  <r>
    <x v="541"/>
    <x v="66"/>
    <x v="1732"/>
    <x v="1326"/>
    <x v="1326"/>
    <x v="0"/>
    <x v="15"/>
    <x v="15"/>
    <x v="5"/>
    <x v="171"/>
    <x v="383"/>
    <x v="0"/>
    <x v="701"/>
    <x v="261"/>
    <x v="209"/>
    <x v="523"/>
    <x v="465"/>
    <x v="476"/>
    <x v="1"/>
    <x v="1035"/>
    <x v="25"/>
  </r>
  <r>
    <x v="397"/>
    <x v="398"/>
    <x v="1733"/>
    <x v="369"/>
    <x v="369"/>
    <x v="0"/>
    <x v="10"/>
    <x v="10"/>
    <x v="35"/>
    <x v="163"/>
    <x v="478"/>
    <x v="0"/>
    <x v="1539"/>
    <x v="93"/>
    <x v="108"/>
    <x v="0"/>
    <x v="393"/>
    <x v="427"/>
    <x v="1"/>
    <x v="1308"/>
    <x v="23"/>
  </r>
  <r>
    <x v="373"/>
    <x v="800"/>
    <x v="1734"/>
    <x v="87"/>
    <x v="87"/>
    <x v="1"/>
    <x v="15"/>
    <x v="15"/>
    <x v="34"/>
    <x v="427"/>
    <x v="377"/>
    <x v="0"/>
    <x v="1399"/>
    <x v="477"/>
    <x v="834"/>
    <x v="0"/>
    <x v="504"/>
    <x v="537"/>
    <x v="1"/>
    <x v="1647"/>
    <x v="11"/>
  </r>
  <r>
    <x v="740"/>
    <x v="523"/>
    <x v="1735"/>
    <x v="1583"/>
    <x v="1583"/>
    <x v="1"/>
    <x v="20"/>
    <x v="20"/>
    <x v="61"/>
    <x v="529"/>
    <x v="235"/>
    <x v="1"/>
    <x v="886"/>
    <x v="647"/>
    <x v="796"/>
    <x v="71"/>
    <x v="410"/>
    <x v="248"/>
    <x v="0"/>
    <x v="1531"/>
    <x v="11"/>
  </r>
  <r>
    <x v="458"/>
    <x v="244"/>
    <x v="1736"/>
    <x v="357"/>
    <x v="357"/>
    <x v="0"/>
    <x v="10"/>
    <x v="10"/>
    <x v="63"/>
    <x v="499"/>
    <x v="302"/>
    <x v="0"/>
    <x v="735"/>
    <x v="199"/>
    <x v="984"/>
    <x v="174"/>
    <x v="119"/>
    <x v="546"/>
    <x v="1"/>
    <x v="1138"/>
    <x v="48"/>
  </r>
  <r>
    <x v="190"/>
    <x v="9"/>
    <x v="1737"/>
    <x v="801"/>
    <x v="801"/>
    <x v="1"/>
    <x v="5"/>
    <x v="5"/>
    <x v="43"/>
    <x v="435"/>
    <x v="463"/>
    <x v="0"/>
    <x v="1439"/>
    <x v="662"/>
    <x v="435"/>
    <x v="0"/>
    <x v="445"/>
    <x v="685"/>
    <x v="1"/>
    <x v="99"/>
    <x v="11"/>
  </r>
  <r>
    <x v="266"/>
    <x v="290"/>
    <x v="1738"/>
    <x v="1504"/>
    <x v="1504"/>
    <x v="1"/>
    <x v="5"/>
    <x v="5"/>
    <x v="47"/>
    <x v="152"/>
    <x v="426"/>
    <x v="0"/>
    <x v="1416"/>
    <x v="597"/>
    <x v="848"/>
    <x v="0"/>
    <x v="170"/>
    <x v="701"/>
    <x v="1"/>
    <x v="44"/>
    <x v="11"/>
  </r>
  <r>
    <x v="567"/>
    <x v="152"/>
    <x v="1739"/>
    <x v="673"/>
    <x v="673"/>
    <x v="0"/>
    <x v="13"/>
    <x v="13"/>
    <x v="53"/>
    <x v="331"/>
    <x v="493"/>
    <x v="0"/>
    <x v="1573"/>
    <x v="444"/>
    <x v="706"/>
    <x v="0"/>
    <x v="702"/>
    <x v="411"/>
    <x v="1"/>
    <x v="433"/>
    <x v="25"/>
  </r>
  <r>
    <x v="631"/>
    <x v="768"/>
    <x v="1740"/>
    <x v="208"/>
    <x v="208"/>
    <x v="0"/>
    <x v="16"/>
    <x v="16"/>
    <x v="0"/>
    <x v="280"/>
    <x v="432"/>
    <x v="0"/>
    <x v="734"/>
    <x v="42"/>
    <x v="101"/>
    <x v="568"/>
    <x v="501"/>
    <x v="229"/>
    <x v="0"/>
    <x v="750"/>
    <x v="25"/>
  </r>
  <r>
    <x v="188"/>
    <x v="194"/>
    <x v="1741"/>
    <x v="1534"/>
    <x v="1534"/>
    <x v="0"/>
    <x v="3"/>
    <x v="3"/>
    <x v="26"/>
    <x v="93"/>
    <x v="369"/>
    <x v="0"/>
    <x v="752"/>
    <x v="60"/>
    <x v="120"/>
    <x v="0"/>
    <x v="171"/>
    <x v="64"/>
    <x v="0"/>
    <x v="1552"/>
    <x v="49"/>
  </r>
  <r>
    <x v="661"/>
    <x v="693"/>
    <x v="1742"/>
    <x v="175"/>
    <x v="175"/>
    <x v="0"/>
    <x v="17"/>
    <x v="17"/>
    <x v="0"/>
    <x v="452"/>
    <x v="368"/>
    <x v="0"/>
    <x v="131"/>
    <x v="599"/>
    <x v="964"/>
    <x v="0"/>
    <x v="622"/>
    <x v="753"/>
    <x v="1"/>
    <x v="1441"/>
    <x v="7"/>
  </r>
  <r>
    <x v="621"/>
    <x v="541"/>
    <x v="1743"/>
    <x v="550"/>
    <x v="550"/>
    <x v="0"/>
    <x v="16"/>
    <x v="16"/>
    <x v="2"/>
    <x v="461"/>
    <x v="124"/>
    <x v="1"/>
    <x v="75"/>
    <x v="114"/>
    <x v="318"/>
    <x v="533"/>
    <x v="276"/>
    <x v="296"/>
    <x v="0"/>
    <x v="904"/>
    <x v="9"/>
  </r>
  <r>
    <x v="488"/>
    <x v="390"/>
    <x v="1744"/>
    <x v="825"/>
    <x v="825"/>
    <x v="0"/>
    <x v="11"/>
    <x v="11"/>
    <x v="43"/>
    <x v="260"/>
    <x v="300"/>
    <x v="0"/>
    <x v="472"/>
    <x v="422"/>
    <x v="870"/>
    <x v="0"/>
    <x v="535"/>
    <x v="547"/>
    <x v="1"/>
    <x v="37"/>
    <x v="52"/>
  </r>
  <r>
    <x v="652"/>
    <x v="392"/>
    <x v="1745"/>
    <x v="807"/>
    <x v="807"/>
    <x v="0"/>
    <x v="17"/>
    <x v="17"/>
    <x v="49"/>
    <x v="225"/>
    <x v="182"/>
    <x v="1"/>
    <x v="666"/>
    <x v="266"/>
    <x v="1154"/>
    <x v="400"/>
    <x v="281"/>
    <x v="132"/>
    <x v="0"/>
    <x v="103"/>
    <x v="41"/>
  </r>
  <r>
    <x v="535"/>
    <x v="287"/>
    <x v="1746"/>
    <x v="1358"/>
    <x v="1358"/>
    <x v="0"/>
    <x v="14"/>
    <x v="14"/>
    <x v="62"/>
    <x v="48"/>
    <x v="240"/>
    <x v="1"/>
    <x v="741"/>
    <x v="437"/>
    <x v="436"/>
    <x v="340"/>
    <x v="292"/>
    <x v="564"/>
    <x v="1"/>
    <x v="1791"/>
    <x v="47"/>
  </r>
  <r>
    <x v="168"/>
    <x v="673"/>
    <x v="1747"/>
    <x v="648"/>
    <x v="648"/>
    <x v="0"/>
    <x v="7"/>
    <x v="7"/>
    <x v="45"/>
    <x v="554"/>
    <x v="403"/>
    <x v="0"/>
    <x v="1230"/>
    <x v="616"/>
    <x v="884"/>
    <x v="0"/>
    <x v="224"/>
    <x v="673"/>
    <x v="1"/>
    <x v="825"/>
    <x v="11"/>
  </r>
  <r>
    <x v="49"/>
    <x v="497"/>
    <x v="1748"/>
    <x v="409"/>
    <x v="409"/>
    <x v="0"/>
    <x v="7"/>
    <x v="7"/>
    <x v="55"/>
    <x v="472"/>
    <x v="100"/>
    <x v="1"/>
    <x v="185"/>
    <x v="350"/>
    <x v="480"/>
    <x v="0"/>
    <x v="305"/>
    <x v="594"/>
    <x v="1"/>
    <x v="1443"/>
    <x v="30"/>
  </r>
  <r>
    <x v="405"/>
    <x v="528"/>
    <x v="1749"/>
    <x v="1055"/>
    <x v="1055"/>
    <x v="0"/>
    <x v="15"/>
    <x v="15"/>
    <x v="64"/>
    <x v="248"/>
    <x v="224"/>
    <x v="1"/>
    <x v="668"/>
    <x v="81"/>
    <x v="331"/>
    <x v="0"/>
    <x v="652"/>
    <x v="327"/>
    <x v="0"/>
    <x v="87"/>
    <x v="23"/>
  </r>
  <r>
    <x v="645"/>
    <x v="624"/>
    <x v="1246"/>
    <x v="1765"/>
    <x v="1765"/>
    <x v="1"/>
    <x v="20"/>
    <x v="20"/>
    <x v="52"/>
    <x v="348"/>
    <x v="431"/>
    <x v="0"/>
    <x v="1051"/>
    <x v="615"/>
    <x v="409"/>
    <x v="0"/>
    <x v="422"/>
    <x v="421"/>
    <x v="1"/>
    <x v="1743"/>
    <x v="11"/>
  </r>
  <r>
    <x v="698"/>
    <x v="149"/>
    <x v="1751"/>
    <x v="766"/>
    <x v="766"/>
    <x v="0"/>
    <x v="18"/>
    <x v="18"/>
    <x v="65"/>
    <x v="363"/>
    <x v="170"/>
    <x v="1"/>
    <x v="170"/>
    <x v="599"/>
    <x v="1159"/>
    <x v="0"/>
    <x v="483"/>
    <x v="208"/>
    <x v="0"/>
    <x v="519"/>
    <x v="23"/>
  </r>
  <r>
    <x v="766"/>
    <x v="304"/>
    <x v="1752"/>
    <x v="165"/>
    <x v="165"/>
    <x v="0"/>
    <x v="20"/>
    <x v="20"/>
    <x v="68"/>
    <x v="201"/>
    <x v="37"/>
    <x v="1"/>
    <x v="13"/>
    <x v="28"/>
    <x v="855"/>
    <x v="729"/>
    <x v="459"/>
    <x v="110"/>
    <x v="0"/>
    <x v="1262"/>
    <x v="34"/>
  </r>
  <r>
    <x v="383"/>
    <x v="369"/>
    <x v="1753"/>
    <x v="1145"/>
    <x v="1145"/>
    <x v="1"/>
    <x v="8"/>
    <x v="8"/>
    <x v="0"/>
    <x v="320"/>
    <x v="400"/>
    <x v="0"/>
    <x v="429"/>
    <x v="746"/>
    <x v="782"/>
    <x v="0"/>
    <x v="346"/>
    <x v="326"/>
    <x v="0"/>
    <x v="937"/>
    <x v="11"/>
  </r>
  <r>
    <x v="282"/>
    <x v="636"/>
    <x v="1754"/>
    <x v="711"/>
    <x v="711"/>
    <x v="0"/>
    <x v="13"/>
    <x v="13"/>
    <x v="61"/>
    <x v="370"/>
    <x v="366"/>
    <x v="0"/>
    <x v="1141"/>
    <x v="127"/>
    <x v="472"/>
    <x v="532"/>
    <x v="412"/>
    <x v="436"/>
    <x v="1"/>
    <x v="1192"/>
    <x v="15"/>
  </r>
  <r>
    <x v="6"/>
    <x v="242"/>
    <x v="1755"/>
    <x v="1545"/>
    <x v="1545"/>
    <x v="0"/>
    <x v="11"/>
    <x v="11"/>
    <x v="49"/>
    <x v="543"/>
    <x v="453"/>
    <x v="0"/>
    <x v="1666"/>
    <x v="465"/>
    <x v="849"/>
    <x v="22"/>
    <x v="433"/>
    <x v="503"/>
    <x v="1"/>
    <x v="775"/>
    <x v="7"/>
  </r>
  <r>
    <x v="484"/>
    <x v="824"/>
    <x v="1756"/>
    <x v="32"/>
    <x v="32"/>
    <x v="0"/>
    <x v="12"/>
    <x v="12"/>
    <x v="1"/>
    <x v="524"/>
    <x v="405"/>
    <x v="0"/>
    <x v="952"/>
    <x v="205"/>
    <x v="724"/>
    <x v="700"/>
    <x v="349"/>
    <x v="565"/>
    <x v="1"/>
    <x v="1062"/>
    <x v="2"/>
  </r>
  <r>
    <x v="575"/>
    <x v="2"/>
    <x v="1757"/>
    <x v="990"/>
    <x v="990"/>
    <x v="0"/>
    <x v="15"/>
    <x v="15"/>
    <x v="55"/>
    <x v="198"/>
    <x v="502"/>
    <x v="0"/>
    <x v="1105"/>
    <x v="807"/>
    <x v="644"/>
    <x v="0"/>
    <x v="86"/>
    <x v="398"/>
    <x v="1"/>
    <x v="1730"/>
    <x v="11"/>
  </r>
  <r>
    <x v="470"/>
    <x v="407"/>
    <x v="1758"/>
    <x v="478"/>
    <x v="478"/>
    <x v="0"/>
    <x v="12"/>
    <x v="12"/>
    <x v="57"/>
    <x v="371"/>
    <x v="417"/>
    <x v="0"/>
    <x v="996"/>
    <x v="150"/>
    <x v="349"/>
    <x v="545"/>
    <x v="421"/>
    <x v="486"/>
    <x v="1"/>
    <x v="884"/>
    <x v="25"/>
  </r>
  <r>
    <x v="752"/>
    <x v="23"/>
    <x v="1760"/>
    <x v="404"/>
    <x v="404"/>
    <x v="0"/>
    <x v="19"/>
    <x v="19"/>
    <x v="0"/>
    <x v="308"/>
    <x v="239"/>
    <x v="1"/>
    <x v="1129"/>
    <x v="171"/>
    <x v="877"/>
    <x v="0"/>
    <x v="488"/>
    <x v="511"/>
    <x v="1"/>
    <x v="1021"/>
    <x v="38"/>
  </r>
  <r>
    <x v="419"/>
    <x v="810"/>
    <x v="1761"/>
    <x v="71"/>
    <x v="71"/>
    <x v="0"/>
    <x v="10"/>
    <x v="10"/>
    <x v="45"/>
    <x v="504"/>
    <x v="317"/>
    <x v="0"/>
    <x v="348"/>
    <x v="600"/>
    <x v="604"/>
    <x v="466"/>
    <x v="165"/>
    <x v="582"/>
    <x v="1"/>
    <x v="1320"/>
    <x v="9"/>
  </r>
  <r>
    <x v="356"/>
    <x v="546"/>
    <x v="1762"/>
    <x v="1731"/>
    <x v="1731"/>
    <x v="0"/>
    <x v="8"/>
    <x v="8"/>
    <x v="62"/>
    <x v="6"/>
    <x v="505"/>
    <x v="0"/>
    <x v="1262"/>
    <x v="439"/>
    <x v="39"/>
    <x v="372"/>
    <x v="521"/>
    <x v="109"/>
    <x v="0"/>
    <x v="407"/>
    <x v="38"/>
  </r>
  <r>
    <x v="371"/>
    <x v="130"/>
    <x v="1759"/>
    <x v="1114"/>
    <x v="1114"/>
    <x v="0"/>
    <x v="14"/>
    <x v="14"/>
    <x v="48"/>
    <x v="231"/>
    <x v="551"/>
    <x v="0"/>
    <x v="1178"/>
    <x v="505"/>
    <x v="114"/>
    <x v="0"/>
    <x v="733"/>
    <x v="409"/>
    <x v="1"/>
    <x v="1175"/>
    <x v="13"/>
  </r>
  <r>
    <x v="495"/>
    <x v="751"/>
    <x v="1763"/>
    <x v="829"/>
    <x v="829"/>
    <x v="0"/>
    <x v="15"/>
    <x v="15"/>
    <x v="47"/>
    <x v="339"/>
    <x v="281"/>
    <x v="0"/>
    <x v="1050"/>
    <x v="310"/>
    <x v="275"/>
    <x v="0"/>
    <x v="513"/>
    <x v="522"/>
    <x v="1"/>
    <x v="1019"/>
    <x v="25"/>
  </r>
  <r>
    <x v="572"/>
    <x v="96"/>
    <x v="547"/>
    <x v="60"/>
    <x v="60"/>
    <x v="0"/>
    <x v="15"/>
    <x v="15"/>
    <x v="1"/>
    <x v="434"/>
    <x v="577"/>
    <x v="0"/>
    <x v="1608"/>
    <x v="365"/>
    <x v="440"/>
    <x v="165"/>
    <x v="589"/>
    <x v="552"/>
    <x v="1"/>
    <x v="1194"/>
    <x v="25"/>
  </r>
  <r>
    <x v="462"/>
    <x v="386"/>
    <x v="1765"/>
    <x v="490"/>
    <x v="490"/>
    <x v="0"/>
    <x v="17"/>
    <x v="17"/>
    <x v="63"/>
    <x v="476"/>
    <x v="173"/>
    <x v="1"/>
    <x v="165"/>
    <x v="544"/>
    <x v="1148"/>
    <x v="534"/>
    <x v="261"/>
    <x v="618"/>
    <x v="1"/>
    <x v="1070"/>
    <x v="23"/>
  </r>
  <r>
    <x v="175"/>
    <x v="387"/>
    <x v="1766"/>
    <x v="1790"/>
    <x v="1790"/>
    <x v="0"/>
    <x v="8"/>
    <x v="8"/>
    <x v="56"/>
    <x v="322"/>
    <x v="324"/>
    <x v="0"/>
    <x v="1050"/>
    <x v="408"/>
    <x v="863"/>
    <x v="510"/>
    <x v="725"/>
    <x v="279"/>
    <x v="0"/>
    <x v="38"/>
    <x v="23"/>
  </r>
  <r>
    <x v="339"/>
    <x v="626"/>
    <x v="1767"/>
    <x v="675"/>
    <x v="675"/>
    <x v="0"/>
    <x v="8"/>
    <x v="8"/>
    <x v="55"/>
    <x v="175"/>
    <x v="275"/>
    <x v="0"/>
    <x v="889"/>
    <x v="25"/>
    <x v="330"/>
    <x v="0"/>
    <x v="560"/>
    <x v="187"/>
    <x v="0"/>
    <x v="1379"/>
    <x v="0"/>
  </r>
  <r>
    <x v="19"/>
    <x v="460"/>
    <x v="1768"/>
    <x v="487"/>
    <x v="487"/>
    <x v="0"/>
    <x v="9"/>
    <x v="9"/>
    <x v="63"/>
    <x v="258"/>
    <x v="530"/>
    <x v="0"/>
    <x v="839"/>
    <x v="72"/>
    <x v="385"/>
    <x v="32"/>
    <x v="442"/>
    <x v="154"/>
    <x v="0"/>
    <x v="935"/>
    <x v="46"/>
  </r>
  <r>
    <x v="559"/>
    <x v="584"/>
    <x v="1769"/>
    <x v="383"/>
    <x v="383"/>
    <x v="0"/>
    <x v="14"/>
    <x v="14"/>
    <x v="68"/>
    <x v="361"/>
    <x v="387"/>
    <x v="0"/>
    <x v="1626"/>
    <x v="428"/>
    <x v="332"/>
    <x v="0"/>
    <x v="123"/>
    <x v="700"/>
    <x v="1"/>
    <x v="1060"/>
    <x v="23"/>
  </r>
  <r>
    <x v="145"/>
    <x v="67"/>
    <x v="1770"/>
    <x v="830"/>
    <x v="830"/>
    <x v="0"/>
    <x v="13"/>
    <x v="13"/>
    <x v="60"/>
    <x v="213"/>
    <x v="526"/>
    <x v="0"/>
    <x v="1402"/>
    <x v="283"/>
    <x v="242"/>
    <x v="650"/>
    <x v="444"/>
    <x v="689"/>
    <x v="1"/>
    <x v="1574"/>
    <x v="23"/>
  </r>
  <r>
    <x v="92"/>
    <x v="243"/>
    <x v="1771"/>
    <x v="1234"/>
    <x v="1234"/>
    <x v="0"/>
    <x v="3"/>
    <x v="3"/>
    <x v="40"/>
    <x v="303"/>
    <x v="372"/>
    <x v="0"/>
    <x v="798"/>
    <x v="55"/>
    <x v="864"/>
    <x v="0"/>
    <x v="628"/>
    <x v="719"/>
    <x v="1"/>
    <x v="849"/>
    <x v="23"/>
  </r>
  <r>
    <x v="404"/>
    <x v="168"/>
    <x v="1772"/>
    <x v="1265"/>
    <x v="1265"/>
    <x v="0"/>
    <x v="10"/>
    <x v="10"/>
    <x v="47"/>
    <x v="409"/>
    <x v="243"/>
    <x v="1"/>
    <x v="391"/>
    <x v="124"/>
    <x v="518"/>
    <x v="0"/>
    <x v="484"/>
    <x v="169"/>
    <x v="0"/>
    <x v="894"/>
    <x v="15"/>
  </r>
  <r>
    <x v="259"/>
    <x v="722"/>
    <x v="1773"/>
    <x v="1574"/>
    <x v="1574"/>
    <x v="1"/>
    <x v="8"/>
    <x v="8"/>
    <x v="50"/>
    <x v="186"/>
    <x v="410"/>
    <x v="0"/>
    <x v="1177"/>
    <x v="91"/>
    <x v="397"/>
    <x v="0"/>
    <x v="473"/>
    <x v="189"/>
    <x v="0"/>
    <x v="16"/>
    <x v="11"/>
  </r>
  <r>
    <x v="498"/>
    <x v="794"/>
    <x v="1773"/>
    <x v="226"/>
    <x v="226"/>
    <x v="0"/>
    <x v="12"/>
    <x v="12"/>
    <x v="0"/>
    <x v="185"/>
    <x v="354"/>
    <x v="0"/>
    <x v="1304"/>
    <x v="150"/>
    <x v="66"/>
    <x v="176"/>
    <x v="347"/>
    <x v="658"/>
    <x v="1"/>
    <x v="1425"/>
    <x v="58"/>
  </r>
  <r>
    <x v="240"/>
    <x v="316"/>
    <x v="1774"/>
    <x v="844"/>
    <x v="844"/>
    <x v="0"/>
    <x v="6"/>
    <x v="6"/>
    <x v="46"/>
    <x v="311"/>
    <x v="548"/>
    <x v="0"/>
    <x v="1620"/>
    <x v="349"/>
    <x v="625"/>
    <x v="184"/>
    <x v="663"/>
    <x v="561"/>
    <x v="1"/>
    <x v="1382"/>
    <x v="30"/>
  </r>
  <r>
    <x v="485"/>
    <x v="18"/>
    <x v="1780"/>
    <x v="973"/>
    <x v="973"/>
    <x v="0"/>
    <x v="11"/>
    <x v="11"/>
    <x v="43"/>
    <x v="88"/>
    <x v="273"/>
    <x v="0"/>
    <x v="1064"/>
    <x v="171"/>
    <x v="265"/>
    <x v="0"/>
    <x v="116"/>
    <x v="302"/>
    <x v="0"/>
    <x v="1797"/>
    <x v="23"/>
  </r>
  <r>
    <x v="457"/>
    <x v="357"/>
    <x v="1781"/>
    <x v="846"/>
    <x v="846"/>
    <x v="0"/>
    <x v="12"/>
    <x v="12"/>
    <x v="56"/>
    <x v="250"/>
    <x v="312"/>
    <x v="0"/>
    <x v="759"/>
    <x v="457"/>
    <x v="592"/>
    <x v="0"/>
    <x v="449"/>
    <x v="542"/>
    <x v="1"/>
    <x v="1501"/>
    <x v="11"/>
  </r>
  <r>
    <x v="25"/>
    <x v="177"/>
    <x v="1775"/>
    <x v="842"/>
    <x v="842"/>
    <x v="1"/>
    <x v="2"/>
    <x v="2"/>
    <x v="39"/>
    <x v="506"/>
    <x v="282"/>
    <x v="0"/>
    <x v="93"/>
    <x v="699"/>
    <x v="411"/>
    <x v="0"/>
    <x v="166"/>
    <x v="640"/>
    <x v="1"/>
    <x v="499"/>
    <x v="15"/>
  </r>
  <r>
    <x v="570"/>
    <x v="336"/>
    <x v="1782"/>
    <x v="406"/>
    <x v="406"/>
    <x v="0"/>
    <x v="19"/>
    <x v="19"/>
    <x v="66"/>
    <x v="307"/>
    <x v="256"/>
    <x v="1"/>
    <x v="946"/>
    <x v="59"/>
    <x v="541"/>
    <x v="0"/>
    <x v="421"/>
    <x v="395"/>
    <x v="1"/>
    <x v="1362"/>
    <x v="38"/>
  </r>
  <r>
    <x v="259"/>
    <x v="722"/>
    <x v="1783"/>
    <x v="1347"/>
    <x v="1347"/>
    <x v="1"/>
    <x v="10"/>
    <x v="10"/>
    <x v="60"/>
    <x v="315"/>
    <x v="288"/>
    <x v="0"/>
    <x v="540"/>
    <x v="408"/>
    <x v="403"/>
    <x v="0"/>
    <x v="556"/>
    <x v="312"/>
    <x v="0"/>
    <x v="1584"/>
    <x v="11"/>
  </r>
  <r>
    <x v="421"/>
    <x v="318"/>
    <x v="1776"/>
    <x v="533"/>
    <x v="533"/>
    <x v="0"/>
    <x v="10"/>
    <x v="10"/>
    <x v="41"/>
    <x v="368"/>
    <x v="500"/>
    <x v="0"/>
    <x v="1046"/>
    <x v="88"/>
    <x v="325"/>
    <x v="668"/>
    <x v="455"/>
    <x v="737"/>
    <x v="1"/>
    <x v="1429"/>
    <x v="2"/>
  </r>
  <r>
    <x v="337"/>
    <x v="564"/>
    <x v="1777"/>
    <x v="1286"/>
    <x v="1286"/>
    <x v="0"/>
    <x v="8"/>
    <x v="8"/>
    <x v="23"/>
    <x v="74"/>
    <x v="343"/>
    <x v="0"/>
    <x v="709"/>
    <x v="119"/>
    <x v="881"/>
    <x v="0"/>
    <x v="449"/>
    <x v="160"/>
    <x v="0"/>
    <x v="1572"/>
    <x v="23"/>
  </r>
  <r>
    <x v="165"/>
    <x v="261"/>
    <x v="1778"/>
    <x v="1520"/>
    <x v="1520"/>
    <x v="1"/>
    <x v="3"/>
    <x v="3"/>
    <x v="59"/>
    <x v="467"/>
    <x v="308"/>
    <x v="0"/>
    <x v="923"/>
    <x v="326"/>
    <x v="450"/>
    <x v="254"/>
    <x v="412"/>
    <x v="723"/>
    <x v="1"/>
    <x v="312"/>
    <x v="11"/>
  </r>
  <r>
    <x v="282"/>
    <x v="636"/>
    <x v="1779"/>
    <x v="1488"/>
    <x v="1488"/>
    <x v="0"/>
    <x v="12"/>
    <x v="12"/>
    <x v="52"/>
    <x v="327"/>
    <x v="386"/>
    <x v="0"/>
    <x v="1574"/>
    <x v="393"/>
    <x v="960"/>
    <x v="0"/>
    <x v="254"/>
    <x v="420"/>
    <x v="1"/>
    <x v="522"/>
    <x v="15"/>
  </r>
  <r>
    <x v="284"/>
    <x v="746"/>
    <x v="1784"/>
    <x v="1306"/>
    <x v="1306"/>
    <x v="0"/>
    <x v="10"/>
    <x v="10"/>
    <x v="58"/>
    <x v="306"/>
    <x v="286"/>
    <x v="0"/>
    <x v="677"/>
    <x v="238"/>
    <x v="130"/>
    <x v="0"/>
    <x v="673"/>
    <x v="222"/>
    <x v="0"/>
    <x v="856"/>
    <x v="30"/>
  </r>
  <r>
    <x v="468"/>
    <x v="123"/>
    <x v="1785"/>
    <x v="667"/>
    <x v="667"/>
    <x v="0"/>
    <x v="14"/>
    <x v="14"/>
    <x v="69"/>
    <x v="247"/>
    <x v="11"/>
    <x v="1"/>
    <x v="116"/>
    <x v="176"/>
    <x v="1202"/>
    <x v="0"/>
    <x v="315"/>
    <x v="240"/>
    <x v="0"/>
    <x v="13"/>
    <x v="23"/>
  </r>
  <r>
    <x v="65"/>
    <x v="5"/>
    <x v="1786"/>
    <x v="1467"/>
    <x v="1467"/>
    <x v="0"/>
    <x v="4"/>
    <x v="4"/>
    <x v="53"/>
    <x v="169"/>
    <x v="368"/>
    <x v="0"/>
    <x v="727"/>
    <x v="32"/>
    <x v="212"/>
    <x v="0"/>
    <x v="407"/>
    <x v="228"/>
    <x v="0"/>
    <x v="1561"/>
    <x v="36"/>
  </r>
  <r>
    <x v="6"/>
    <x v="242"/>
    <x v="1786"/>
    <x v="1613"/>
    <x v="1613"/>
    <x v="1"/>
    <x v="7"/>
    <x v="7"/>
    <x v="54"/>
    <x v="253"/>
    <x v="347"/>
    <x v="0"/>
    <x v="764"/>
    <x v="786"/>
    <x v="648"/>
    <x v="0"/>
    <x v="568"/>
    <x v="578"/>
    <x v="1"/>
    <x v="34"/>
    <x v="7"/>
  </r>
  <r>
    <x v="437"/>
    <x v="189"/>
    <x v="1787"/>
    <x v="249"/>
    <x v="249"/>
    <x v="0"/>
    <x v="12"/>
    <x v="12"/>
    <x v="55"/>
    <x v="310"/>
    <x v="462"/>
    <x v="0"/>
    <x v="1099"/>
    <x v="8"/>
    <x v="406"/>
    <x v="462"/>
    <x v="473"/>
    <x v="340"/>
    <x v="0"/>
    <x v="1267"/>
    <x v="13"/>
  </r>
  <r>
    <x v="307"/>
    <x v="52"/>
    <x v="1788"/>
    <x v="427"/>
    <x v="427"/>
    <x v="1"/>
    <x v="8"/>
    <x v="8"/>
    <x v="58"/>
    <x v="34"/>
    <x v="475"/>
    <x v="0"/>
    <x v="1046"/>
    <x v="661"/>
    <x v="529"/>
    <x v="0"/>
    <x v="421"/>
    <x v="256"/>
    <x v="0"/>
    <x v="1706"/>
    <x v="38"/>
  </r>
  <r>
    <x v="506"/>
    <x v="511"/>
    <x v="1789"/>
    <x v="947"/>
    <x v="947"/>
    <x v="0"/>
    <x v="13"/>
    <x v="13"/>
    <x v="32"/>
    <x v="93"/>
    <x v="284"/>
    <x v="0"/>
    <x v="755"/>
    <x v="90"/>
    <x v="434"/>
    <x v="140"/>
    <x v="602"/>
    <x v="293"/>
    <x v="0"/>
    <x v="108"/>
    <x v="23"/>
  </r>
  <r>
    <x v="101"/>
    <x v="565"/>
    <x v="1790"/>
    <x v="244"/>
    <x v="244"/>
    <x v="0"/>
    <x v="13"/>
    <x v="13"/>
    <x v="51"/>
    <x v="96"/>
    <x v="500"/>
    <x v="0"/>
    <x v="1440"/>
    <x v="228"/>
    <x v="13"/>
    <x v="245"/>
    <x v="43"/>
    <x v="692"/>
    <x v="1"/>
    <x v="1803"/>
    <x v="46"/>
  </r>
  <r>
    <x v="107"/>
    <x v="162"/>
    <x v="1791"/>
    <x v="876"/>
    <x v="876"/>
    <x v="0"/>
    <x v="3"/>
    <x v="3"/>
    <x v="46"/>
    <x v="556"/>
    <x v="439"/>
    <x v="0"/>
    <x v="1477"/>
    <x v="592"/>
    <x v="822"/>
    <x v="404"/>
    <x v="399"/>
    <x v="647"/>
    <x v="1"/>
    <x v="700"/>
    <x v="15"/>
  </r>
  <r>
    <x v="145"/>
    <x v="67"/>
    <x v="1792"/>
    <x v="1227"/>
    <x v="1227"/>
    <x v="0"/>
    <x v="9"/>
    <x v="9"/>
    <x v="54"/>
    <x v="104"/>
    <x v="320"/>
    <x v="0"/>
    <x v="1332"/>
    <x v="71"/>
    <x v="928"/>
    <x v="0"/>
    <x v="527"/>
    <x v="63"/>
    <x v="0"/>
    <x v="1481"/>
    <x v="23"/>
  </r>
  <r>
    <x v="83"/>
    <x v="681"/>
    <x v="1793"/>
    <x v="319"/>
    <x v="319"/>
    <x v="0"/>
    <x v="3"/>
    <x v="3"/>
    <x v="60"/>
    <x v="427"/>
    <x v="432"/>
    <x v="0"/>
    <x v="1012"/>
    <x v="150"/>
    <x v="966"/>
    <x v="212"/>
    <x v="505"/>
    <x v="683"/>
    <x v="1"/>
    <x v="685"/>
    <x v="29"/>
  </r>
  <r>
    <x v="768"/>
    <x v="701"/>
    <x v="8"/>
    <x v="412"/>
    <x v="412"/>
    <x v="0"/>
    <x v="20"/>
    <x v="20"/>
    <x v="51"/>
    <x v="425"/>
    <x v="495"/>
    <x v="0"/>
    <x v="1537"/>
    <x v="318"/>
    <x v="903"/>
    <x v="0"/>
    <x v="76"/>
    <x v="619"/>
    <x v="1"/>
    <x v="341"/>
    <x v="29"/>
  </r>
  <r>
    <x v="282"/>
    <x v="636"/>
    <x v="1795"/>
    <x v="1260"/>
    <x v="1260"/>
    <x v="0"/>
    <x v="13"/>
    <x v="13"/>
    <x v="57"/>
    <x v="354"/>
    <x v="447"/>
    <x v="0"/>
    <x v="492"/>
    <x v="530"/>
    <x v="147"/>
    <x v="667"/>
    <x v="522"/>
    <x v="290"/>
    <x v="0"/>
    <x v="1182"/>
    <x v="15"/>
  </r>
  <r>
    <x v="51"/>
    <x v="221"/>
    <x v="1796"/>
    <x v="1396"/>
    <x v="1396"/>
    <x v="0"/>
    <x v="1"/>
    <x v="1"/>
    <x v="43"/>
    <x v="299"/>
    <x v="48"/>
    <x v="1"/>
    <x v="84"/>
    <x v="46"/>
    <x v="1124"/>
    <x v="0"/>
    <x v="563"/>
    <x v="298"/>
    <x v="0"/>
    <x v="575"/>
    <x v="30"/>
  </r>
  <r>
    <x v="193"/>
    <x v="98"/>
    <x v="899"/>
    <x v="767"/>
    <x v="767"/>
    <x v="0"/>
    <x v="6"/>
    <x v="6"/>
    <x v="39"/>
    <x v="418"/>
    <x v="399"/>
    <x v="0"/>
    <x v="1646"/>
    <x v="591"/>
    <x v="859"/>
    <x v="0"/>
    <x v="586"/>
    <x v="622"/>
    <x v="1"/>
    <x v="627"/>
    <x v="11"/>
  </r>
  <r>
    <x v="48"/>
    <x v="347"/>
    <x v="1798"/>
    <x v="1081"/>
    <x v="1081"/>
    <x v="0"/>
    <x v="3"/>
    <x v="3"/>
    <x v="53"/>
    <x v="231"/>
    <x v="262"/>
    <x v="0"/>
    <x v="521"/>
    <x v="685"/>
    <x v="1022"/>
    <x v="0"/>
    <x v="290"/>
    <x v="673"/>
    <x v="1"/>
    <x v="1252"/>
    <x v="15"/>
  </r>
  <r>
    <x v="437"/>
    <x v="189"/>
    <x v="1799"/>
    <x v="297"/>
    <x v="297"/>
    <x v="1"/>
    <x v="14"/>
    <x v="14"/>
    <x v="58"/>
    <x v="301"/>
    <x v="476"/>
    <x v="0"/>
    <x v="1550"/>
    <x v="156"/>
    <x v="647"/>
    <x v="0"/>
    <x v="554"/>
    <x v="391"/>
    <x v="1"/>
    <x v="1253"/>
    <x v="13"/>
  </r>
  <r>
    <x v="288"/>
    <x v="279"/>
    <x v="1800"/>
    <x v="1067"/>
    <x v="1067"/>
    <x v="1"/>
    <x v="7"/>
    <x v="7"/>
    <x v="28"/>
    <x v="319"/>
    <x v="419"/>
    <x v="0"/>
    <x v="1493"/>
    <x v="697"/>
    <x v="989"/>
    <x v="554"/>
    <x v="417"/>
    <x v="120"/>
    <x v="0"/>
    <x v="1778"/>
    <x v="18"/>
  </r>
  <r>
    <x v="424"/>
    <x v="585"/>
    <x v="1801"/>
    <x v="68"/>
    <x v="68"/>
    <x v="0"/>
    <x v="18"/>
    <x v="18"/>
    <x v="56"/>
    <x v="187"/>
    <x v="290"/>
    <x v="0"/>
    <x v="464"/>
    <x v="167"/>
    <x v="813"/>
    <x v="0"/>
    <x v="565"/>
    <x v="205"/>
    <x v="0"/>
    <x v="494"/>
    <x v="23"/>
  </r>
  <r>
    <x v="147"/>
    <x v="732"/>
    <x v="1802"/>
    <x v="561"/>
    <x v="561"/>
    <x v="0"/>
    <x v="3"/>
    <x v="3"/>
    <x v="58"/>
    <x v="193"/>
    <x v="320"/>
    <x v="0"/>
    <x v="899"/>
    <x v="16"/>
    <x v="545"/>
    <x v="0"/>
    <x v="419"/>
    <x v="225"/>
    <x v="0"/>
    <x v="749"/>
    <x v="23"/>
  </r>
  <r>
    <x v="533"/>
    <x v="146"/>
    <x v="1802"/>
    <x v="342"/>
    <x v="342"/>
    <x v="0"/>
    <x v="13"/>
    <x v="13"/>
    <x v="46"/>
    <x v="232"/>
    <x v="2"/>
    <x v="1"/>
    <x v="78"/>
    <x v="81"/>
    <x v="1189"/>
    <x v="420"/>
    <x v="415"/>
    <x v="38"/>
    <x v="0"/>
    <x v="735"/>
    <x v="23"/>
  </r>
  <r>
    <x v="396"/>
    <x v="273"/>
    <x v="1803"/>
    <x v="925"/>
    <x v="925"/>
    <x v="0"/>
    <x v="14"/>
    <x v="14"/>
    <x v="63"/>
    <x v="382"/>
    <x v="537"/>
    <x v="0"/>
    <x v="686"/>
    <x v="194"/>
    <x v="442"/>
    <x v="0"/>
    <x v="584"/>
    <x v="567"/>
    <x v="1"/>
    <x v="604"/>
    <x v="11"/>
  </r>
  <r>
    <x v="105"/>
    <x v="205"/>
    <x v="1804"/>
    <x v="1218"/>
    <x v="1218"/>
    <x v="0"/>
    <x v="5"/>
    <x v="5"/>
    <x v="30"/>
    <x v="151"/>
    <x v="139"/>
    <x v="1"/>
    <x v="365"/>
    <x v="144"/>
    <x v="1032"/>
    <x v="94"/>
    <x v="260"/>
    <x v="160"/>
    <x v="0"/>
    <x v="1710"/>
    <x v="23"/>
  </r>
  <r>
    <x v="562"/>
    <x v="207"/>
    <x v="1805"/>
    <x v="1596"/>
    <x v="1596"/>
    <x v="0"/>
    <x v="15"/>
    <x v="15"/>
    <x v="40"/>
    <x v="300"/>
    <x v="444"/>
    <x v="0"/>
    <x v="538"/>
    <x v="239"/>
    <x v="343"/>
    <x v="420"/>
    <x v="601"/>
    <x v="712"/>
    <x v="1"/>
    <x v="898"/>
    <x v="25"/>
  </r>
  <r>
    <x v="54"/>
    <x v="592"/>
    <x v="1806"/>
    <x v="560"/>
    <x v="560"/>
    <x v="0"/>
    <x v="8"/>
    <x v="8"/>
    <x v="0"/>
    <x v="323"/>
    <x v="335"/>
    <x v="0"/>
    <x v="1110"/>
    <x v="22"/>
    <x v="240"/>
    <x v="0"/>
    <x v="227"/>
    <x v="305"/>
    <x v="0"/>
    <x v="1448"/>
    <x v="23"/>
  </r>
  <r>
    <x v="50"/>
    <x v="81"/>
    <x v="1807"/>
    <x v="356"/>
    <x v="356"/>
    <x v="0"/>
    <x v="2"/>
    <x v="2"/>
    <x v="51"/>
    <x v="497"/>
    <x v="487"/>
    <x v="0"/>
    <x v="1132"/>
    <x v="560"/>
    <x v="676"/>
    <x v="0"/>
    <x v="452"/>
    <x v="609"/>
    <x v="1"/>
    <x v="1248"/>
    <x v="37"/>
  </r>
  <r>
    <x v="455"/>
    <x v="678"/>
    <x v="1808"/>
    <x v="308"/>
    <x v="308"/>
    <x v="0"/>
    <x v="13"/>
    <x v="13"/>
    <x v="62"/>
    <x v="317"/>
    <x v="527"/>
    <x v="0"/>
    <x v="1581"/>
    <x v="219"/>
    <x v="779"/>
    <x v="0"/>
    <x v="453"/>
    <x v="572"/>
    <x v="1"/>
    <x v="555"/>
    <x v="25"/>
  </r>
  <r>
    <x v="120"/>
    <x v="62"/>
    <x v="1810"/>
    <x v="174"/>
    <x v="174"/>
    <x v="0"/>
    <x v="3"/>
    <x v="3"/>
    <x v="52"/>
    <x v="382"/>
    <x v="307"/>
    <x v="0"/>
    <x v="1085"/>
    <x v="155"/>
    <x v="780"/>
    <x v="583"/>
    <x v="478"/>
    <x v="405"/>
    <x v="1"/>
    <x v="321"/>
    <x v="23"/>
  </r>
  <r>
    <x v="437"/>
    <x v="189"/>
    <x v="1809"/>
    <x v="402"/>
    <x v="402"/>
    <x v="0"/>
    <x v="12"/>
    <x v="12"/>
    <x v="57"/>
    <x v="310"/>
    <x v="205"/>
    <x v="1"/>
    <x v="1054"/>
    <x v="581"/>
    <x v="207"/>
    <x v="0"/>
    <x v="59"/>
    <x v="733"/>
    <x v="1"/>
    <x v="1173"/>
    <x v="13"/>
  </r>
  <r>
    <x v="307"/>
    <x v="52"/>
    <x v="1811"/>
    <x v="39"/>
    <x v="39"/>
    <x v="0"/>
    <x v="15"/>
    <x v="15"/>
    <x v="70"/>
    <x v="326"/>
    <x v="233"/>
    <x v="1"/>
    <x v="454"/>
    <x v="113"/>
    <x v="609"/>
    <x v="211"/>
    <x v="408"/>
    <x v="625"/>
    <x v="1"/>
    <x v="271"/>
    <x v="38"/>
  </r>
  <r>
    <x v="397"/>
    <x v="398"/>
    <x v="1812"/>
    <x v="837"/>
    <x v="837"/>
    <x v="0"/>
    <x v="14"/>
    <x v="14"/>
    <x v="51"/>
    <x v="153"/>
    <x v="284"/>
    <x v="0"/>
    <x v="904"/>
    <x v="112"/>
    <x v="736"/>
    <x v="73"/>
    <x v="670"/>
    <x v="413"/>
    <x v="1"/>
    <x v="1639"/>
    <x v="23"/>
  </r>
  <r>
    <x v="45"/>
    <x v="561"/>
    <x v="1813"/>
    <x v="1272"/>
    <x v="1272"/>
    <x v="0"/>
    <x v="6"/>
    <x v="6"/>
    <x v="38"/>
    <x v="461"/>
    <x v="253"/>
    <x v="1"/>
    <x v="110"/>
    <x v="573"/>
    <x v="710"/>
    <x v="0"/>
    <x v="262"/>
    <x v="556"/>
    <x v="1"/>
    <x v="481"/>
    <x v="15"/>
  </r>
  <r>
    <x v="457"/>
    <x v="357"/>
    <x v="1814"/>
    <x v="278"/>
    <x v="278"/>
    <x v="0"/>
    <x v="15"/>
    <x v="15"/>
    <x v="52"/>
    <x v="332"/>
    <x v="223"/>
    <x v="1"/>
    <x v="347"/>
    <x v="709"/>
    <x v="758"/>
    <x v="0"/>
    <x v="466"/>
    <x v="551"/>
    <x v="1"/>
    <x v="106"/>
    <x v="11"/>
  </r>
  <r>
    <x v="396"/>
    <x v="273"/>
    <x v="1815"/>
    <x v="1085"/>
    <x v="1085"/>
    <x v="0"/>
    <x v="14"/>
    <x v="14"/>
    <x v="63"/>
    <x v="243"/>
    <x v="460"/>
    <x v="0"/>
    <x v="822"/>
    <x v="288"/>
    <x v="838"/>
    <x v="0"/>
    <x v="557"/>
    <x v="284"/>
    <x v="0"/>
    <x v="1152"/>
    <x v="11"/>
  </r>
  <r>
    <x v="750"/>
    <x v="442"/>
    <x v="516"/>
    <x v="1302"/>
    <x v="1302"/>
    <x v="0"/>
    <x v="20"/>
    <x v="20"/>
    <x v="48"/>
    <x v="178"/>
    <x v="387"/>
    <x v="0"/>
    <x v="1096"/>
    <x v="78"/>
    <x v="408"/>
    <x v="0"/>
    <x v="461"/>
    <x v="84"/>
    <x v="0"/>
    <x v="758"/>
    <x v="23"/>
  </r>
  <r>
    <x v="438"/>
    <x v="728"/>
    <x v="1817"/>
    <x v="823"/>
    <x v="823"/>
    <x v="0"/>
    <x v="16"/>
    <x v="16"/>
    <x v="64"/>
    <x v="188"/>
    <x v="265"/>
    <x v="0"/>
    <x v="262"/>
    <x v="431"/>
    <x v="722"/>
    <x v="607"/>
    <x v="410"/>
    <x v="312"/>
    <x v="0"/>
    <x v="1461"/>
    <x v="23"/>
  </r>
  <r>
    <x v="566"/>
    <x v="461"/>
    <x v="1818"/>
    <x v="810"/>
    <x v="810"/>
    <x v="0"/>
    <x v="14"/>
    <x v="14"/>
    <x v="0"/>
    <x v="373"/>
    <x v="475"/>
    <x v="0"/>
    <x v="1529"/>
    <x v="592"/>
    <x v="67"/>
    <x v="477"/>
    <x v="580"/>
    <x v="378"/>
    <x v="1"/>
    <x v="788"/>
    <x v="23"/>
  </r>
  <r>
    <x v="590"/>
    <x v="97"/>
    <x v="1818"/>
    <x v="1375"/>
    <x v="1375"/>
    <x v="0"/>
    <x v="15"/>
    <x v="15"/>
    <x v="34"/>
    <x v="117"/>
    <x v="308"/>
    <x v="0"/>
    <x v="1123"/>
    <x v="8"/>
    <x v="773"/>
    <x v="0"/>
    <x v="466"/>
    <x v="100"/>
    <x v="0"/>
    <x v="135"/>
    <x v="23"/>
  </r>
  <r>
    <x v="681"/>
    <x v="691"/>
    <x v="1819"/>
    <x v="489"/>
    <x v="489"/>
    <x v="0"/>
    <x v="21"/>
    <x v="21"/>
    <x v="50"/>
    <x v="304"/>
    <x v="495"/>
    <x v="0"/>
    <x v="1370"/>
    <x v="306"/>
    <x v="868"/>
    <x v="0"/>
    <x v="590"/>
    <x v="414"/>
    <x v="1"/>
    <x v="1053"/>
    <x v="25"/>
  </r>
  <r>
    <x v="647"/>
    <x v="608"/>
    <x v="1820"/>
    <x v="118"/>
    <x v="118"/>
    <x v="0"/>
    <x v="16"/>
    <x v="16"/>
    <x v="51"/>
    <x v="289"/>
    <x v="432"/>
    <x v="0"/>
    <x v="1242"/>
    <x v="41"/>
    <x v="373"/>
    <x v="705"/>
    <x v="406"/>
    <x v="256"/>
    <x v="0"/>
    <x v="994"/>
    <x v="25"/>
  </r>
  <r>
    <x v="76"/>
    <x v="174"/>
    <x v="1821"/>
    <x v="1578"/>
    <x v="1578"/>
    <x v="0"/>
    <x v="1"/>
    <x v="1"/>
    <x v="50"/>
    <x v="66"/>
    <x v="151"/>
    <x v="1"/>
    <x v="137"/>
    <x v="50"/>
    <x v="226"/>
    <x v="503"/>
    <x v="421"/>
    <x v="44"/>
    <x v="0"/>
    <x v="1420"/>
    <x v="36"/>
  </r>
  <r>
    <x v="379"/>
    <x v="645"/>
    <x v="1822"/>
    <x v="1411"/>
    <x v="1411"/>
    <x v="0"/>
    <x v="7"/>
    <x v="7"/>
    <x v="22"/>
    <x v="118"/>
    <x v="465"/>
    <x v="0"/>
    <x v="1148"/>
    <x v="139"/>
    <x v="329"/>
    <x v="296"/>
    <x v="566"/>
    <x v="262"/>
    <x v="0"/>
    <x v="943"/>
    <x v="25"/>
  </r>
  <r>
    <x v="95"/>
    <x v="366"/>
    <x v="1823"/>
    <x v="252"/>
    <x v="252"/>
    <x v="0"/>
    <x v="5"/>
    <x v="5"/>
    <x v="43"/>
    <x v="188"/>
    <x v="356"/>
    <x v="0"/>
    <x v="1106"/>
    <x v="573"/>
    <x v="817"/>
    <x v="0"/>
    <x v="515"/>
    <x v="441"/>
    <x v="1"/>
    <x v="328"/>
    <x v="30"/>
  </r>
  <r>
    <x v="290"/>
    <x v="160"/>
    <x v="1823"/>
    <x v="1376"/>
    <x v="1376"/>
    <x v="0"/>
    <x v="9"/>
    <x v="9"/>
    <x v="56"/>
    <x v="297"/>
    <x v="294"/>
    <x v="0"/>
    <x v="1193"/>
    <x v="400"/>
    <x v="874"/>
    <x v="0"/>
    <x v="449"/>
    <x v="488"/>
    <x v="1"/>
    <x v="170"/>
    <x v="15"/>
  </r>
  <r>
    <x v="6"/>
    <x v="242"/>
    <x v="1824"/>
    <x v="1664"/>
    <x v="1664"/>
    <x v="1"/>
    <x v="4"/>
    <x v="4"/>
    <x v="73"/>
    <x v="530"/>
    <x v="270"/>
    <x v="0"/>
    <x v="1593"/>
    <x v="429"/>
    <x v="179"/>
    <x v="0"/>
    <x v="534"/>
    <x v="495"/>
    <x v="1"/>
    <x v="751"/>
    <x v="7"/>
  </r>
  <r>
    <x v="785"/>
    <x v="319"/>
    <x v="1824"/>
    <x v="418"/>
    <x v="418"/>
    <x v="1"/>
    <x v="20"/>
    <x v="20"/>
    <x v="63"/>
    <x v="387"/>
    <x v="109"/>
    <x v="1"/>
    <x v="319"/>
    <x v="404"/>
    <x v="1014"/>
    <x v="200"/>
    <x v="361"/>
    <x v="373"/>
    <x v="1"/>
    <x v="1383"/>
    <x v="25"/>
  </r>
  <r>
    <x v="541"/>
    <x v="66"/>
    <x v="1825"/>
    <x v="147"/>
    <x v="147"/>
    <x v="1"/>
    <x v="19"/>
    <x v="19"/>
    <x v="63"/>
    <x v="297"/>
    <x v="458"/>
    <x v="0"/>
    <x v="1016"/>
    <x v="170"/>
    <x v="129"/>
    <x v="0"/>
    <x v="57"/>
    <x v="161"/>
    <x v="0"/>
    <x v="1352"/>
    <x v="25"/>
  </r>
  <r>
    <x v="437"/>
    <x v="189"/>
    <x v="1826"/>
    <x v="550"/>
    <x v="550"/>
    <x v="0"/>
    <x v="14"/>
    <x v="14"/>
    <x v="56"/>
    <x v="243"/>
    <x v="217"/>
    <x v="1"/>
    <x v="1389"/>
    <x v="33"/>
    <x v="957"/>
    <x v="111"/>
    <x v="461"/>
    <x v="254"/>
    <x v="0"/>
    <x v="1162"/>
    <x v="13"/>
  </r>
  <r>
    <x v="581"/>
    <x v="677"/>
    <x v="1827"/>
    <x v="351"/>
    <x v="351"/>
    <x v="0"/>
    <x v="19"/>
    <x v="19"/>
    <x v="64"/>
    <x v="359"/>
    <x v="404"/>
    <x v="0"/>
    <x v="1099"/>
    <x v="189"/>
    <x v="865"/>
    <x v="0"/>
    <x v="506"/>
    <x v="170"/>
    <x v="0"/>
    <x v="1057"/>
    <x v="23"/>
  </r>
  <r>
    <x v="0"/>
    <x v="122"/>
    <x v="1828"/>
    <x v="919"/>
    <x v="919"/>
    <x v="0"/>
    <x v="10"/>
    <x v="10"/>
    <x v="62"/>
    <x v="359"/>
    <x v="296"/>
    <x v="0"/>
    <x v="859"/>
    <x v="344"/>
    <x v="729"/>
    <x v="0"/>
    <x v="322"/>
    <x v="108"/>
    <x v="0"/>
    <x v="1422"/>
    <x v="23"/>
  </r>
  <r>
    <x v="352"/>
    <x v="352"/>
    <x v="1829"/>
    <x v="583"/>
    <x v="583"/>
    <x v="0"/>
    <x v="8"/>
    <x v="8"/>
    <x v="35"/>
    <x v="117"/>
    <x v="311"/>
    <x v="0"/>
    <x v="1101"/>
    <x v="38"/>
    <x v="646"/>
    <x v="0"/>
    <x v="389"/>
    <x v="428"/>
    <x v="1"/>
    <x v="64"/>
    <x v="30"/>
  </r>
  <r>
    <x v="222"/>
    <x v="403"/>
    <x v="1830"/>
    <x v="546"/>
    <x v="546"/>
    <x v="0"/>
    <x v="12"/>
    <x v="12"/>
    <x v="20"/>
    <x v="514"/>
    <x v="423"/>
    <x v="0"/>
    <x v="485"/>
    <x v="275"/>
    <x v="252"/>
    <x v="0"/>
    <x v="585"/>
    <x v="457"/>
    <x v="1"/>
    <x v="582"/>
    <x v="15"/>
  </r>
  <r>
    <x v="282"/>
    <x v="636"/>
    <x v="1830"/>
    <x v="798"/>
    <x v="798"/>
    <x v="1"/>
    <x v="18"/>
    <x v="18"/>
    <x v="61"/>
    <x v="360"/>
    <x v="147"/>
    <x v="1"/>
    <x v="522"/>
    <x v="542"/>
    <x v="738"/>
    <x v="0"/>
    <x v="345"/>
    <x v="397"/>
    <x v="1"/>
    <x v="266"/>
    <x v="15"/>
  </r>
  <r>
    <x v="0"/>
    <x v="122"/>
    <x v="1196"/>
    <x v="359"/>
    <x v="359"/>
    <x v="0"/>
    <x v="3"/>
    <x v="3"/>
    <x v="47"/>
    <x v="317"/>
    <x v="494"/>
    <x v="0"/>
    <x v="1658"/>
    <x v="420"/>
    <x v="557"/>
    <x v="0"/>
    <x v="685"/>
    <x v="661"/>
    <x v="1"/>
    <x v="386"/>
    <x v="23"/>
  </r>
  <r>
    <x v="651"/>
    <x v="267"/>
    <x v="1832"/>
    <x v="690"/>
    <x v="690"/>
    <x v="0"/>
    <x v="18"/>
    <x v="18"/>
    <x v="61"/>
    <x v="436"/>
    <x v="189"/>
    <x v="1"/>
    <x v="645"/>
    <x v="174"/>
    <x v="845"/>
    <x v="110"/>
    <x v="151"/>
    <x v="430"/>
    <x v="1"/>
    <x v="640"/>
    <x v="23"/>
  </r>
  <r>
    <x v="511"/>
    <x v="815"/>
    <x v="1833"/>
    <x v="789"/>
    <x v="789"/>
    <x v="1"/>
    <x v="14"/>
    <x v="14"/>
    <x v="48"/>
    <x v="420"/>
    <x v="267"/>
    <x v="0"/>
    <x v="1144"/>
    <x v="224"/>
    <x v="575"/>
    <x v="246"/>
    <x v="589"/>
    <x v="328"/>
    <x v="0"/>
    <x v="1449"/>
    <x v="11"/>
  </r>
  <r>
    <x v="40"/>
    <x v="532"/>
    <x v="1834"/>
    <x v="1489"/>
    <x v="1489"/>
    <x v="1"/>
    <x v="4"/>
    <x v="4"/>
    <x v="56"/>
    <x v="510"/>
    <x v="278"/>
    <x v="0"/>
    <x v="731"/>
    <x v="735"/>
    <x v="750"/>
    <x v="0"/>
    <x v="214"/>
    <x v="421"/>
    <x v="1"/>
    <x v="560"/>
    <x v="15"/>
  </r>
  <r>
    <x v="786"/>
    <x v="479"/>
    <x v="128"/>
    <x v="681"/>
    <x v="681"/>
    <x v="0"/>
    <x v="20"/>
    <x v="20"/>
    <x v="40"/>
    <x v="446"/>
    <x v="302"/>
    <x v="0"/>
    <x v="1162"/>
    <x v="190"/>
    <x v="916"/>
    <x v="0"/>
    <x v="381"/>
    <x v="585"/>
    <x v="1"/>
    <x v="716"/>
    <x v="25"/>
  </r>
  <r>
    <x v="33"/>
    <x v="427"/>
    <x v="1836"/>
    <x v="248"/>
    <x v="248"/>
    <x v="0"/>
    <x v="9"/>
    <x v="9"/>
    <x v="33"/>
    <x v="289"/>
    <x v="484"/>
    <x v="0"/>
    <x v="768"/>
    <x v="664"/>
    <x v="889"/>
    <x v="433"/>
    <x v="659"/>
    <x v="667"/>
    <x v="1"/>
    <x v="1034"/>
    <x v="25"/>
  </r>
  <r>
    <x v="745"/>
    <x v="617"/>
    <x v="1837"/>
    <x v="17"/>
    <x v="17"/>
    <x v="1"/>
    <x v="21"/>
    <x v="21"/>
    <x v="65"/>
    <x v="461"/>
    <x v="151"/>
    <x v="1"/>
    <x v="271"/>
    <x v="668"/>
    <x v="876"/>
    <x v="39"/>
    <x v="407"/>
    <x v="241"/>
    <x v="0"/>
    <x v="493"/>
    <x v="7"/>
  </r>
  <r>
    <x v="513"/>
    <x v="582"/>
    <x v="1838"/>
    <x v="180"/>
    <x v="180"/>
    <x v="0"/>
    <x v="16"/>
    <x v="16"/>
    <x v="0"/>
    <x v="420"/>
    <x v="448"/>
    <x v="0"/>
    <x v="1067"/>
    <x v="284"/>
    <x v="813"/>
    <x v="0"/>
    <x v="454"/>
    <x v="742"/>
    <x v="1"/>
    <x v="970"/>
    <x v="25"/>
  </r>
  <r>
    <x v="405"/>
    <x v="528"/>
    <x v="1839"/>
    <x v="848"/>
    <x v="848"/>
    <x v="0"/>
    <x v="15"/>
    <x v="15"/>
    <x v="63"/>
    <x v="169"/>
    <x v="63"/>
    <x v="1"/>
    <x v="511"/>
    <x v="89"/>
    <x v="1080"/>
    <x v="0"/>
    <x v="411"/>
    <x v="205"/>
    <x v="0"/>
    <x v="892"/>
    <x v="23"/>
  </r>
  <r>
    <x v="602"/>
    <x v="658"/>
    <x v="1840"/>
    <x v="1602"/>
    <x v="1602"/>
    <x v="0"/>
    <x v="17"/>
    <x v="17"/>
    <x v="52"/>
    <x v="10"/>
    <x v="16"/>
    <x v="1"/>
    <x v="159"/>
    <x v="86"/>
    <x v="1184"/>
    <x v="70"/>
    <x v="303"/>
    <x v="15"/>
    <x v="0"/>
    <x v="101"/>
    <x v="23"/>
  </r>
  <r>
    <x v="482"/>
    <x v="773"/>
    <x v="1841"/>
    <x v="541"/>
    <x v="541"/>
    <x v="0"/>
    <x v="12"/>
    <x v="12"/>
    <x v="43"/>
    <x v="291"/>
    <x v="531"/>
    <x v="0"/>
    <x v="1233"/>
    <x v="554"/>
    <x v="681"/>
    <x v="0"/>
    <x v="519"/>
    <x v="374"/>
    <x v="1"/>
    <x v="261"/>
    <x v="13"/>
  </r>
  <r>
    <x v="682"/>
    <x v="567"/>
    <x v="1842"/>
    <x v="85"/>
    <x v="85"/>
    <x v="0"/>
    <x v="21"/>
    <x v="21"/>
    <x v="60"/>
    <x v="229"/>
    <x v="350"/>
    <x v="0"/>
    <x v="833"/>
    <x v="292"/>
    <x v="526"/>
    <x v="513"/>
    <x v="593"/>
    <x v="527"/>
    <x v="1"/>
    <x v="1775"/>
    <x v="21"/>
  </r>
  <r>
    <x v="28"/>
    <x v="217"/>
    <x v="1843"/>
    <x v="762"/>
    <x v="762"/>
    <x v="1"/>
    <x v="9"/>
    <x v="9"/>
    <x v="56"/>
    <x v="396"/>
    <x v="499"/>
    <x v="0"/>
    <x v="1546"/>
    <x v="646"/>
    <x v="381"/>
    <x v="0"/>
    <x v="205"/>
    <x v="506"/>
    <x v="1"/>
    <x v="354"/>
    <x v="11"/>
  </r>
  <r>
    <x v="729"/>
    <x v="453"/>
    <x v="1844"/>
    <x v="156"/>
    <x v="156"/>
    <x v="1"/>
    <x v="19"/>
    <x v="19"/>
    <x v="67"/>
    <x v="367"/>
    <x v="351"/>
    <x v="0"/>
    <x v="480"/>
    <x v="690"/>
    <x v="173"/>
    <x v="0"/>
    <x v="413"/>
    <x v="253"/>
    <x v="0"/>
    <x v="1618"/>
    <x v="7"/>
  </r>
  <r>
    <x v="290"/>
    <x v="160"/>
    <x v="1845"/>
    <x v="1241"/>
    <x v="1241"/>
    <x v="1"/>
    <x v="13"/>
    <x v="13"/>
    <x v="55"/>
    <x v="340"/>
    <x v="482"/>
    <x v="0"/>
    <x v="1515"/>
    <x v="186"/>
    <x v="48"/>
    <x v="8"/>
    <x v="359"/>
    <x v="532"/>
    <x v="1"/>
    <x v="1275"/>
    <x v="15"/>
  </r>
  <r>
    <x v="119"/>
    <x v="801"/>
    <x v="1846"/>
    <x v="1353"/>
    <x v="1353"/>
    <x v="0"/>
    <x v="6"/>
    <x v="6"/>
    <x v="67"/>
    <x v="519"/>
    <x v="391"/>
    <x v="0"/>
    <x v="1065"/>
    <x v="577"/>
    <x v="421"/>
    <x v="0"/>
    <x v="36"/>
    <x v="420"/>
    <x v="1"/>
    <x v="641"/>
    <x v="15"/>
  </r>
  <r>
    <x v="556"/>
    <x v="30"/>
    <x v="1847"/>
    <x v="304"/>
    <x v="304"/>
    <x v="0"/>
    <x v="14"/>
    <x v="14"/>
    <x v="0"/>
    <x v="44"/>
    <x v="423"/>
    <x v="0"/>
    <x v="520"/>
    <x v="473"/>
    <x v="160"/>
    <x v="45"/>
    <x v="478"/>
    <x v="180"/>
    <x v="0"/>
    <x v="1206"/>
    <x v="25"/>
  </r>
  <r>
    <x v="772"/>
    <x v="445"/>
    <x v="1848"/>
    <x v="14"/>
    <x v="14"/>
    <x v="1"/>
    <x v="20"/>
    <x v="20"/>
    <x v="65"/>
    <x v="559"/>
    <x v="30"/>
    <x v="1"/>
    <x v="77"/>
    <x v="835"/>
    <x v="538"/>
    <x v="0"/>
    <x v="412"/>
    <x v="401"/>
    <x v="1"/>
    <x v="888"/>
    <x v="7"/>
  </r>
  <r>
    <x v="290"/>
    <x v="160"/>
    <x v="1849"/>
    <x v="1012"/>
    <x v="1012"/>
    <x v="0"/>
    <x v="7"/>
    <x v="7"/>
    <x v="55"/>
    <x v="174"/>
    <x v="215"/>
    <x v="1"/>
    <x v="650"/>
    <x v="726"/>
    <x v="861"/>
    <x v="0"/>
    <x v="511"/>
    <x v="408"/>
    <x v="1"/>
    <x v="178"/>
    <x v="15"/>
  </r>
  <r>
    <x v="275"/>
    <x v="463"/>
    <x v="1850"/>
    <x v="1564"/>
    <x v="1564"/>
    <x v="0"/>
    <x v="9"/>
    <x v="9"/>
    <x v="56"/>
    <x v="67"/>
    <x v="476"/>
    <x v="0"/>
    <x v="596"/>
    <x v="828"/>
    <x v="844"/>
    <x v="0"/>
    <x v="590"/>
    <x v="535"/>
    <x v="1"/>
    <x v="1302"/>
    <x v="15"/>
  </r>
  <r>
    <x v="438"/>
    <x v="728"/>
    <x v="1851"/>
    <x v="1050"/>
    <x v="1050"/>
    <x v="0"/>
    <x v="10"/>
    <x v="10"/>
    <x v="41"/>
    <x v="322"/>
    <x v="371"/>
    <x v="0"/>
    <x v="1163"/>
    <x v="128"/>
    <x v="902"/>
    <x v="259"/>
    <x v="416"/>
    <x v="291"/>
    <x v="0"/>
    <x v="1265"/>
    <x v="23"/>
  </r>
  <r>
    <x v="778"/>
    <x v="631"/>
    <x v="1014"/>
    <x v="854"/>
    <x v="854"/>
    <x v="0"/>
    <x v="20"/>
    <x v="20"/>
    <x v="1"/>
    <x v="411"/>
    <x v="379"/>
    <x v="0"/>
    <x v="1157"/>
    <x v="551"/>
    <x v="643"/>
    <x v="0"/>
    <x v="748"/>
    <x v="595"/>
    <x v="1"/>
    <x v="323"/>
    <x v="29"/>
  </r>
  <r>
    <x v="178"/>
    <x v="37"/>
    <x v="1853"/>
    <x v="1784"/>
    <x v="1784"/>
    <x v="0"/>
    <x v="5"/>
    <x v="5"/>
    <x v="47"/>
    <x v="12"/>
    <x v="264"/>
    <x v="0"/>
    <x v="151"/>
    <x v="650"/>
    <x v="1148"/>
    <x v="596"/>
    <x v="629"/>
    <x v="119"/>
    <x v="0"/>
    <x v="1692"/>
    <x v="30"/>
  </r>
  <r>
    <x v="664"/>
    <x v="667"/>
    <x v="1854"/>
    <x v="370"/>
    <x v="370"/>
    <x v="0"/>
    <x v="17"/>
    <x v="17"/>
    <x v="41"/>
    <x v="29"/>
    <x v="265"/>
    <x v="0"/>
    <x v="704"/>
    <x v="567"/>
    <x v="904"/>
    <x v="14"/>
    <x v="111"/>
    <x v="160"/>
    <x v="0"/>
    <x v="1802"/>
    <x v="30"/>
  </r>
  <r>
    <x v="664"/>
    <x v="667"/>
    <x v="1854"/>
    <x v="411"/>
    <x v="411"/>
    <x v="0"/>
    <x v="18"/>
    <x v="18"/>
    <x v="55"/>
    <x v="28"/>
    <x v="237"/>
    <x v="1"/>
    <x v="715"/>
    <x v="519"/>
    <x v="897"/>
    <x v="78"/>
    <x v="124"/>
    <x v="129"/>
    <x v="0"/>
    <x v="1801"/>
    <x v="30"/>
  </r>
  <r>
    <x v="354"/>
    <x v="737"/>
    <x v="1855"/>
    <x v="1244"/>
    <x v="1244"/>
    <x v="0"/>
    <x v="11"/>
    <x v="11"/>
    <x v="59"/>
    <x v="30"/>
    <x v="403"/>
    <x v="0"/>
    <x v="793"/>
    <x v="155"/>
    <x v="424"/>
    <x v="0"/>
    <x v="440"/>
    <x v="252"/>
    <x v="0"/>
    <x v="1602"/>
    <x v="23"/>
  </r>
  <r>
    <x v="352"/>
    <x v="352"/>
    <x v="1856"/>
    <x v="650"/>
    <x v="650"/>
    <x v="0"/>
    <x v="8"/>
    <x v="8"/>
    <x v="50"/>
    <x v="194"/>
    <x v="289"/>
    <x v="0"/>
    <x v="447"/>
    <x v="579"/>
    <x v="951"/>
    <x v="0"/>
    <x v="296"/>
    <x v="416"/>
    <x v="1"/>
    <x v="76"/>
    <x v="30"/>
  </r>
  <r>
    <x v="316"/>
    <x v="47"/>
    <x v="1857"/>
    <x v="1433"/>
    <x v="1433"/>
    <x v="0"/>
    <x v="8"/>
    <x v="8"/>
    <x v="49"/>
    <x v="340"/>
    <x v="406"/>
    <x v="0"/>
    <x v="1428"/>
    <x v="57"/>
    <x v="379"/>
    <x v="593"/>
    <x v="192"/>
    <x v="563"/>
    <x v="1"/>
    <x v="598"/>
    <x v="37"/>
  </r>
  <r>
    <x v="609"/>
    <x v="216"/>
    <x v="1858"/>
    <x v="1324"/>
    <x v="1324"/>
    <x v="0"/>
    <x v="16"/>
    <x v="16"/>
    <x v="55"/>
    <x v="64"/>
    <x v="326"/>
    <x v="0"/>
    <x v="816"/>
    <x v="651"/>
    <x v="385"/>
    <x v="66"/>
    <x v="596"/>
    <x v="117"/>
    <x v="0"/>
    <x v="1818"/>
    <x v="13"/>
  </r>
  <r>
    <x v="459"/>
    <x v="167"/>
    <x v="1859"/>
    <x v="724"/>
    <x v="724"/>
    <x v="0"/>
    <x v="13"/>
    <x v="13"/>
    <x v="56"/>
    <x v="303"/>
    <x v="457"/>
    <x v="0"/>
    <x v="1576"/>
    <x v="272"/>
    <x v="428"/>
    <x v="163"/>
    <x v="35"/>
    <x v="576"/>
    <x v="1"/>
    <x v="1322"/>
    <x v="25"/>
  </r>
  <r>
    <x v="70"/>
    <x v="808"/>
    <x v="1860"/>
    <x v="1235"/>
    <x v="1235"/>
    <x v="0"/>
    <x v="7"/>
    <x v="7"/>
    <x v="1"/>
    <x v="0"/>
    <x v="34"/>
    <x v="1"/>
    <x v="420"/>
    <x v="62"/>
    <x v="1161"/>
    <x v="0"/>
    <x v="319"/>
    <x v="65"/>
    <x v="0"/>
    <x v="28"/>
    <x v="23"/>
  </r>
  <r>
    <x v="97"/>
    <x v="520"/>
    <x v="1861"/>
    <x v="1771"/>
    <x v="1771"/>
    <x v="0"/>
    <x v="3"/>
    <x v="3"/>
    <x v="50"/>
    <x v="484"/>
    <x v="274"/>
    <x v="0"/>
    <x v="1531"/>
    <x v="648"/>
    <x v="556"/>
    <x v="423"/>
    <x v="550"/>
    <x v="746"/>
    <x v="1"/>
    <x v="347"/>
    <x v="30"/>
  </r>
  <r>
    <x v="73"/>
    <x v="496"/>
    <x v="1862"/>
    <x v="1777"/>
    <x v="1777"/>
    <x v="0"/>
    <x v="1"/>
    <x v="1"/>
    <x v="42"/>
    <x v="213"/>
    <x v="494"/>
    <x v="0"/>
    <x v="791"/>
    <x v="44"/>
    <x v="353"/>
    <x v="74"/>
    <x v="516"/>
    <x v="569"/>
    <x v="1"/>
    <x v="1687"/>
    <x v="29"/>
  </r>
  <r>
    <x v="34"/>
    <x v="361"/>
    <x v="1866"/>
    <x v="1402"/>
    <x v="1402"/>
    <x v="1"/>
    <x v="11"/>
    <x v="11"/>
    <x v="51"/>
    <x v="272"/>
    <x v="291"/>
    <x v="0"/>
    <x v="1511"/>
    <x v="396"/>
    <x v="1086"/>
    <x v="0"/>
    <x v="512"/>
    <x v="26"/>
    <x v="0"/>
    <x v="1466"/>
    <x v="7"/>
  </r>
  <r>
    <x v="215"/>
    <x v="698"/>
    <x v="1867"/>
    <x v="530"/>
    <x v="530"/>
    <x v="1"/>
    <x v="13"/>
    <x v="13"/>
    <x v="63"/>
    <x v="350"/>
    <x v="256"/>
    <x v="1"/>
    <x v="470"/>
    <x v="602"/>
    <x v="632"/>
    <x v="0"/>
    <x v="419"/>
    <x v="371"/>
    <x v="1"/>
    <x v="362"/>
    <x v="11"/>
  </r>
  <r>
    <x v="130"/>
    <x v="191"/>
    <x v="1234"/>
    <x v="1051"/>
    <x v="1051"/>
    <x v="0"/>
    <x v="20"/>
    <x v="20"/>
    <x v="0"/>
    <x v="311"/>
    <x v="316"/>
    <x v="0"/>
    <x v="359"/>
    <x v="35"/>
    <x v="178"/>
    <x v="699"/>
    <x v="178"/>
    <x v="143"/>
    <x v="0"/>
    <x v="1237"/>
    <x v="2"/>
  </r>
  <r>
    <x v="299"/>
    <x v="618"/>
    <x v="1869"/>
    <x v="1218"/>
    <x v="1218"/>
    <x v="1"/>
    <x v="7"/>
    <x v="7"/>
    <x v="45"/>
    <x v="470"/>
    <x v="197"/>
    <x v="1"/>
    <x v="702"/>
    <x v="578"/>
    <x v="914"/>
    <x v="0"/>
    <x v="306"/>
    <x v="348"/>
    <x v="1"/>
    <x v="233"/>
    <x v="15"/>
  </r>
  <r>
    <x v="391"/>
    <x v="494"/>
    <x v="1870"/>
    <x v="1137"/>
    <x v="1137"/>
    <x v="0"/>
    <x v="9"/>
    <x v="9"/>
    <x v="39"/>
    <x v="31"/>
    <x v="521"/>
    <x v="0"/>
    <x v="1557"/>
    <x v="200"/>
    <x v="123"/>
    <x v="211"/>
    <x v="660"/>
    <x v="249"/>
    <x v="0"/>
    <x v="1132"/>
    <x v="47"/>
  </r>
  <r>
    <x v="470"/>
    <x v="407"/>
    <x v="1871"/>
    <x v="195"/>
    <x v="195"/>
    <x v="0"/>
    <x v="12"/>
    <x v="12"/>
    <x v="55"/>
    <x v="458"/>
    <x v="215"/>
    <x v="1"/>
    <x v="1343"/>
    <x v="555"/>
    <x v="296"/>
    <x v="0"/>
    <x v="322"/>
    <x v="583"/>
    <x v="1"/>
    <x v="931"/>
    <x v="25"/>
  </r>
  <r>
    <x v="353"/>
    <x v="699"/>
    <x v="1863"/>
    <x v="1565"/>
    <x v="1565"/>
    <x v="0"/>
    <x v="8"/>
    <x v="8"/>
    <x v="21"/>
    <x v="111"/>
    <x v="521"/>
    <x v="0"/>
    <x v="1114"/>
    <x v="191"/>
    <x v="6"/>
    <x v="690"/>
    <x v="480"/>
    <x v="343"/>
    <x v="1"/>
    <x v="1326"/>
    <x v="58"/>
  </r>
  <r>
    <x v="283"/>
    <x v="351"/>
    <x v="1864"/>
    <x v="578"/>
    <x v="578"/>
    <x v="1"/>
    <x v="7"/>
    <x v="7"/>
    <x v="61"/>
    <x v="310"/>
    <x v="101"/>
    <x v="1"/>
    <x v="50"/>
    <x v="26"/>
    <x v="1162"/>
    <x v="241"/>
    <x v="315"/>
    <x v="299"/>
    <x v="0"/>
    <x v="110"/>
    <x v="23"/>
  </r>
  <r>
    <x v="410"/>
    <x v="744"/>
    <x v="1865"/>
    <x v="123"/>
    <x v="123"/>
    <x v="1"/>
    <x v="10"/>
    <x v="10"/>
    <x v="64"/>
    <x v="185"/>
    <x v="517"/>
    <x v="0"/>
    <x v="1524"/>
    <x v="358"/>
    <x v="228"/>
    <x v="0"/>
    <x v="499"/>
    <x v="437"/>
    <x v="1"/>
    <x v="1125"/>
    <x v="49"/>
  </r>
  <r>
    <x v="106"/>
    <x v="593"/>
    <x v="1872"/>
    <x v="1428"/>
    <x v="1428"/>
    <x v="0"/>
    <x v="3"/>
    <x v="3"/>
    <x v="55"/>
    <x v="198"/>
    <x v="460"/>
    <x v="0"/>
    <x v="242"/>
    <x v="343"/>
    <x v="320"/>
    <x v="645"/>
    <x v="668"/>
    <x v="358"/>
    <x v="1"/>
    <x v="428"/>
    <x v="46"/>
  </r>
  <r>
    <x v="737"/>
    <x v="422"/>
    <x v="1873"/>
    <x v="1008"/>
    <x v="1008"/>
    <x v="1"/>
    <x v="20"/>
    <x v="20"/>
    <x v="63"/>
    <x v="491"/>
    <x v="206"/>
    <x v="1"/>
    <x v="671"/>
    <x v="640"/>
    <x v="629"/>
    <x v="0"/>
    <x v="350"/>
    <x v="345"/>
    <x v="1"/>
    <x v="452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27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7"/>
  </rowFields>
  <dataFields count="1">
    <dataField name="Average of tempo" fld="19" subtotal="average" numFmtId="166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1:U1943" headerRowCount="1" totalsRowCount="0" totalsRowShown="0">
  <autoFilter ref="A1:U1943"/>
  <tableColumns count="21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year"/>
    <tableColumn id="9" name="popularity"/>
    <tableColumn id="10" name="danceability"/>
    <tableColumn id="11" name="energy"/>
    <tableColumn id="12" name="energy_category"/>
    <tableColumn id="13" name="loudness"/>
    <tableColumn id="14" name="speechiness"/>
    <tableColumn id="15" name="acousticness"/>
    <tableColumn id="16" name="instrumentalness"/>
    <tableColumn id="17" name="liveness"/>
    <tableColumn id="18" name="valence"/>
    <tableColumn id="19" name="song_mood"/>
    <tableColumn id="20" name="tempo"/>
    <tableColumn id="21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11.44"/>
    <col collapsed="false" customWidth="true" hidden="false" outlineLevel="0" max="8" min="8" style="0" width="9.11"/>
    <col collapsed="false" customWidth="true" hidden="false" outlineLevel="0" max="9" min="9" style="2" width="11.55"/>
    <col collapsed="false" customWidth="true" hidden="false" outlineLevel="0" max="10" min="10" style="0" width="16"/>
    <col collapsed="false" customWidth="true" hidden="false" outlineLevel="0" max="11" min="11" style="0" width="8.66"/>
    <col collapsed="false" customWidth="true" hidden="false" outlineLevel="0" max="12" min="12" style="0" width="19.89"/>
    <col collapsed="false" customWidth="true" hidden="false" outlineLevel="0" max="13" min="13" style="0" width="10.33"/>
    <col collapsed="false" customWidth="true" hidden="false" outlineLevel="0" max="14" min="14" style="3" width="12.89"/>
    <col collapsed="false" customWidth="true" hidden="false" outlineLevel="0" max="15" min="15" style="3" width="13.44"/>
    <col collapsed="false" customWidth="true" hidden="false" outlineLevel="0" max="16" min="16" style="4" width="17.22"/>
    <col collapsed="false" customWidth="true" hidden="false" outlineLevel="0" max="17" min="17" style="3" width="9.44"/>
    <col collapsed="false" customWidth="true" hidden="false" outlineLevel="0" max="18" min="18" style="3" width="9.33"/>
    <col collapsed="false" customWidth="true" hidden="false" outlineLevel="0" max="19" min="19" style="3" width="15.44"/>
    <col collapsed="false" customWidth="true" hidden="false" outlineLevel="0" max="20" min="20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5" t="s">
        <v>20</v>
      </c>
    </row>
    <row r="2" customFormat="false" ht="14.25" hidden="false" customHeight="false" outlineLevel="0" collapsed="false">
      <c r="A2" s="0" t="n">
        <v>619</v>
      </c>
      <c r="B2" s="0" t="str">
        <f aca="false">_xlfn.xlookup(A2, artists!A$2:A$836, artists!B$2:B$836)</f>
        <v>The Chainsmokers</v>
      </c>
      <c r="C2" s="1" t="s">
        <v>21</v>
      </c>
      <c r="D2" s="2" t="n">
        <v>183750</v>
      </c>
      <c r="E2" s="2" t="n">
        <f aca="false">D2/1000</f>
        <v>183.75</v>
      </c>
      <c r="F2" s="10" t="b">
        <f aca="false">FALSE()</f>
        <v>0</v>
      </c>
      <c r="G2" s="0" t="n">
        <v>17</v>
      </c>
      <c r="H2" s="0" t="n">
        <f aca="false">_xlfn.xlookup(G2, years!A$2:A$836, years!B$2:B$836)</f>
        <v>2014</v>
      </c>
      <c r="I2" s="2" t="n">
        <v>0</v>
      </c>
      <c r="J2" s="0" t="n">
        <v>0.789</v>
      </c>
      <c r="K2" s="0" t="n">
        <v>0.915</v>
      </c>
      <c r="L2" s="3" t="str">
        <f aca="false">IF(K2&gt;0.66,"High",IF(K2&gt;0.33&amp;K2&lt;=0.66,"Medium","Low"))</f>
        <v>High</v>
      </c>
      <c r="M2" s="0" t="n">
        <v>-3.263</v>
      </c>
      <c r="N2" s="3" t="n">
        <v>0.248</v>
      </c>
      <c r="O2" s="3" t="n">
        <v>0.0135</v>
      </c>
      <c r="P2" s="4" t="n">
        <v>8.77E-006</v>
      </c>
      <c r="Q2" s="3" t="n">
        <v>0.0818</v>
      </c>
      <c r="R2" s="3" t="n">
        <v>0.66</v>
      </c>
      <c r="S2" s="3" t="str">
        <f aca="false">IF(R2 &gt;= 0.5, "Positive", "Negative")</f>
        <v>Positive</v>
      </c>
      <c r="T2" s="2" t="n">
        <v>127.955</v>
      </c>
      <c r="U2" s="0" t="s">
        <v>22</v>
      </c>
    </row>
    <row r="3" customFormat="false" ht="14.25" hidden="false" customHeight="false" outlineLevel="0" collapsed="false">
      <c r="A3" s="0" t="n">
        <v>404</v>
      </c>
      <c r="B3" s="0" t="str">
        <f aca="false">_xlfn.xlookup(A3, artists!A$2:A$836, artists!B$2:B$836)</f>
        <v>will.i.am</v>
      </c>
      <c r="C3" s="1" t="s">
        <v>23</v>
      </c>
      <c r="D3" s="2" t="n">
        <v>279506</v>
      </c>
      <c r="E3" s="2" t="n">
        <f aca="false">D3/1000</f>
        <v>279.506</v>
      </c>
      <c r="F3" s="10" t="b">
        <f aca="false">FALSE()</f>
        <v>0</v>
      </c>
      <c r="G3" s="0" t="n">
        <v>16</v>
      </c>
      <c r="H3" s="0" t="n">
        <f aca="false">_xlfn.xlookup(G3, years!A$2:A$836, years!B$2:B$836)</f>
        <v>2013</v>
      </c>
      <c r="I3" s="2" t="n">
        <v>68</v>
      </c>
      <c r="J3" s="0" t="n">
        <v>0.797</v>
      </c>
      <c r="K3" s="0" t="n">
        <v>0.608</v>
      </c>
      <c r="L3" s="3" t="str">
        <f aca="false">IF(K3&gt;0.66,"High",IF(K3&gt;0.33&amp;K3&lt;=0.66,"Medium","Low"))</f>
        <v>Low</v>
      </c>
      <c r="M3" s="0" t="n">
        <v>-6.096</v>
      </c>
      <c r="N3" s="3" t="n">
        <v>0.0584</v>
      </c>
      <c r="O3" s="3" t="n">
        <v>0.00112</v>
      </c>
      <c r="P3" s="4" t="n">
        <v>7.66E-005</v>
      </c>
      <c r="Q3" s="3" t="n">
        <v>0.0748</v>
      </c>
      <c r="R3" s="3" t="n">
        <v>0.402</v>
      </c>
      <c r="S3" s="3" t="str">
        <f aca="false">IF(R3 &gt;= 0.5, "Positive", "Negative")</f>
        <v>Negative</v>
      </c>
      <c r="T3" s="2" t="n">
        <v>127.999</v>
      </c>
      <c r="U3" s="0" t="s">
        <v>24</v>
      </c>
    </row>
    <row r="4" customFormat="false" ht="14.25" hidden="false" customHeight="false" outlineLevel="0" collapsed="false">
      <c r="A4" s="0" t="n">
        <v>169</v>
      </c>
      <c r="B4" s="0" t="str">
        <f aca="false">_xlfn.xlookup(A4, artists!A$2:A$836, artists!B$2:B$836)</f>
        <v>Sean Paul</v>
      </c>
      <c r="C4" s="1" t="s">
        <v>25</v>
      </c>
      <c r="D4" s="2" t="n">
        <v>243880</v>
      </c>
      <c r="E4" s="2" t="n">
        <f aca="false">D4/1000</f>
        <v>243.88</v>
      </c>
      <c r="F4" s="10" t="b">
        <f aca="false">FALSE()</f>
        <v>0</v>
      </c>
      <c r="G4" s="0" t="n">
        <v>9</v>
      </c>
      <c r="H4" s="0" t="n">
        <f aca="false">_xlfn.xlookup(G4, years!A$2:A$836, years!B$2:B$836)</f>
        <v>2006</v>
      </c>
      <c r="I4" s="2" t="n">
        <v>58</v>
      </c>
      <c r="J4" s="0" t="n">
        <v>0.711</v>
      </c>
      <c r="K4" s="0" t="n">
        <v>0.761</v>
      </c>
      <c r="L4" s="3" t="str">
        <f aca="false">IF(K4&gt;0.66,"High",IF(K4&gt;0.33&amp;K4&lt;=0.66,"Medium","Low"))</f>
        <v>High</v>
      </c>
      <c r="M4" s="0" t="n">
        <v>-3.04</v>
      </c>
      <c r="N4" s="3" t="n">
        <v>0.225</v>
      </c>
      <c r="O4" s="3" t="n">
        <v>0.067</v>
      </c>
      <c r="P4" s="4" t="n">
        <v>0</v>
      </c>
      <c r="Q4" s="3" t="n">
        <v>0.041</v>
      </c>
      <c r="R4" s="3" t="n">
        <v>0.718</v>
      </c>
      <c r="S4" s="3" t="str">
        <f aca="false">IF(R4 &gt;= 0.5, "Positive", "Negative")</f>
        <v>Positive</v>
      </c>
      <c r="T4" s="2" t="n">
        <v>95.824</v>
      </c>
      <c r="U4" s="0" t="s">
        <v>24</v>
      </c>
    </row>
    <row r="5" customFormat="false" ht="14.25" hidden="false" customHeight="false" outlineLevel="0" collapsed="false">
      <c r="A5" s="0" t="n">
        <v>669</v>
      </c>
      <c r="B5" s="0" t="str">
        <f aca="false">_xlfn.xlookup(A5, artists!A$2:A$836, artists!B$2:B$836)</f>
        <v>Tame Impala</v>
      </c>
      <c r="C5" s="1" t="s">
        <v>26</v>
      </c>
      <c r="D5" s="2" t="n">
        <v>216320</v>
      </c>
      <c r="E5" s="2" t="n">
        <f aca="false">D5/1000</f>
        <v>216.32</v>
      </c>
      <c r="F5" s="10" t="b">
        <f aca="false">TRUE()</f>
        <v>1</v>
      </c>
      <c r="G5" s="0" t="n">
        <v>18</v>
      </c>
      <c r="H5" s="0" t="n">
        <f aca="false">_xlfn.xlookup(G5, years!A$2:A$836, years!B$2:B$836)</f>
        <v>2015</v>
      </c>
      <c r="I5" s="2" t="n">
        <v>83</v>
      </c>
      <c r="J5" s="0" t="n">
        <v>0.64</v>
      </c>
      <c r="K5" s="0" t="n">
        <v>0.74</v>
      </c>
      <c r="L5" s="3" t="str">
        <f aca="false">IF(K5&gt;0.66,"High",IF(K5&gt;0.33&amp;K5&lt;=0.66,"Medium","Low"))</f>
        <v>High</v>
      </c>
      <c r="M5" s="0" t="n">
        <v>-4.083</v>
      </c>
      <c r="N5" s="3" t="n">
        <v>0.0284</v>
      </c>
      <c r="O5" s="3" t="n">
        <v>0.0115</v>
      </c>
      <c r="P5" s="4" t="n">
        <v>0.00678</v>
      </c>
      <c r="Q5" s="3" t="n">
        <v>0.167</v>
      </c>
      <c r="R5" s="3" t="n">
        <v>0.785</v>
      </c>
      <c r="S5" s="3" t="str">
        <f aca="false">IF(R5 &gt;= 0.5, "Positive", "Negative")</f>
        <v>Positive</v>
      </c>
      <c r="T5" s="2" t="n">
        <v>116.879</v>
      </c>
      <c r="U5" s="0" t="s">
        <v>27</v>
      </c>
    </row>
    <row r="6" customFormat="false" ht="14.25" hidden="false" customHeight="false" outlineLevel="0" collapsed="false">
      <c r="A6" s="0" t="n">
        <v>35</v>
      </c>
      <c r="B6" s="0" t="str">
        <f aca="false">_xlfn.xlookup(A6, artists!A$2:A$836, artists!B$2:B$836)</f>
        <v>JAY-Z</v>
      </c>
      <c r="C6" s="1" t="s">
        <v>28</v>
      </c>
      <c r="D6" s="2" t="n">
        <v>205560</v>
      </c>
      <c r="E6" s="2" t="n">
        <f aca="false">D6/1000</f>
        <v>205.56</v>
      </c>
      <c r="F6" s="10" t="b">
        <f aca="false">TRUE()</f>
        <v>1</v>
      </c>
      <c r="G6" s="0" t="n">
        <v>5</v>
      </c>
      <c r="H6" s="0" t="n">
        <f aca="false">_xlfn.xlookup(G6, years!A$2:A$836, years!B$2:B$836)</f>
        <v>2002</v>
      </c>
      <c r="I6" s="2" t="n">
        <v>71</v>
      </c>
      <c r="J6" s="0" t="n">
        <v>0.759</v>
      </c>
      <c r="K6" s="0" t="n">
        <v>0.678</v>
      </c>
      <c r="L6" s="3" t="str">
        <f aca="false">IF(K6&gt;0.66,"High",IF(K6&gt;0.33&amp;K6&lt;=0.66,"Medium","Low"))</f>
        <v>High</v>
      </c>
      <c r="M6" s="0" t="n">
        <v>-5.148</v>
      </c>
      <c r="N6" s="3" t="n">
        <v>0.314</v>
      </c>
      <c r="O6" s="3" t="n">
        <v>0.23</v>
      </c>
      <c r="P6" s="4" t="n">
        <v>0</v>
      </c>
      <c r="Q6" s="3" t="n">
        <v>0.15</v>
      </c>
      <c r="R6" s="3" t="n">
        <v>0.327</v>
      </c>
      <c r="S6" s="3" t="str">
        <f aca="false">IF(R6 &gt;= 0.5, "Positive", "Negative")</f>
        <v>Negative</v>
      </c>
      <c r="T6" s="2" t="n">
        <v>89.64</v>
      </c>
      <c r="U6" s="0" t="s">
        <v>29</v>
      </c>
    </row>
    <row r="7" customFormat="false" ht="14.25" hidden="false" customHeight="false" outlineLevel="0" collapsed="false">
      <c r="A7" s="0" t="n">
        <v>301</v>
      </c>
      <c r="B7" s="0" t="str">
        <f aca="false">_xlfn.xlookup(A7, artists!A$2:A$836, artists!B$2:B$836)</f>
        <v>Amerie</v>
      </c>
      <c r="C7" s="1" t="s">
        <v>30</v>
      </c>
      <c r="D7" s="2" t="n">
        <v>238746</v>
      </c>
      <c r="E7" s="2" t="n">
        <f aca="false">D7/1000</f>
        <v>238.746</v>
      </c>
      <c r="F7" s="10" t="b">
        <f aca="false">FALSE()</f>
        <v>0</v>
      </c>
      <c r="G7" s="0" t="n">
        <v>11</v>
      </c>
      <c r="H7" s="0" t="n">
        <f aca="false">_xlfn.xlookup(G7, years!A$2:A$836, years!B$2:B$836)</f>
        <v>2008</v>
      </c>
      <c r="I7" s="2" t="n">
        <v>52</v>
      </c>
      <c r="J7" s="0" t="n">
        <v>0.636</v>
      </c>
      <c r="K7" s="0" t="n">
        <v>0.946</v>
      </c>
      <c r="L7" s="3" t="str">
        <f aca="false">IF(K7&gt;0.66,"High",IF(K7&gt;0.33&amp;K7&lt;=0.66,"Medium","Low"))</f>
        <v>High</v>
      </c>
      <c r="M7" s="0" t="n">
        <v>-4.683</v>
      </c>
      <c r="N7" s="3" t="n">
        <v>0.332</v>
      </c>
      <c r="O7" s="3" t="n">
        <v>0.115</v>
      </c>
      <c r="P7" s="4" t="n">
        <v>3.75E-005</v>
      </c>
      <c r="Q7" s="3" t="n">
        <v>0.0416</v>
      </c>
      <c r="R7" s="3" t="n">
        <v>0.891</v>
      </c>
      <c r="S7" s="3" t="str">
        <f aca="false">IF(R7 &gt;= 0.5, "Positive", "Negative")</f>
        <v>Positive</v>
      </c>
      <c r="T7" s="2" t="n">
        <v>125.085</v>
      </c>
      <c r="U7" s="0" t="s">
        <v>31</v>
      </c>
    </row>
    <row r="8" customFormat="false" ht="14.25" hidden="false" customHeight="false" outlineLevel="0" collapsed="false">
      <c r="A8" s="0" t="n">
        <v>249</v>
      </c>
      <c r="B8" s="0" t="str">
        <f aca="false">_xlfn.xlookup(A8, artists!A$2:A$836, artists!B$2:B$836)</f>
        <v>Ciara</v>
      </c>
      <c r="C8" s="1" t="s">
        <v>32</v>
      </c>
      <c r="D8" s="2" t="n">
        <v>202213</v>
      </c>
      <c r="E8" s="2" t="n">
        <f aca="false">D8/1000</f>
        <v>202.213</v>
      </c>
      <c r="F8" s="10" t="b">
        <f aca="false">FALSE()</f>
        <v>0</v>
      </c>
      <c r="G8" s="0" t="n">
        <v>8</v>
      </c>
      <c r="H8" s="0" t="n">
        <f aca="false">_xlfn.xlookup(G8, years!A$2:A$836, years!B$2:B$836)</f>
        <v>2005</v>
      </c>
      <c r="I8" s="2" t="n">
        <v>52</v>
      </c>
      <c r="J8" s="0" t="n">
        <v>0.939</v>
      </c>
      <c r="K8" s="0" t="n">
        <v>0.498</v>
      </c>
      <c r="L8" s="3" t="str">
        <f aca="false">IF(K8&gt;0.66,"High",IF(K8&gt;0.33&amp;K8&lt;=0.66,"Medium","Low"))</f>
        <v>Low</v>
      </c>
      <c r="M8" s="0" t="n">
        <v>-10.94</v>
      </c>
      <c r="N8" s="3" t="n">
        <v>0.161</v>
      </c>
      <c r="O8" s="3" t="n">
        <v>0.0444</v>
      </c>
      <c r="P8" s="4" t="n">
        <v>0.00128</v>
      </c>
      <c r="Q8" s="3" t="n">
        <v>0.0475</v>
      </c>
      <c r="R8" s="3" t="n">
        <v>0.801</v>
      </c>
      <c r="S8" s="3" t="str">
        <f aca="false">IF(R8 &gt;= 0.5, "Positive", "Negative")</f>
        <v>Positive</v>
      </c>
      <c r="T8" s="2" t="n">
        <v>113.053</v>
      </c>
      <c r="U8" s="0" t="s">
        <v>33</v>
      </c>
    </row>
    <row r="9" customFormat="false" ht="14.25" hidden="false" customHeight="false" outlineLevel="0" collapsed="false">
      <c r="A9" s="0" t="n">
        <v>180</v>
      </c>
      <c r="B9" s="0" t="str">
        <f aca="false">_xlfn.xlookup(A9, artists!A$2:A$836, artists!B$2:B$836)</f>
        <v>Coldplay</v>
      </c>
      <c r="C9" s="1" t="s">
        <v>34</v>
      </c>
      <c r="D9" s="2" t="n">
        <v>258266</v>
      </c>
      <c r="E9" s="2" t="n">
        <f aca="false">D9/1000</f>
        <v>258.266</v>
      </c>
      <c r="F9" s="10" t="b">
        <f aca="false">FALSE()</f>
        <v>0</v>
      </c>
      <c r="G9" s="0" t="n">
        <v>18</v>
      </c>
      <c r="H9" s="0" t="n">
        <f aca="false">_xlfn.xlookup(G9, years!A$2:A$836, years!B$2:B$836)</f>
        <v>2015</v>
      </c>
      <c r="I9" s="2" t="n">
        <v>82</v>
      </c>
      <c r="J9" s="0" t="n">
        <v>0.491</v>
      </c>
      <c r="K9" s="0" t="n">
        <v>0.693</v>
      </c>
      <c r="L9" s="3" t="str">
        <f aca="false">IF(K9&gt;0.66,"High",IF(K9&gt;0.33&amp;K9&lt;=0.66,"Medium","Low"))</f>
        <v>High</v>
      </c>
      <c r="M9" s="0" t="n">
        <v>-6.487</v>
      </c>
      <c r="N9" s="3" t="n">
        <v>0.0377</v>
      </c>
      <c r="O9" s="3" t="n">
        <v>0.211</v>
      </c>
      <c r="P9" s="4" t="n">
        <v>6.92E-006</v>
      </c>
      <c r="Q9" s="3" t="n">
        <v>0.325</v>
      </c>
      <c r="R9" s="3" t="n">
        <v>0.412</v>
      </c>
      <c r="S9" s="3" t="str">
        <f aca="false">IF(R9 &gt;= 0.5, "Positive", "Negative")</f>
        <v>Negative</v>
      </c>
      <c r="T9" s="2" t="n">
        <v>90.027</v>
      </c>
      <c r="U9" s="0" t="s">
        <v>35</v>
      </c>
    </row>
    <row r="10" customFormat="false" ht="14.25" hidden="false" customHeight="false" outlineLevel="0" collapsed="false">
      <c r="A10" s="0" t="n">
        <v>781</v>
      </c>
      <c r="B10" s="0" t="str">
        <f aca="false">_xlfn.xlookup(A10, artists!A$2:A$836, artists!B$2:B$836)</f>
        <v>MK</v>
      </c>
      <c r="C10" s="1" t="s">
        <v>36</v>
      </c>
      <c r="D10" s="2" t="n">
        <v>196489</v>
      </c>
      <c r="E10" s="2" t="n">
        <f aca="false">D10/1000</f>
        <v>196.489</v>
      </c>
      <c r="F10" s="10" t="b">
        <f aca="false">FALSE()</f>
        <v>0</v>
      </c>
      <c r="G10" s="0" t="n">
        <v>20</v>
      </c>
      <c r="H10" s="0" t="n">
        <f aca="false">_xlfn.xlookup(G10, years!A$2:A$836, years!B$2:B$836)</f>
        <v>2017</v>
      </c>
      <c r="I10" s="2" t="n">
        <v>65</v>
      </c>
      <c r="J10" s="0" t="n">
        <v>0.703</v>
      </c>
      <c r="K10" s="0" t="n">
        <v>0.832</v>
      </c>
      <c r="L10" s="3" t="str">
        <f aca="false">IF(K10&gt;0.66,"High",IF(K10&gt;0.33&amp;K10&lt;=0.66,"Medium","Low"))</f>
        <v>High</v>
      </c>
      <c r="M10" s="0" t="n">
        <v>-7.202</v>
      </c>
      <c r="N10" s="3" t="n">
        <v>0.0689</v>
      </c>
      <c r="O10" s="3" t="n">
        <v>0.00149</v>
      </c>
      <c r="P10" s="4" t="n">
        <v>0.127</v>
      </c>
      <c r="Q10" s="3" t="n">
        <v>0.0696</v>
      </c>
      <c r="R10" s="3" t="n">
        <v>0.667</v>
      </c>
      <c r="S10" s="3" t="str">
        <f aca="false">IF(R10 &gt;= 0.5, "Positive", "Negative")</f>
        <v>Positive</v>
      </c>
      <c r="T10" s="2" t="n">
        <v>122.029</v>
      </c>
      <c r="U10" s="0" t="s">
        <v>22</v>
      </c>
    </row>
    <row r="11" customFormat="false" ht="14.25" hidden="false" customHeight="false" outlineLevel="0" collapsed="false">
      <c r="A11" s="0" t="n">
        <v>714</v>
      </c>
      <c r="B11" s="0" t="str">
        <f aca="false">_xlfn.xlookup(A11, artists!A$2:A$836, artists!B$2:B$836)</f>
        <v>Hilltop Hoods</v>
      </c>
      <c r="C11" s="1" t="s">
        <v>37</v>
      </c>
      <c r="D11" s="2" t="n">
        <v>239280</v>
      </c>
      <c r="E11" s="2" t="n">
        <f aca="false">D11/1000</f>
        <v>239.28</v>
      </c>
      <c r="F11" s="10" t="b">
        <f aca="false">FALSE()</f>
        <v>0</v>
      </c>
      <c r="G11" s="0" t="n">
        <v>19</v>
      </c>
      <c r="H11" s="0" t="n">
        <f aca="false">_xlfn.xlookup(G11, years!A$2:A$836, years!B$2:B$836)</f>
        <v>2016</v>
      </c>
      <c r="I11" s="2" t="n">
        <v>63</v>
      </c>
      <c r="J11" s="0" t="n">
        <v>0.766</v>
      </c>
      <c r="K11" s="0" t="n">
        <v>0.5</v>
      </c>
      <c r="L11" s="3" t="str">
        <f aca="false">IF(K11&gt;0.66,"High",IF(K11&gt;0.33&amp;K11&lt;=0.66,"Medium","Low"))</f>
        <v>Low</v>
      </c>
      <c r="M11" s="0" t="n">
        <v>-7.558</v>
      </c>
      <c r="N11" s="3" t="n">
        <v>0.0695</v>
      </c>
      <c r="O11" s="3" t="n">
        <v>0.719</v>
      </c>
      <c r="P11" s="4" t="n">
        <v>5.91E-006</v>
      </c>
      <c r="Q11" s="3" t="n">
        <v>0.304</v>
      </c>
      <c r="R11" s="3" t="n">
        <v>0.71</v>
      </c>
      <c r="S11" s="3" t="str">
        <f aca="false">IF(R11 &gt;= 0.5, "Positive", "Negative")</f>
        <v>Positive</v>
      </c>
      <c r="T11" s="2" t="n">
        <v>84.044</v>
      </c>
      <c r="U11" s="0" t="s">
        <v>24</v>
      </c>
    </row>
    <row r="12" customFormat="false" ht="14.25" hidden="false" customHeight="false" outlineLevel="0" collapsed="false">
      <c r="A12" s="0" t="n">
        <v>284</v>
      </c>
      <c r="B12" s="0" t="str">
        <f aca="false">_xlfn.xlookup(A12, artists!A$2:A$836, artists!B$2:B$836)</f>
        <v>James Blunt</v>
      </c>
      <c r="C12" s="1" t="s">
        <v>38</v>
      </c>
      <c r="D12" s="2" t="n">
        <v>280026</v>
      </c>
      <c r="E12" s="2" t="n">
        <f aca="false">D12/1000</f>
        <v>280.026</v>
      </c>
      <c r="F12" s="10" t="b">
        <f aca="false">FALSE()</f>
        <v>0</v>
      </c>
      <c r="G12" s="0" t="n">
        <v>10</v>
      </c>
      <c r="H12" s="0" t="n">
        <f aca="false">_xlfn.xlookup(G12, years!A$2:A$836, years!B$2:B$836)</f>
        <v>2007</v>
      </c>
      <c r="I12" s="2" t="n">
        <v>68</v>
      </c>
      <c r="J12" s="0" t="n">
        <v>0.72</v>
      </c>
      <c r="K12" s="0" t="n">
        <v>0.668</v>
      </c>
      <c r="L12" s="3" t="str">
        <f aca="false">IF(K12&gt;0.66,"High",IF(K12&gt;0.33&amp;K12&lt;=0.66,"Medium","Low"))</f>
        <v>High</v>
      </c>
      <c r="M12" s="0" t="n">
        <v>-7.928</v>
      </c>
      <c r="N12" s="3" t="n">
        <v>0.0269</v>
      </c>
      <c r="O12" s="3" t="n">
        <v>0.0652</v>
      </c>
      <c r="P12" s="4" t="n">
        <v>0.00664</v>
      </c>
      <c r="Q12" s="3" t="n">
        <v>0.0789</v>
      </c>
      <c r="R12" s="3" t="n">
        <v>0.768</v>
      </c>
      <c r="S12" s="3" t="str">
        <f aca="false">IF(R12 &gt;= 0.5, "Positive", "Negative")</f>
        <v>Positive</v>
      </c>
      <c r="T12" s="2" t="n">
        <v>123.007</v>
      </c>
      <c r="U12" s="0" t="s">
        <v>39</v>
      </c>
    </row>
    <row r="13" customFormat="false" ht="14.25" hidden="false" customHeight="false" outlineLevel="0" collapsed="false">
      <c r="A13" s="0" t="n">
        <v>611</v>
      </c>
      <c r="B13" s="0" t="str">
        <f aca="false">_xlfn.xlookup(A13, artists!A$2:A$836, artists!B$2:B$836)</f>
        <v>Tinashe</v>
      </c>
      <c r="C13" s="1" t="s">
        <v>40</v>
      </c>
      <c r="D13" s="2" t="n">
        <v>227000</v>
      </c>
      <c r="E13" s="2" t="n">
        <f aca="false">D13/1000</f>
        <v>227</v>
      </c>
      <c r="F13" s="10" t="b">
        <f aca="false">TRUE()</f>
        <v>1</v>
      </c>
      <c r="G13" s="0" t="n">
        <v>17</v>
      </c>
      <c r="H13" s="0" t="n">
        <f aca="false">_xlfn.xlookup(G13, years!A$2:A$836, years!B$2:B$836)</f>
        <v>2014</v>
      </c>
      <c r="I13" s="2" t="n">
        <v>71</v>
      </c>
      <c r="J13" s="0" t="n">
        <v>0.742</v>
      </c>
      <c r="K13" s="0" t="n">
        <v>0.595</v>
      </c>
      <c r="L13" s="3" t="str">
        <f aca="false">IF(K13&gt;0.66,"High",IF(K13&gt;0.33&amp;K13&lt;=0.66,"Medium","Low"))</f>
        <v>Low</v>
      </c>
      <c r="M13" s="0" t="n">
        <v>-7.51</v>
      </c>
      <c r="N13" s="3" t="n">
        <v>0.107</v>
      </c>
      <c r="O13" s="3" t="n">
        <v>0.15</v>
      </c>
      <c r="P13" s="4" t="n">
        <v>0</v>
      </c>
      <c r="Q13" s="3" t="n">
        <v>0.111</v>
      </c>
      <c r="R13" s="3" t="n">
        <v>0.431</v>
      </c>
      <c r="S13" s="3" t="str">
        <f aca="false">IF(R13 &gt;= 0.5, "Positive", "Negative")</f>
        <v>Negative</v>
      </c>
      <c r="T13" s="2" t="n">
        <v>101.013</v>
      </c>
      <c r="U13" s="0" t="s">
        <v>41</v>
      </c>
    </row>
    <row r="14" customFormat="false" ht="14.25" hidden="false" customHeight="false" outlineLevel="0" collapsed="false">
      <c r="A14" s="0" t="n">
        <v>336</v>
      </c>
      <c r="B14" s="0" t="str">
        <f aca="false">_xlfn.xlookup(A14, artists!A$2:A$836, artists!B$2:B$836)</f>
        <v>Fall Out Boy</v>
      </c>
      <c r="C14" s="1" t="s">
        <v>42</v>
      </c>
      <c r="D14" s="2" t="n">
        <v>228360</v>
      </c>
      <c r="E14" s="2" t="n">
        <f aca="false">D14/1000</f>
        <v>228.36</v>
      </c>
      <c r="F14" s="10" t="b">
        <f aca="false">FALSE()</f>
        <v>0</v>
      </c>
      <c r="G14" s="0" t="n">
        <v>18</v>
      </c>
      <c r="H14" s="0" t="n">
        <f aca="false">_xlfn.xlookup(G14, years!A$2:A$836, years!B$2:B$836)</f>
        <v>2015</v>
      </c>
      <c r="I14" s="2" t="n">
        <v>80</v>
      </c>
      <c r="J14" s="0" t="n">
        <v>0.393</v>
      </c>
      <c r="K14" s="0" t="n">
        <v>0.858</v>
      </c>
      <c r="L14" s="3" t="str">
        <f aca="false">IF(K14&gt;0.66,"High",IF(K14&gt;0.33&amp;K14&lt;=0.66,"Medium","Low"))</f>
        <v>High</v>
      </c>
      <c r="M14" s="0" t="n">
        <v>-2.868</v>
      </c>
      <c r="N14" s="3" t="n">
        <v>0.0729</v>
      </c>
      <c r="O14" s="3" t="n">
        <v>0.00359</v>
      </c>
      <c r="P14" s="4" t="n">
        <v>0</v>
      </c>
      <c r="Q14" s="3" t="n">
        <v>0.102</v>
      </c>
      <c r="R14" s="3" t="n">
        <v>0.56</v>
      </c>
      <c r="S14" s="3" t="str">
        <f aca="false">IF(R14 &gt;= 0.5, "Positive", "Negative")</f>
        <v>Positive</v>
      </c>
      <c r="T14" s="2" t="n">
        <v>176.042</v>
      </c>
      <c r="U14" s="0" t="s">
        <v>43</v>
      </c>
    </row>
    <row r="15" customFormat="false" ht="14.25" hidden="false" customHeight="false" outlineLevel="0" collapsed="false">
      <c r="A15" s="0" t="n">
        <v>698</v>
      </c>
      <c r="B15" s="0" t="str">
        <f aca="false">_xlfn.xlookup(A15, artists!A$2:A$836, artists!B$2:B$836)</f>
        <v>Anne-Marie</v>
      </c>
      <c r="C15" s="1" t="s">
        <v>44</v>
      </c>
      <c r="D15" s="2" t="n">
        <v>186986</v>
      </c>
      <c r="E15" s="2" t="n">
        <f aca="false">D15/1000</f>
        <v>186.986</v>
      </c>
      <c r="F15" s="10" t="b">
        <f aca="false">FALSE()</f>
        <v>0</v>
      </c>
      <c r="G15" s="0" t="n">
        <v>21</v>
      </c>
      <c r="H15" s="0" t="n">
        <f aca="false">_xlfn.xlookup(G15, years!A$2:A$836, years!B$2:B$836)</f>
        <v>2018</v>
      </c>
      <c r="I15" s="2" t="n">
        <v>80</v>
      </c>
      <c r="J15" s="0" t="n">
        <v>0.697</v>
      </c>
      <c r="K15" s="0" t="n">
        <v>0.683</v>
      </c>
      <c r="L15" s="3" t="str">
        <f aca="false">IF(K15&gt;0.66,"High",IF(K15&gt;0.33&amp;K15&lt;=0.66,"Medium","Low"))</f>
        <v>High</v>
      </c>
      <c r="M15" s="0" t="n">
        <v>-2.881</v>
      </c>
      <c r="N15" s="3" t="n">
        <v>0.117</v>
      </c>
      <c r="O15" s="3" t="n">
        <v>0.0372</v>
      </c>
      <c r="P15" s="4" t="n">
        <v>0</v>
      </c>
      <c r="Q15" s="3" t="n">
        <v>0.137</v>
      </c>
      <c r="R15" s="3" t="n">
        <v>0.603</v>
      </c>
      <c r="S15" s="3" t="str">
        <f aca="false">IF(R15 &gt;= 0.5, "Positive", "Negative")</f>
        <v>Positive</v>
      </c>
      <c r="T15" s="2" t="n">
        <v>96.133</v>
      </c>
      <c r="U15" s="0" t="s">
        <v>22</v>
      </c>
    </row>
    <row r="16" customFormat="false" ht="14.25" hidden="false" customHeight="false" outlineLevel="0" collapsed="false">
      <c r="A16" s="0" t="n">
        <v>271</v>
      </c>
      <c r="B16" s="0" t="str">
        <f aca="false">_xlfn.xlookup(A16, artists!A$2:A$836, artists!B$2:B$836)</f>
        <v>Green Day</v>
      </c>
      <c r="C16" s="1" t="s">
        <v>45</v>
      </c>
      <c r="D16" s="2" t="n">
        <v>321093</v>
      </c>
      <c r="E16" s="2" t="n">
        <f aca="false">D16/1000</f>
        <v>321.093</v>
      </c>
      <c r="F16" s="10" t="b">
        <f aca="false">FALSE()</f>
        <v>0</v>
      </c>
      <c r="G16" s="0" t="n">
        <v>12</v>
      </c>
      <c r="H16" s="0" t="n">
        <f aca="false">_xlfn.xlookup(G16, years!A$2:A$836, years!B$2:B$836)</f>
        <v>2009</v>
      </c>
      <c r="I16" s="2" t="n">
        <v>73</v>
      </c>
      <c r="J16" s="0" t="n">
        <v>0.268</v>
      </c>
      <c r="K16" s="0" t="n">
        <v>0.742</v>
      </c>
      <c r="L16" s="3" t="str">
        <f aca="false">IF(K16&gt;0.66,"High",IF(K16&gt;0.33&amp;K16&lt;=0.66,"Medium","Low"))</f>
        <v>High</v>
      </c>
      <c r="M16" s="0" t="n">
        <v>-4.939</v>
      </c>
      <c r="N16" s="3" t="n">
        <v>0.0355</v>
      </c>
      <c r="O16" s="3" t="n">
        <v>0.0518</v>
      </c>
      <c r="P16" s="4" t="n">
        <v>0</v>
      </c>
      <c r="Q16" s="3" t="n">
        <v>0.626</v>
      </c>
      <c r="R16" s="3" t="n">
        <v>0.416</v>
      </c>
      <c r="S16" s="3" t="str">
        <f aca="false">IF(R16 &gt;= 0.5, "Positive", "Negative")</f>
        <v>Negative</v>
      </c>
      <c r="T16" s="2" t="n">
        <v>159.779</v>
      </c>
      <c r="U16" s="0" t="s">
        <v>43</v>
      </c>
    </row>
    <row r="17" customFormat="false" ht="14.25" hidden="false" customHeight="false" outlineLevel="0" collapsed="false">
      <c r="A17" s="0" t="n">
        <v>191</v>
      </c>
      <c r="B17" s="0" t="str">
        <f aca="false">_xlfn.xlookup(A17, artists!A$2:A$836, artists!B$2:B$836)</f>
        <v>50 Cent</v>
      </c>
      <c r="C17" s="1" t="s">
        <v>46</v>
      </c>
      <c r="D17" s="2" t="n">
        <v>224440</v>
      </c>
      <c r="E17" s="2" t="n">
        <f aca="false">D17/1000</f>
        <v>224.44</v>
      </c>
      <c r="F17" s="10" t="b">
        <f aca="false">TRUE()</f>
        <v>1</v>
      </c>
      <c r="G17" s="0" t="n">
        <v>6</v>
      </c>
      <c r="H17" s="0" t="n">
        <f aca="false">_xlfn.xlookup(G17, years!A$2:A$836, years!B$2:B$836)</f>
        <v>2003</v>
      </c>
      <c r="I17" s="2" t="n">
        <v>72</v>
      </c>
      <c r="J17" s="0" t="n">
        <v>0.646</v>
      </c>
      <c r="K17" s="0" t="n">
        <v>0.813</v>
      </c>
      <c r="L17" s="3" t="str">
        <f aca="false">IF(K17&gt;0.66,"High",IF(K17&gt;0.33&amp;K17&lt;=0.66,"Medium","Low"))</f>
        <v>High</v>
      </c>
      <c r="M17" s="0" t="n">
        <v>-3.846</v>
      </c>
      <c r="N17" s="3" t="n">
        <v>0.299</v>
      </c>
      <c r="O17" s="3" t="n">
        <v>0.349</v>
      </c>
      <c r="P17" s="4" t="n">
        <v>9.37E-005</v>
      </c>
      <c r="Q17" s="3" t="n">
        <v>0.0427</v>
      </c>
      <c r="R17" s="3" t="n">
        <v>0.895</v>
      </c>
      <c r="S17" s="3" t="str">
        <f aca="false">IF(R17 &gt;= 0.5, "Positive", "Negative")</f>
        <v>Positive</v>
      </c>
      <c r="T17" s="2" t="n">
        <v>92.729</v>
      </c>
      <c r="U17" s="0" t="s">
        <v>24</v>
      </c>
    </row>
    <row r="18" customFormat="false" ht="14.25" hidden="false" customHeight="false" outlineLevel="0" collapsed="false">
      <c r="A18" s="0" t="n">
        <v>135</v>
      </c>
      <c r="B18" s="0" t="str">
        <f aca="false">_xlfn.xlookup(A18, artists!A$2:A$836, artists!B$2:B$836)</f>
        <v>So Solid Crew</v>
      </c>
      <c r="C18" s="1" t="s">
        <v>47</v>
      </c>
      <c r="D18" s="2" t="n">
        <v>302826</v>
      </c>
      <c r="E18" s="2" t="n">
        <f aca="false">D18/1000</f>
        <v>302.826</v>
      </c>
      <c r="F18" s="10" t="b">
        <f aca="false">TRUE()</f>
        <v>1</v>
      </c>
      <c r="G18" s="0" t="n">
        <v>4</v>
      </c>
      <c r="H18" s="0" t="n">
        <f aca="false">_xlfn.xlookup(G18, years!A$2:A$836, years!B$2:B$836)</f>
        <v>2001</v>
      </c>
      <c r="I18" s="2" t="n">
        <v>51</v>
      </c>
      <c r="J18" s="0" t="n">
        <v>0.607</v>
      </c>
      <c r="K18" s="0" t="n">
        <v>0.637</v>
      </c>
      <c r="L18" s="3" t="str">
        <f aca="false">IF(K18&gt;0.66,"High",IF(K18&gt;0.33&amp;K18&lt;=0.66,"Medium","Low"))</f>
        <v>Low</v>
      </c>
      <c r="M18" s="0" t="n">
        <v>-11.072</v>
      </c>
      <c r="N18" s="3" t="n">
        <v>0.241</v>
      </c>
      <c r="O18" s="3" t="n">
        <v>0.0191</v>
      </c>
      <c r="P18" s="4" t="n">
        <v>0</v>
      </c>
      <c r="Q18" s="3" t="n">
        <v>0.124</v>
      </c>
      <c r="R18" s="3" t="n">
        <v>0.818</v>
      </c>
      <c r="S18" s="3" t="str">
        <f aca="false">IF(R18 &gt;= 0.5, "Positive", "Negative")</f>
        <v>Positive</v>
      </c>
      <c r="T18" s="2" t="n">
        <v>137.03</v>
      </c>
      <c r="U18" s="0" t="s">
        <v>48</v>
      </c>
    </row>
    <row r="19" customFormat="false" ht="14.25" hidden="false" customHeight="false" outlineLevel="0" collapsed="false">
      <c r="A19" s="0" t="n">
        <v>545</v>
      </c>
      <c r="B19" s="0" t="str">
        <f aca="false">_xlfn.xlookup(A19, artists!A$2:A$836, artists!B$2:B$836)</f>
        <v>Azealia Banks</v>
      </c>
      <c r="C19" s="1" t="s">
        <v>49</v>
      </c>
      <c r="D19" s="2" t="n">
        <v>204956</v>
      </c>
      <c r="E19" s="2" t="n">
        <f aca="false">D19/1000</f>
        <v>204.956</v>
      </c>
      <c r="F19" s="10" t="b">
        <f aca="false">TRUE()</f>
        <v>1</v>
      </c>
      <c r="G19" s="0" t="n">
        <v>17</v>
      </c>
      <c r="H19" s="0" t="n">
        <f aca="false">_xlfn.xlookup(G19, years!A$2:A$836, years!B$2:B$836)</f>
        <v>2014</v>
      </c>
      <c r="I19" s="2" t="n">
        <v>0</v>
      </c>
      <c r="J19" s="0" t="n">
        <v>0.847</v>
      </c>
      <c r="K19" s="0" t="n">
        <v>0.769</v>
      </c>
      <c r="L19" s="3" t="str">
        <f aca="false">IF(K19&gt;0.66,"High",IF(K19&gt;0.33&amp;K19&lt;=0.66,"Medium","Low"))</f>
        <v>High</v>
      </c>
      <c r="M19" s="0" t="n">
        <v>-5.761</v>
      </c>
      <c r="N19" s="3" t="n">
        <v>0.258</v>
      </c>
      <c r="O19" s="3" t="n">
        <v>0.0145</v>
      </c>
      <c r="P19" s="4" t="n">
        <v>0.00012</v>
      </c>
      <c r="Q19" s="3" t="n">
        <v>0.0767</v>
      </c>
      <c r="R19" s="3" t="n">
        <v>0.626</v>
      </c>
      <c r="S19" s="3" t="str">
        <f aca="false">IF(R19 &gt;= 0.5, "Positive", "Negative")</f>
        <v>Positive</v>
      </c>
      <c r="T19" s="2" t="n">
        <v>126.017</v>
      </c>
      <c r="U19" s="0" t="s">
        <v>31</v>
      </c>
    </row>
    <row r="20" customFormat="false" ht="14.25" hidden="false" customHeight="false" outlineLevel="0" collapsed="false">
      <c r="A20" s="0" t="n">
        <v>439</v>
      </c>
      <c r="B20" s="0" t="str">
        <f aca="false">_xlfn.xlookup(A20, artists!A$2:A$836, artists!B$2:B$836)</f>
        <v>Taylor Swift</v>
      </c>
      <c r="C20" s="1" t="s">
        <v>50</v>
      </c>
      <c r="D20" s="2" t="n">
        <v>232120</v>
      </c>
      <c r="E20" s="2" t="n">
        <f aca="false">D20/1000</f>
        <v>232.12</v>
      </c>
      <c r="F20" s="10" t="b">
        <f aca="false">FALSE()</f>
        <v>0</v>
      </c>
      <c r="G20" s="0" t="n">
        <v>15</v>
      </c>
      <c r="H20" s="0" t="n">
        <f aca="false">_xlfn.xlookup(G20, years!A$2:A$836, years!B$2:B$836)</f>
        <v>2012</v>
      </c>
      <c r="I20" s="2" t="n">
        <v>68</v>
      </c>
      <c r="J20" s="0" t="n">
        <v>0.661</v>
      </c>
      <c r="K20" s="0" t="n">
        <v>0.729</v>
      </c>
      <c r="L20" s="3" t="str">
        <f aca="false">IF(K20&gt;0.66,"High",IF(K20&gt;0.33&amp;K20&lt;=0.66,"Medium","Low"))</f>
        <v>High</v>
      </c>
      <c r="M20" s="0" t="n">
        <v>-6.561</v>
      </c>
      <c r="N20" s="3" t="n">
        <v>0.0376</v>
      </c>
      <c r="O20" s="3" t="n">
        <v>0.00215</v>
      </c>
      <c r="P20" s="4" t="n">
        <v>0.0013</v>
      </c>
      <c r="Q20" s="3" t="n">
        <v>0.0477</v>
      </c>
      <c r="R20" s="3" t="n">
        <v>0.668</v>
      </c>
      <c r="S20" s="3" t="str">
        <f aca="false">IF(R20 &gt;= 0.5, "Positive", "Negative")</f>
        <v>Positive</v>
      </c>
      <c r="T20" s="2" t="n">
        <v>103.987</v>
      </c>
      <c r="U20" s="0" t="s">
        <v>39</v>
      </c>
    </row>
    <row r="21" customFormat="false" ht="14.25" hidden="false" customHeight="false" outlineLevel="0" collapsed="false">
      <c r="A21" s="0" t="n">
        <v>651</v>
      </c>
      <c r="B21" s="0" t="str">
        <f aca="false">_xlfn.xlookup(A21, artists!A$2:A$836, artists!B$2:B$836)</f>
        <v>Twenty One Pilots</v>
      </c>
      <c r="C21" s="1" t="s">
        <v>51</v>
      </c>
      <c r="D21" s="2" t="n">
        <v>214506</v>
      </c>
      <c r="E21" s="2" t="n">
        <f aca="false">D21/1000</f>
        <v>214.506</v>
      </c>
      <c r="F21" s="10" t="b">
        <f aca="false">FALSE()</f>
        <v>0</v>
      </c>
      <c r="G21" s="0" t="n">
        <v>18</v>
      </c>
      <c r="H21" s="0" t="n">
        <f aca="false">_xlfn.xlookup(G21, years!A$2:A$836, years!B$2:B$836)</f>
        <v>2015</v>
      </c>
      <c r="I21" s="2" t="n">
        <v>80</v>
      </c>
      <c r="J21" s="0" t="n">
        <v>0.645</v>
      </c>
      <c r="K21" s="0" t="n">
        <v>0.713</v>
      </c>
      <c r="L21" s="3" t="str">
        <f aca="false">IF(K21&gt;0.66,"High",IF(K21&gt;0.33&amp;K21&lt;=0.66,"Medium","Low"))</f>
        <v>High</v>
      </c>
      <c r="M21" s="0" t="n">
        <v>-5.355</v>
      </c>
      <c r="N21" s="3" t="n">
        <v>0.0393</v>
      </c>
      <c r="O21" s="3" t="n">
        <v>0.00835</v>
      </c>
      <c r="P21" s="4" t="n">
        <v>0</v>
      </c>
      <c r="Q21" s="3" t="n">
        <v>0.113</v>
      </c>
      <c r="R21" s="3" t="n">
        <v>0.566</v>
      </c>
      <c r="S21" s="3" t="str">
        <f aca="false">IF(R21 &gt;= 0.5, "Positive", "Negative")</f>
        <v>Positive</v>
      </c>
      <c r="T21" s="2" t="n">
        <v>74.989</v>
      </c>
      <c r="U21" s="0" t="s">
        <v>43</v>
      </c>
    </row>
    <row r="22" customFormat="false" ht="14.25" hidden="false" customHeight="false" outlineLevel="0" collapsed="false">
      <c r="A22" s="0" t="n">
        <v>438</v>
      </c>
      <c r="B22" s="0" t="str">
        <f aca="false">_xlfn.xlookup(A22, artists!A$2:A$836, artists!B$2:B$836)</f>
        <v>David Guetta</v>
      </c>
      <c r="C22" s="1" t="s">
        <v>52</v>
      </c>
      <c r="D22" s="2" t="n">
        <v>194896</v>
      </c>
      <c r="E22" s="2" t="n">
        <f aca="false">D22/1000</f>
        <v>194.896</v>
      </c>
      <c r="F22" s="10" t="b">
        <f aca="false">FALSE()</f>
        <v>0</v>
      </c>
      <c r="G22" s="0" t="n">
        <v>20</v>
      </c>
      <c r="H22" s="0" t="n">
        <f aca="false">_xlfn.xlookup(G22, years!A$2:A$836, years!B$2:B$836)</f>
        <v>2017</v>
      </c>
      <c r="I22" s="2" t="n">
        <v>67</v>
      </c>
      <c r="J22" s="0" t="n">
        <v>0.548</v>
      </c>
      <c r="K22" s="0" t="n">
        <v>0.65</v>
      </c>
      <c r="L22" s="3" t="str">
        <f aca="false">IF(K22&gt;0.66,"High",IF(K22&gt;0.33&amp;K22&lt;=0.66,"Medium","Low"))</f>
        <v>Low</v>
      </c>
      <c r="M22" s="0" t="n">
        <v>-5.827</v>
      </c>
      <c r="N22" s="3" t="n">
        <v>0.0591</v>
      </c>
      <c r="O22" s="3" t="n">
        <v>0.219</v>
      </c>
      <c r="P22" s="4" t="n">
        <v>0</v>
      </c>
      <c r="Q22" s="3" t="n">
        <v>0.225</v>
      </c>
      <c r="R22" s="3" t="n">
        <v>0.557</v>
      </c>
      <c r="S22" s="3" t="str">
        <f aca="false">IF(R22 &gt;= 0.5, "Positive", "Negative")</f>
        <v>Positive</v>
      </c>
      <c r="T22" s="2" t="n">
        <v>144.937</v>
      </c>
      <c r="U22" s="0" t="s">
        <v>53</v>
      </c>
    </row>
    <row r="23" customFormat="false" ht="14.25" hidden="false" customHeight="false" outlineLevel="0" collapsed="false">
      <c r="A23" s="0" t="n">
        <v>827</v>
      </c>
      <c r="B23" s="0" t="str">
        <f aca="false">_xlfn.xlookup(A23, artists!A$2:A$836, artists!B$2:B$836)</f>
        <v>Dominic Fike</v>
      </c>
      <c r="C23" s="1" t="s">
        <v>54</v>
      </c>
      <c r="D23" s="2" t="n">
        <v>177666</v>
      </c>
      <c r="E23" s="2" t="n">
        <f aca="false">D23/1000</f>
        <v>177.666</v>
      </c>
      <c r="F23" s="10" t="b">
        <f aca="false">FALSE()</f>
        <v>0</v>
      </c>
      <c r="G23" s="0" t="n">
        <v>21</v>
      </c>
      <c r="H23" s="0" t="n">
        <f aca="false">_xlfn.xlookup(G23, years!A$2:A$836, years!B$2:B$836)</f>
        <v>2018</v>
      </c>
      <c r="I23" s="2" t="n">
        <v>78</v>
      </c>
      <c r="J23" s="0" t="n">
        <v>0.815</v>
      </c>
      <c r="K23" s="0" t="n">
        <v>0.518</v>
      </c>
      <c r="L23" s="3" t="str">
        <f aca="false">IF(K23&gt;0.66,"High",IF(K23&gt;0.33&amp;K23&lt;=0.66,"Medium","Low"))</f>
        <v>Low</v>
      </c>
      <c r="M23" s="0" t="n">
        <v>-6.594</v>
      </c>
      <c r="N23" s="3" t="n">
        <v>0.0897</v>
      </c>
      <c r="O23" s="3" t="n">
        <v>0.223</v>
      </c>
      <c r="P23" s="4" t="n">
        <v>0</v>
      </c>
      <c r="Q23" s="3" t="n">
        <v>0.104</v>
      </c>
      <c r="R23" s="3" t="n">
        <v>0.877</v>
      </c>
      <c r="S23" s="3" t="str">
        <f aca="false">IF(R23 &gt;= 0.5, "Positive", "Negative")</f>
        <v>Positive</v>
      </c>
      <c r="T23" s="2" t="n">
        <v>151.891</v>
      </c>
      <c r="U23" s="0" t="s">
        <v>35</v>
      </c>
    </row>
    <row r="24" customFormat="false" ht="14.25" hidden="false" customHeight="false" outlineLevel="0" collapsed="false">
      <c r="A24" s="0" t="n">
        <v>598</v>
      </c>
      <c r="B24" s="0" t="str">
        <f aca="false">_xlfn.xlookup(A24, artists!A$2:A$836, artists!B$2:B$836)</f>
        <v>Childish Gambino</v>
      </c>
      <c r="C24" s="1" t="s">
        <v>55</v>
      </c>
      <c r="D24" s="2" t="n">
        <v>235662</v>
      </c>
      <c r="E24" s="2" t="n">
        <f aca="false">D24/1000</f>
        <v>235.662</v>
      </c>
      <c r="F24" s="10" t="b">
        <f aca="false">TRUE()</f>
        <v>1</v>
      </c>
      <c r="G24" s="0" t="n">
        <v>16</v>
      </c>
      <c r="H24" s="0" t="n">
        <f aca="false">_xlfn.xlookup(G24, years!A$2:A$836, years!B$2:B$836)</f>
        <v>2013</v>
      </c>
      <c r="I24" s="2" t="n">
        <v>0</v>
      </c>
      <c r="J24" s="0" t="n">
        <v>0.681</v>
      </c>
      <c r="K24" s="0" t="n">
        <v>0.463</v>
      </c>
      <c r="L24" s="3" t="str">
        <f aca="false">IF(K24&gt;0.66,"High",IF(K24&gt;0.33&amp;K24&lt;=0.66,"Medium","Low"))</f>
        <v>Low</v>
      </c>
      <c r="M24" s="0" t="n">
        <v>-6.542</v>
      </c>
      <c r="N24" s="3" t="n">
        <v>0.289</v>
      </c>
      <c r="O24" s="3" t="n">
        <v>0.128</v>
      </c>
      <c r="P24" s="4" t="n">
        <v>0</v>
      </c>
      <c r="Q24" s="3" t="n">
        <v>0.0769</v>
      </c>
      <c r="R24" s="3" t="n">
        <v>0.661</v>
      </c>
      <c r="S24" s="3" t="str">
        <f aca="false">IF(R24 &gt;= 0.5, "Positive", "Negative")</f>
        <v>Positive</v>
      </c>
      <c r="T24" s="2" t="n">
        <v>82.92</v>
      </c>
      <c r="U24" s="0" t="s">
        <v>29</v>
      </c>
    </row>
    <row r="25" customFormat="false" ht="14.25" hidden="false" customHeight="false" outlineLevel="0" collapsed="false">
      <c r="A25" s="0" t="n">
        <v>31</v>
      </c>
      <c r="B25" s="0" t="str">
        <f aca="false">_xlfn.xlookup(A25, artists!A$2:A$836, artists!B$2:B$836)</f>
        <v>Madonna</v>
      </c>
      <c r="C25" s="1" t="s">
        <v>56</v>
      </c>
      <c r="D25" s="2" t="n">
        <v>189693</v>
      </c>
      <c r="E25" s="2" t="n">
        <f aca="false">D25/1000</f>
        <v>189.693</v>
      </c>
      <c r="F25" s="10" t="b">
        <f aca="false">FALSE()</f>
        <v>0</v>
      </c>
      <c r="G25" s="0" t="n">
        <v>12</v>
      </c>
      <c r="H25" s="0" t="n">
        <f aca="false">_xlfn.xlookup(G25, years!A$2:A$836, years!B$2:B$836)</f>
        <v>2009</v>
      </c>
      <c r="I25" s="2" t="n">
        <v>71</v>
      </c>
      <c r="J25" s="0" t="n">
        <v>0.753</v>
      </c>
      <c r="K25" s="0" t="n">
        <v>0.931</v>
      </c>
      <c r="L25" s="3" t="str">
        <f aca="false">IF(K25&gt;0.66,"High",IF(K25&gt;0.33&amp;K25&lt;=0.66,"Medium","Low"))</f>
        <v>High</v>
      </c>
      <c r="M25" s="0" t="n">
        <v>-4.922</v>
      </c>
      <c r="N25" s="3" t="n">
        <v>0.0652</v>
      </c>
      <c r="O25" s="3" t="n">
        <v>0.00994</v>
      </c>
      <c r="P25" s="4" t="n">
        <v>0.00696</v>
      </c>
      <c r="Q25" s="3" t="n">
        <v>0.234</v>
      </c>
      <c r="R25" s="3" t="n">
        <v>0.767</v>
      </c>
      <c r="S25" s="3" t="str">
        <f aca="false">IF(R25 &gt;= 0.5, "Positive", "Negative")</f>
        <v>Positive</v>
      </c>
      <c r="T25" s="2" t="n">
        <v>113.029</v>
      </c>
      <c r="U25" s="0" t="s">
        <v>39</v>
      </c>
    </row>
    <row r="26" customFormat="false" ht="14.25" hidden="false" customHeight="false" outlineLevel="0" collapsed="false">
      <c r="A26" s="0" t="n">
        <v>41</v>
      </c>
      <c r="B26" s="0" t="str">
        <f aca="false">_xlfn.xlookup(A26, artists!A$2:A$836, artists!B$2:B$836)</f>
        <v>Missy Elliott</v>
      </c>
      <c r="C26" s="1" t="s">
        <v>57</v>
      </c>
      <c r="D26" s="2" t="n">
        <v>289373</v>
      </c>
      <c r="E26" s="2" t="n">
        <f aca="false">D26/1000</f>
        <v>289.373</v>
      </c>
      <c r="F26" s="10" t="b">
        <f aca="false">TRUE()</f>
        <v>1</v>
      </c>
      <c r="G26" s="0" t="n">
        <v>4</v>
      </c>
      <c r="H26" s="0" t="n">
        <f aca="false">_xlfn.xlookup(G26, years!A$2:A$836, years!B$2:B$836)</f>
        <v>2001</v>
      </c>
      <c r="I26" s="2" t="n">
        <v>49</v>
      </c>
      <c r="J26" s="0" t="n">
        <v>0.969</v>
      </c>
      <c r="K26" s="0" t="n">
        <v>0.701</v>
      </c>
      <c r="L26" s="3" t="str">
        <f aca="false">IF(K26&gt;0.66,"High",IF(K26&gt;0.33&amp;K26&lt;=0.66,"Medium","Low"))</f>
        <v>High</v>
      </c>
      <c r="M26" s="0" t="n">
        <v>-7.503</v>
      </c>
      <c r="N26" s="3" t="n">
        <v>0.156</v>
      </c>
      <c r="O26" s="3" t="n">
        <v>0.14</v>
      </c>
      <c r="P26" s="4" t="n">
        <v>0.00161</v>
      </c>
      <c r="Q26" s="3" t="n">
        <v>0.201</v>
      </c>
      <c r="R26" s="3" t="n">
        <v>0.905</v>
      </c>
      <c r="S26" s="3" t="str">
        <f aca="false">IF(R26 &gt;= 0.5, "Positive", "Negative")</f>
        <v>Positive</v>
      </c>
      <c r="T26" s="2" t="n">
        <v>121.392</v>
      </c>
      <c r="U26" s="0" t="s">
        <v>31</v>
      </c>
    </row>
    <row r="27" customFormat="false" ht="14.25" hidden="false" customHeight="false" outlineLevel="0" collapsed="false">
      <c r="A27" s="0" t="n">
        <v>402</v>
      </c>
      <c r="B27" s="0" t="str">
        <f aca="false">_xlfn.xlookup(A27, artists!A$2:A$836, artists!B$2:B$836)</f>
        <v>Lil Wayne</v>
      </c>
      <c r="C27" s="1" t="s">
        <v>58</v>
      </c>
      <c r="D27" s="2" t="n">
        <v>248586</v>
      </c>
      <c r="E27" s="2" t="n">
        <f aca="false">D27/1000</f>
        <v>248.586</v>
      </c>
      <c r="F27" s="10" t="b">
        <f aca="false">TRUE()</f>
        <v>1</v>
      </c>
      <c r="G27" s="0" t="n">
        <v>14</v>
      </c>
      <c r="H27" s="0" t="n">
        <f aca="false">_xlfn.xlookup(G27, years!A$2:A$836, years!B$2:B$836)</f>
        <v>2011</v>
      </c>
      <c r="I27" s="2" t="n">
        <v>1</v>
      </c>
      <c r="J27" s="0" t="n">
        <v>0.364</v>
      </c>
      <c r="K27" s="0" t="n">
        <v>0.752</v>
      </c>
      <c r="L27" s="3" t="str">
        <f aca="false">IF(K27&gt;0.66,"High",IF(K27&gt;0.33&amp;K27&lt;=0.66,"Medium","Low"))</f>
        <v>High</v>
      </c>
      <c r="M27" s="0" t="n">
        <v>-5.429</v>
      </c>
      <c r="N27" s="3" t="n">
        <v>0.304</v>
      </c>
      <c r="O27" s="3" t="n">
        <v>0.0007</v>
      </c>
      <c r="P27" s="4" t="n">
        <v>0</v>
      </c>
      <c r="Q27" s="3" t="n">
        <v>0.318</v>
      </c>
      <c r="R27" s="3" t="n">
        <v>0.606</v>
      </c>
      <c r="S27" s="3" t="str">
        <f aca="false">IF(R27 &gt;= 0.5, "Positive", "Negative")</f>
        <v>Positive</v>
      </c>
      <c r="T27" s="2" t="n">
        <v>79.119</v>
      </c>
      <c r="U27" s="0" t="s">
        <v>24</v>
      </c>
    </row>
    <row r="28" customFormat="false" ht="14.25" hidden="false" customHeight="false" outlineLevel="0" collapsed="false">
      <c r="A28" s="0" t="n">
        <v>664</v>
      </c>
      <c r="B28" s="0" t="str">
        <f aca="false">_xlfn.xlookup(A28, artists!A$2:A$836, artists!B$2:B$836)</f>
        <v>Fetty Wap</v>
      </c>
      <c r="C28" s="1" t="s">
        <v>59</v>
      </c>
      <c r="D28" s="2" t="n">
        <v>196693</v>
      </c>
      <c r="E28" s="2" t="n">
        <f aca="false">D28/1000</f>
        <v>196.693</v>
      </c>
      <c r="F28" s="10" t="b">
        <f aca="false">TRUE()</f>
        <v>1</v>
      </c>
      <c r="G28" s="0" t="n">
        <v>18</v>
      </c>
      <c r="H28" s="0" t="n">
        <f aca="false">_xlfn.xlookup(G28, years!A$2:A$836, years!B$2:B$836)</f>
        <v>2015</v>
      </c>
      <c r="I28" s="2" t="n">
        <v>74</v>
      </c>
      <c r="J28" s="0" t="n">
        <v>0.618</v>
      </c>
      <c r="K28" s="0" t="n">
        <v>0.717</v>
      </c>
      <c r="L28" s="3" t="str">
        <f aca="false">IF(K28&gt;0.66,"High",IF(K28&gt;0.33&amp;K28&lt;=0.66,"Medium","Low"))</f>
        <v>High</v>
      </c>
      <c r="M28" s="0" t="n">
        <v>-5.738</v>
      </c>
      <c r="N28" s="3" t="n">
        <v>0.318</v>
      </c>
      <c r="O28" s="3" t="n">
        <v>0.00256</v>
      </c>
      <c r="P28" s="4" t="n">
        <v>0</v>
      </c>
      <c r="Q28" s="3" t="n">
        <v>0.625</v>
      </c>
      <c r="R28" s="3" t="n">
        <v>0.603</v>
      </c>
      <c r="S28" s="3" t="str">
        <f aca="false">IF(R28 &gt;= 0.5, "Positive", "Negative")</f>
        <v>Positive</v>
      </c>
      <c r="T28" s="2" t="n">
        <v>190.05</v>
      </c>
      <c r="U28" s="0" t="s">
        <v>24</v>
      </c>
    </row>
    <row r="29" customFormat="false" ht="14.25" hidden="false" customHeight="false" outlineLevel="0" collapsed="false">
      <c r="A29" s="0" t="n">
        <v>56</v>
      </c>
      <c r="B29" s="0" t="str">
        <f aca="false">_xlfn.xlookup(A29, artists!A$2:A$836, artists!B$2:B$836)</f>
        <v>Craig David</v>
      </c>
      <c r="C29" s="1" t="s">
        <v>60</v>
      </c>
      <c r="D29" s="2" t="n">
        <v>235133</v>
      </c>
      <c r="E29" s="2" t="n">
        <f aca="false">D29/1000</f>
        <v>235.133</v>
      </c>
      <c r="F29" s="10" t="b">
        <f aca="false">FALSE()</f>
        <v>0</v>
      </c>
      <c r="G29" s="0" t="n">
        <v>3</v>
      </c>
      <c r="H29" s="0" t="n">
        <f aca="false">_xlfn.xlookup(G29, years!A$2:A$836, years!B$2:B$836)</f>
        <v>2000</v>
      </c>
      <c r="I29" s="2" t="n">
        <v>70</v>
      </c>
      <c r="J29" s="0" t="n">
        <v>0.659</v>
      </c>
      <c r="K29" s="0" t="n">
        <v>0.812</v>
      </c>
      <c r="L29" s="3" t="str">
        <f aca="false">IF(K29&gt;0.66,"High",IF(K29&gt;0.33&amp;K29&lt;=0.66,"Medium","Low"))</f>
        <v>High</v>
      </c>
      <c r="M29" s="0" t="n">
        <v>-7.499</v>
      </c>
      <c r="N29" s="3" t="n">
        <v>0.0487</v>
      </c>
      <c r="O29" s="3" t="n">
        <v>0.23</v>
      </c>
      <c r="P29" s="4" t="n">
        <v>0</v>
      </c>
      <c r="Q29" s="3" t="n">
        <v>0.0951</v>
      </c>
      <c r="R29" s="3" t="n">
        <v>0.888</v>
      </c>
      <c r="S29" s="3" t="str">
        <f aca="false">IF(R29 &gt;= 0.5, "Positive", "Negative")</f>
        <v>Positive</v>
      </c>
      <c r="T29" s="2" t="n">
        <v>83.014</v>
      </c>
      <c r="U29" s="0" t="s">
        <v>31</v>
      </c>
    </row>
    <row r="30" customFormat="false" ht="14.25" hidden="false" customHeight="false" outlineLevel="0" collapsed="false">
      <c r="A30" s="0" t="n">
        <v>600</v>
      </c>
      <c r="B30" s="0" t="str">
        <f aca="false">_xlfn.xlookup(A30, artists!A$2:A$836, artists!B$2:B$836)</f>
        <v>Ariana Grande</v>
      </c>
      <c r="C30" s="1" t="s">
        <v>61</v>
      </c>
      <c r="D30" s="2" t="n">
        <v>178626</v>
      </c>
      <c r="E30" s="2" t="n">
        <f aca="false">D30/1000</f>
        <v>178.626</v>
      </c>
      <c r="F30" s="10" t="b">
        <f aca="false">TRUE()</f>
        <v>1</v>
      </c>
      <c r="G30" s="0" t="n">
        <v>22</v>
      </c>
      <c r="H30" s="0" t="n">
        <f aca="false">_xlfn.xlookup(G30, years!A$2:A$836, years!B$2:B$836)</f>
        <v>2019</v>
      </c>
      <c r="I30" s="2" t="n">
        <v>83</v>
      </c>
      <c r="J30" s="0" t="n">
        <v>0.778</v>
      </c>
      <c r="K30" s="0" t="n">
        <v>0.317</v>
      </c>
      <c r="L30" s="3" t="str">
        <f aca="false">IF(K30&gt;0.66,"High",IF(K30&gt;0.33&amp;K30&lt;=0.66,"Medium","Low"))</f>
        <v>Low</v>
      </c>
      <c r="M30" s="0" t="n">
        <v>-10.732</v>
      </c>
      <c r="N30" s="3" t="n">
        <v>0.334</v>
      </c>
      <c r="O30" s="3" t="n">
        <v>0.592</v>
      </c>
      <c r="P30" s="4" t="n">
        <v>0</v>
      </c>
      <c r="Q30" s="3" t="n">
        <v>0.0881</v>
      </c>
      <c r="R30" s="3" t="n">
        <v>0.327</v>
      </c>
      <c r="S30" s="3" t="str">
        <f aca="false">IF(R30 &gt;= 0.5, "Positive", "Negative")</f>
        <v>Negative</v>
      </c>
      <c r="T30" s="2" t="n">
        <v>140.048</v>
      </c>
      <c r="U30" s="0" t="s">
        <v>39</v>
      </c>
    </row>
    <row r="31" customFormat="false" ht="14.25" hidden="false" customHeight="false" outlineLevel="0" collapsed="false">
      <c r="A31" s="0" t="n">
        <v>721</v>
      </c>
      <c r="B31" s="0" t="str">
        <f aca="false">_xlfn.xlookup(A31, artists!A$2:A$836, artists!B$2:B$836)</f>
        <v>Billie Eilish</v>
      </c>
      <c r="C31" s="1" t="s">
        <v>62</v>
      </c>
      <c r="D31" s="2" t="n">
        <v>194087</v>
      </c>
      <c r="E31" s="2" t="n">
        <f aca="false">D31/1000</f>
        <v>194.087</v>
      </c>
      <c r="F31" s="10" t="b">
        <f aca="false">FALSE()</f>
        <v>0</v>
      </c>
      <c r="G31" s="0" t="n">
        <v>22</v>
      </c>
      <c r="H31" s="0" t="n">
        <f aca="false">_xlfn.xlookup(G31, years!A$2:A$836, years!B$2:B$836)</f>
        <v>2019</v>
      </c>
      <c r="I31" s="2" t="n">
        <v>83</v>
      </c>
      <c r="J31" s="0" t="n">
        <v>0.701</v>
      </c>
      <c r="K31" s="0" t="n">
        <v>0.425</v>
      </c>
      <c r="L31" s="3" t="str">
        <f aca="false">IF(K31&gt;0.66,"High",IF(K31&gt;0.33&amp;K31&lt;=0.66,"Medium","Low"))</f>
        <v>Low</v>
      </c>
      <c r="M31" s="0" t="n">
        <v>-10.965</v>
      </c>
      <c r="N31" s="3" t="n">
        <v>0.375</v>
      </c>
      <c r="O31" s="3" t="n">
        <v>0.328</v>
      </c>
      <c r="P31" s="4" t="n">
        <v>0.13</v>
      </c>
      <c r="Q31" s="3" t="n">
        <v>0.1</v>
      </c>
      <c r="R31" s="3" t="n">
        <v>0.562</v>
      </c>
      <c r="S31" s="3" t="str">
        <f aca="false">IF(R31 &gt;= 0.5, "Positive", "Negative")</f>
        <v>Positive</v>
      </c>
      <c r="T31" s="2" t="n">
        <v>135.128</v>
      </c>
      <c r="U31" s="0" t="s">
        <v>22</v>
      </c>
    </row>
    <row r="32" customFormat="false" ht="14.25" hidden="false" customHeight="false" outlineLevel="0" collapsed="false">
      <c r="A32" s="0" t="n">
        <v>184</v>
      </c>
      <c r="B32" s="0" t="str">
        <f aca="false">_xlfn.xlookup(A32, artists!A$2:A$836, artists!B$2:B$836)</f>
        <v>Elvis Presley</v>
      </c>
      <c r="C32" s="1" t="s">
        <v>63</v>
      </c>
      <c r="D32" s="2" t="n">
        <v>211506</v>
      </c>
      <c r="E32" s="2" t="n">
        <f aca="false">D32/1000</f>
        <v>211.506</v>
      </c>
      <c r="F32" s="10" t="b">
        <f aca="false">FALSE()</f>
        <v>0</v>
      </c>
      <c r="G32" s="0" t="n">
        <v>5</v>
      </c>
      <c r="H32" s="0" t="n">
        <f aca="false">_xlfn.xlookup(G32, years!A$2:A$836, years!B$2:B$836)</f>
        <v>2002</v>
      </c>
      <c r="I32" s="2" t="n">
        <v>60</v>
      </c>
      <c r="J32" s="0" t="n">
        <v>0.597</v>
      </c>
      <c r="K32" s="0" t="n">
        <v>0.97</v>
      </c>
      <c r="L32" s="3" t="str">
        <f aca="false">IF(K32&gt;0.66,"High",IF(K32&gt;0.33&amp;K32&lt;=0.66,"Medium","Low"))</f>
        <v>High</v>
      </c>
      <c r="M32" s="0" t="n">
        <v>-5.972</v>
      </c>
      <c r="N32" s="3" t="n">
        <v>0.0502</v>
      </c>
      <c r="O32" s="3" t="n">
        <v>0.000385</v>
      </c>
      <c r="P32" s="4" t="n">
        <v>0.205</v>
      </c>
      <c r="Q32" s="3" t="n">
        <v>0.133</v>
      </c>
      <c r="R32" s="3" t="n">
        <v>0.717</v>
      </c>
      <c r="S32" s="3" t="str">
        <f aca="false">IF(R32 &gt;= 0.5, "Positive", "Negative")</f>
        <v>Positive</v>
      </c>
      <c r="T32" s="2" t="n">
        <v>114.999</v>
      </c>
      <c r="U32" s="0" t="s">
        <v>64</v>
      </c>
    </row>
    <row r="33" customFormat="false" ht="14.25" hidden="false" customHeight="false" outlineLevel="0" collapsed="false">
      <c r="A33" s="0" t="n">
        <v>725</v>
      </c>
      <c r="B33" s="0" t="str">
        <f aca="false">_xlfn.xlookup(A33, artists!A$2:A$836, artists!B$2:B$836)</f>
        <v>21 Savage</v>
      </c>
      <c r="C33" s="1" t="s">
        <v>65</v>
      </c>
      <c r="D33" s="2" t="n">
        <v>288624</v>
      </c>
      <c r="E33" s="2" t="n">
        <f aca="false">D33/1000</f>
        <v>288.624</v>
      </c>
      <c r="F33" s="10" t="b">
        <f aca="false">TRUE()</f>
        <v>1</v>
      </c>
      <c r="G33" s="0" t="n">
        <v>21</v>
      </c>
      <c r="H33" s="0" t="n">
        <f aca="false">_xlfn.xlookup(G33, years!A$2:A$836, years!B$2:B$836)</f>
        <v>2018</v>
      </c>
      <c r="I33" s="2" t="n">
        <v>78</v>
      </c>
      <c r="J33" s="0" t="n">
        <v>0.837</v>
      </c>
      <c r="K33" s="0" t="n">
        <v>0.636</v>
      </c>
      <c r="L33" s="3" t="str">
        <f aca="false">IF(K33&gt;0.66,"High",IF(K33&gt;0.33&amp;K33&lt;=0.66,"Medium","Low"))</f>
        <v>Low</v>
      </c>
      <c r="M33" s="0" t="n">
        <v>-7.643</v>
      </c>
      <c r="N33" s="3" t="n">
        <v>0.086</v>
      </c>
      <c r="O33" s="3" t="n">
        <v>0.0395</v>
      </c>
      <c r="P33" s="4" t="n">
        <v>0.00125</v>
      </c>
      <c r="Q33" s="3" t="n">
        <v>0.342</v>
      </c>
      <c r="R33" s="3" t="n">
        <v>0.274</v>
      </c>
      <c r="S33" s="3" t="str">
        <f aca="false">IF(R33 &gt;= 0.5, "Positive", "Negative")</f>
        <v>Negative</v>
      </c>
      <c r="T33" s="2" t="n">
        <v>145.972</v>
      </c>
      <c r="U33" s="0" t="s">
        <v>29</v>
      </c>
    </row>
    <row r="34" customFormat="false" ht="14.25" hidden="false" customHeight="false" outlineLevel="0" collapsed="false">
      <c r="A34" s="0" t="n">
        <v>402</v>
      </c>
      <c r="B34" s="0" t="str">
        <f aca="false">_xlfn.xlookup(A34, artists!A$2:A$836, artists!B$2:B$836)</f>
        <v>Lil Wayne</v>
      </c>
      <c r="C34" s="1" t="s">
        <v>66</v>
      </c>
      <c r="D34" s="2" t="n">
        <v>221840</v>
      </c>
      <c r="E34" s="2" t="n">
        <f aca="false">D34/1000</f>
        <v>221.84</v>
      </c>
      <c r="F34" s="10" t="b">
        <f aca="false">TRUE()</f>
        <v>1</v>
      </c>
      <c r="G34" s="0" t="n">
        <v>11</v>
      </c>
      <c r="H34" s="0" t="n">
        <f aca="false">_xlfn.xlookup(G34, years!A$2:A$836, years!B$2:B$836)</f>
        <v>2008</v>
      </c>
      <c r="I34" s="2" t="n">
        <v>69</v>
      </c>
      <c r="J34" s="0" t="n">
        <v>0.674</v>
      </c>
      <c r="K34" s="0" t="n">
        <v>0.695</v>
      </c>
      <c r="L34" s="3" t="str">
        <f aca="false">IF(K34&gt;0.66,"High",IF(K34&gt;0.33&amp;K34&lt;=0.66,"Medium","Low"))</f>
        <v>High</v>
      </c>
      <c r="M34" s="0" t="n">
        <v>-8.636</v>
      </c>
      <c r="N34" s="3" t="n">
        <v>0.278</v>
      </c>
      <c r="O34" s="3" t="n">
        <v>0.0387</v>
      </c>
      <c r="P34" s="4" t="n">
        <v>0.00202</v>
      </c>
      <c r="Q34" s="3" t="n">
        <v>0.194</v>
      </c>
      <c r="R34" s="3" t="n">
        <v>0.773</v>
      </c>
      <c r="S34" s="3" t="str">
        <f aca="false">IF(R34 &gt;= 0.5, "Positive", "Negative")</f>
        <v>Positive</v>
      </c>
      <c r="T34" s="2" t="n">
        <v>151.486</v>
      </c>
      <c r="U34" s="0" t="s">
        <v>24</v>
      </c>
    </row>
    <row r="35" customFormat="false" ht="14.25" hidden="false" customHeight="false" outlineLevel="0" collapsed="false">
      <c r="A35" s="0" t="n">
        <v>337</v>
      </c>
      <c r="B35" s="0" t="str">
        <f aca="false">_xlfn.xlookup(A35, artists!A$2:A$836, artists!B$2:B$836)</f>
        <v>Leona Lewis</v>
      </c>
      <c r="C35" s="1" t="s">
        <v>67</v>
      </c>
      <c r="D35" s="2" t="n">
        <v>257293</v>
      </c>
      <c r="E35" s="2" t="n">
        <f aca="false">D35/1000</f>
        <v>257.293</v>
      </c>
      <c r="F35" s="10" t="b">
        <f aca="false">FALSE()</f>
        <v>0</v>
      </c>
      <c r="G35" s="0" t="n">
        <v>10</v>
      </c>
      <c r="H35" s="0" t="n">
        <f aca="false">_xlfn.xlookup(G35, years!A$2:A$836, years!B$2:B$836)</f>
        <v>2007</v>
      </c>
      <c r="I35" s="2" t="n">
        <v>57</v>
      </c>
      <c r="J35" s="0" t="n">
        <v>0.261</v>
      </c>
      <c r="K35" s="0" t="n">
        <v>0.562</v>
      </c>
      <c r="L35" s="3" t="str">
        <f aca="false">IF(K35&gt;0.66,"High",IF(K35&gt;0.33&amp;K35&lt;=0.66,"Medium","Low"))</f>
        <v>Low</v>
      </c>
      <c r="M35" s="0" t="n">
        <v>-3.667</v>
      </c>
      <c r="N35" s="3" t="n">
        <v>0.0301</v>
      </c>
      <c r="O35" s="3" t="n">
        <v>0.423</v>
      </c>
      <c r="P35" s="4" t="n">
        <v>7.54E-006</v>
      </c>
      <c r="Q35" s="3" t="n">
        <v>0.131</v>
      </c>
      <c r="R35" s="3" t="n">
        <v>0.167</v>
      </c>
      <c r="S35" s="3" t="str">
        <f aca="false">IF(R35 &gt;= 0.5, "Positive", "Negative")</f>
        <v>Negative</v>
      </c>
      <c r="T35" s="2" t="n">
        <v>70.543</v>
      </c>
      <c r="U35" s="0" t="s">
        <v>33</v>
      </c>
    </row>
    <row r="36" customFormat="false" ht="14.25" hidden="false" customHeight="false" outlineLevel="0" collapsed="false">
      <c r="A36" s="0" t="n">
        <v>65</v>
      </c>
      <c r="B36" s="0" t="str">
        <f aca="false">_xlfn.xlookup(A36, artists!A$2:A$836, artists!B$2:B$836)</f>
        <v>Céline Dion</v>
      </c>
      <c r="C36" s="1" t="s">
        <v>68</v>
      </c>
      <c r="D36" s="2" t="n">
        <v>259773</v>
      </c>
      <c r="E36" s="2" t="n">
        <f aca="false">D36/1000</f>
        <v>259.773</v>
      </c>
      <c r="F36" s="10" t="b">
        <f aca="false">FALSE()</f>
        <v>0</v>
      </c>
      <c r="G36" s="0" t="n">
        <v>4</v>
      </c>
      <c r="H36" s="0" t="n">
        <f aca="false">_xlfn.xlookup(G36, years!A$2:A$836, years!B$2:B$836)</f>
        <v>2001</v>
      </c>
      <c r="I36" s="2" t="n">
        <v>59</v>
      </c>
      <c r="J36" s="0" t="n">
        <v>0.574</v>
      </c>
      <c r="K36" s="0" t="n">
        <v>0.691</v>
      </c>
      <c r="L36" s="3" t="str">
        <f aca="false">IF(K36&gt;0.66,"High",IF(K36&gt;0.33&amp;K36&lt;=0.66,"Medium","Low"))</f>
        <v>High</v>
      </c>
      <c r="M36" s="0" t="n">
        <v>-5.103</v>
      </c>
      <c r="N36" s="3" t="n">
        <v>0.035</v>
      </c>
      <c r="O36" s="3" t="n">
        <v>0.0826</v>
      </c>
      <c r="P36" s="4" t="n">
        <v>1.65E-005</v>
      </c>
      <c r="Q36" s="3" t="n">
        <v>0.149</v>
      </c>
      <c r="R36" s="3" t="n">
        <v>0.195</v>
      </c>
      <c r="S36" s="3" t="str">
        <f aca="false">IF(R36 &gt;= 0.5, "Positive", "Negative")</f>
        <v>Negative</v>
      </c>
      <c r="T36" s="2" t="n">
        <v>91.969</v>
      </c>
      <c r="U36" s="0" t="s">
        <v>39</v>
      </c>
    </row>
    <row r="37" customFormat="false" ht="14.25" hidden="false" customHeight="false" outlineLevel="0" collapsed="false">
      <c r="A37" s="0" t="n">
        <v>180</v>
      </c>
      <c r="B37" s="0" t="str">
        <f aca="false">_xlfn.xlookup(A37, artists!A$2:A$836, artists!B$2:B$836)</f>
        <v>Coldplay</v>
      </c>
      <c r="C37" s="1" t="s">
        <v>69</v>
      </c>
      <c r="D37" s="2" t="n">
        <v>267866</v>
      </c>
      <c r="E37" s="2" t="n">
        <f aca="false">D37/1000</f>
        <v>267.866</v>
      </c>
      <c r="F37" s="10" t="b">
        <f aca="false">FALSE()</f>
        <v>0</v>
      </c>
      <c r="G37" s="0" t="n">
        <v>17</v>
      </c>
      <c r="H37" s="0" t="n">
        <f aca="false">_xlfn.xlookup(G37, years!A$2:A$836, years!B$2:B$836)</f>
        <v>2014</v>
      </c>
      <c r="I37" s="2" t="n">
        <v>80</v>
      </c>
      <c r="J37" s="0" t="n">
        <v>0.545</v>
      </c>
      <c r="K37" s="0" t="n">
        <v>0.675</v>
      </c>
      <c r="L37" s="3" t="str">
        <f aca="false">IF(K37&gt;0.66,"High",IF(K37&gt;0.33&amp;K37&lt;=0.66,"Medium","Low"))</f>
        <v>High</v>
      </c>
      <c r="M37" s="0" t="n">
        <v>-6.474</v>
      </c>
      <c r="N37" s="3" t="n">
        <v>0.0279</v>
      </c>
      <c r="O37" s="3" t="n">
        <v>0.00617</v>
      </c>
      <c r="P37" s="4" t="n">
        <v>0.00197</v>
      </c>
      <c r="Q37" s="3" t="n">
        <v>0.209</v>
      </c>
      <c r="R37" s="3" t="n">
        <v>0.162</v>
      </c>
      <c r="S37" s="3" t="str">
        <f aca="false">IF(R37 &gt;= 0.5, "Positive", "Negative")</f>
        <v>Negative</v>
      </c>
      <c r="T37" s="2" t="n">
        <v>124.97</v>
      </c>
      <c r="U37" s="0" t="s">
        <v>35</v>
      </c>
    </row>
    <row r="38" customFormat="false" ht="14.25" hidden="false" customHeight="false" outlineLevel="0" collapsed="false">
      <c r="A38" s="0" t="n">
        <v>147</v>
      </c>
      <c r="B38" s="0" t="str">
        <f aca="false">_xlfn.xlookup(A38, artists!A$2:A$836, artists!B$2:B$836)</f>
        <v>Vanessa Carlton</v>
      </c>
      <c r="C38" s="1" t="s">
        <v>70</v>
      </c>
      <c r="D38" s="2" t="n">
        <v>237493</v>
      </c>
      <c r="E38" s="2" t="n">
        <f aca="false">D38/1000</f>
        <v>237.493</v>
      </c>
      <c r="F38" s="10" t="b">
        <f aca="false">FALSE()</f>
        <v>0</v>
      </c>
      <c r="G38" s="0" t="n">
        <v>5</v>
      </c>
      <c r="H38" s="0" t="n">
        <f aca="false">_xlfn.xlookup(G38, years!A$2:A$836, years!B$2:B$836)</f>
        <v>2002</v>
      </c>
      <c r="I38" s="2" t="n">
        <v>75</v>
      </c>
      <c r="J38" s="0" t="n">
        <v>0.56</v>
      </c>
      <c r="K38" s="0" t="n">
        <v>0.825</v>
      </c>
      <c r="L38" s="3" t="str">
        <f aca="false">IF(K38&gt;0.66,"High",IF(K38&gt;0.33&amp;K38&lt;=0.66,"Medium","Low"))</f>
        <v>High</v>
      </c>
      <c r="M38" s="0" t="n">
        <v>-3.862</v>
      </c>
      <c r="N38" s="3" t="n">
        <v>0.0379</v>
      </c>
      <c r="O38" s="3" t="n">
        <v>0.323</v>
      </c>
      <c r="P38" s="4" t="n">
        <v>0</v>
      </c>
      <c r="Q38" s="3" t="n">
        <v>0.161</v>
      </c>
      <c r="R38" s="3" t="n">
        <v>0.268</v>
      </c>
      <c r="S38" s="3" t="str">
        <f aca="false">IF(R38 &gt;= 0.5, "Positive", "Negative")</f>
        <v>Negative</v>
      </c>
      <c r="T38" s="2" t="n">
        <v>94.931</v>
      </c>
      <c r="U38" s="0" t="s">
        <v>71</v>
      </c>
    </row>
    <row r="39" customFormat="false" ht="14.25" hidden="false" customHeight="false" outlineLevel="0" collapsed="false">
      <c r="A39" s="0" t="n">
        <v>533</v>
      </c>
      <c r="B39" s="0" t="str">
        <f aca="false">_xlfn.xlookup(A39, artists!A$2:A$836, artists!B$2:B$836)</f>
        <v>Christina Perri</v>
      </c>
      <c r="C39" s="1" t="s">
        <v>72</v>
      </c>
      <c r="D39" s="2" t="n">
        <v>285120</v>
      </c>
      <c r="E39" s="2" t="n">
        <f aca="false">D39/1000</f>
        <v>285.12</v>
      </c>
      <c r="F39" s="10" t="b">
        <f aca="false">FALSE()</f>
        <v>0</v>
      </c>
      <c r="G39" s="0" t="n">
        <v>14</v>
      </c>
      <c r="H39" s="0" t="n">
        <f aca="false">_xlfn.xlookup(G39, years!A$2:A$836, years!B$2:B$836)</f>
        <v>2011</v>
      </c>
      <c r="I39" s="2" t="n">
        <v>70</v>
      </c>
      <c r="J39" s="0" t="n">
        <v>0.421</v>
      </c>
      <c r="K39" s="0" t="n">
        <v>0.407</v>
      </c>
      <c r="L39" s="3" t="str">
        <f aca="false">IF(K39&gt;0.66,"High",IF(K39&gt;0.33&amp;K39&lt;=0.66,"Medium","Low"))</f>
        <v>Low</v>
      </c>
      <c r="M39" s="0" t="n">
        <v>-7.445</v>
      </c>
      <c r="N39" s="3" t="n">
        <v>0.0267</v>
      </c>
      <c r="O39" s="3" t="n">
        <v>0.309</v>
      </c>
      <c r="P39" s="4" t="n">
        <v>0.000961</v>
      </c>
      <c r="Q39" s="3" t="n">
        <v>0.11</v>
      </c>
      <c r="R39" s="3" t="n">
        <v>0.161</v>
      </c>
      <c r="S39" s="3" t="str">
        <f aca="false">IF(R39 &gt;= 0.5, "Positive", "Negative")</f>
        <v>Negative</v>
      </c>
      <c r="T39" s="2" t="n">
        <v>139.028</v>
      </c>
      <c r="U39" s="0" t="s">
        <v>39</v>
      </c>
    </row>
    <row r="40" customFormat="false" ht="14.25" hidden="false" customHeight="false" outlineLevel="0" collapsed="false">
      <c r="A40" s="0" t="n">
        <v>179</v>
      </c>
      <c r="B40" s="0" t="str">
        <f aca="false">_xlfn.xlookup(A40, artists!A$2:A$836, artists!B$2:B$836)</f>
        <v>Alicia Keys</v>
      </c>
      <c r="C40" s="1" t="s">
        <v>73</v>
      </c>
      <c r="D40" s="2" t="n">
        <v>303333</v>
      </c>
      <c r="E40" s="2" t="n">
        <f aca="false">D40/1000</f>
        <v>303.333</v>
      </c>
      <c r="F40" s="10" t="b">
        <f aca="false">FALSE()</f>
        <v>0</v>
      </c>
      <c r="G40" s="0" t="n">
        <v>4</v>
      </c>
      <c r="H40" s="0" t="n">
        <f aca="false">_xlfn.xlookup(G40, years!A$2:A$836, years!B$2:B$836)</f>
        <v>2001</v>
      </c>
      <c r="I40" s="2" t="n">
        <v>52</v>
      </c>
      <c r="J40" s="0" t="n">
        <v>0.652</v>
      </c>
      <c r="K40" s="0" t="n">
        <v>0.41</v>
      </c>
      <c r="L40" s="3" t="str">
        <f aca="false">IF(K40&gt;0.66,"High",IF(K40&gt;0.33&amp;K40&lt;=0.66,"Medium","Low"))</f>
        <v>Low</v>
      </c>
      <c r="M40" s="0" t="n">
        <v>-8.323</v>
      </c>
      <c r="N40" s="3" t="n">
        <v>0.158</v>
      </c>
      <c r="O40" s="3" t="n">
        <v>0.333</v>
      </c>
      <c r="P40" s="4" t="n">
        <v>0</v>
      </c>
      <c r="Q40" s="3" t="n">
        <v>0.064</v>
      </c>
      <c r="R40" s="3" t="n">
        <v>0.495</v>
      </c>
      <c r="S40" s="3" t="str">
        <f aca="false">IF(R40 &gt;= 0.5, "Positive", "Negative")</f>
        <v>Negative</v>
      </c>
      <c r="T40" s="2" t="n">
        <v>75.09</v>
      </c>
      <c r="U40" s="0" t="s">
        <v>33</v>
      </c>
    </row>
    <row r="41" customFormat="false" ht="14.25" hidden="false" customHeight="false" outlineLevel="0" collapsed="false">
      <c r="A41" s="0" t="n">
        <v>719</v>
      </c>
      <c r="B41" s="0" t="str">
        <f aca="false">_xlfn.xlookup(A41, artists!A$2:A$836, artists!B$2:B$836)</f>
        <v>Luis Fonsi</v>
      </c>
      <c r="C41" s="1" t="s">
        <v>74</v>
      </c>
      <c r="D41" s="2" t="n">
        <v>173720</v>
      </c>
      <c r="E41" s="2" t="n">
        <f aca="false">D41/1000</f>
        <v>173.72</v>
      </c>
      <c r="F41" s="10" t="b">
        <f aca="false">FALSE()</f>
        <v>0</v>
      </c>
      <c r="G41" s="0" t="n">
        <v>20</v>
      </c>
      <c r="H41" s="0" t="n">
        <f aca="false">_xlfn.xlookup(G41, years!A$2:A$836, years!B$2:B$836)</f>
        <v>2017</v>
      </c>
      <c r="I41" s="2" t="n">
        <v>62</v>
      </c>
      <c r="J41" s="0" t="n">
        <v>0.733</v>
      </c>
      <c r="K41" s="0" t="n">
        <v>0.892</v>
      </c>
      <c r="L41" s="3" t="str">
        <f aca="false">IF(K41&gt;0.66,"High",IF(K41&gt;0.33&amp;K41&lt;=0.66,"Medium","Low"))</f>
        <v>High</v>
      </c>
      <c r="M41" s="0" t="n">
        <v>-3.641</v>
      </c>
      <c r="N41" s="3" t="n">
        <v>0.0417</v>
      </c>
      <c r="O41" s="3" t="n">
        <v>0.0376</v>
      </c>
      <c r="P41" s="4" t="n">
        <v>0</v>
      </c>
      <c r="Q41" s="3" t="n">
        <v>0.137</v>
      </c>
      <c r="R41" s="3" t="n">
        <v>0.675</v>
      </c>
      <c r="S41" s="3" t="str">
        <f aca="false">IF(R41 &gt;= 0.5, "Positive", "Negative")</f>
        <v>Positive</v>
      </c>
      <c r="T41" s="2" t="n">
        <v>95.989</v>
      </c>
      <c r="U41" s="0" t="s">
        <v>75</v>
      </c>
    </row>
    <row r="42" customFormat="false" ht="14.25" hidden="false" customHeight="false" outlineLevel="0" collapsed="false">
      <c r="A42" s="0" t="n">
        <v>156</v>
      </c>
      <c r="B42" s="0" t="str">
        <f aca="false">_xlfn.xlookup(A42, artists!A$2:A$836, artists!B$2:B$836)</f>
        <v>Sugababes</v>
      </c>
      <c r="C42" s="1" t="s">
        <v>76</v>
      </c>
      <c r="D42" s="2" t="n">
        <v>212400</v>
      </c>
      <c r="E42" s="2" t="n">
        <f aca="false">D42/1000</f>
        <v>212.4</v>
      </c>
      <c r="F42" s="10" t="b">
        <f aca="false">FALSE()</f>
        <v>0</v>
      </c>
      <c r="G42" s="0" t="n">
        <v>10</v>
      </c>
      <c r="H42" s="0" t="n">
        <f aca="false">_xlfn.xlookup(G42, years!A$2:A$836, years!B$2:B$836)</f>
        <v>2007</v>
      </c>
      <c r="I42" s="2" t="n">
        <v>66</v>
      </c>
      <c r="J42" s="0" t="n">
        <v>0.584</v>
      </c>
      <c r="K42" s="0" t="n">
        <v>0.699</v>
      </c>
      <c r="L42" s="3" t="str">
        <f aca="false">IF(K42&gt;0.66,"High",IF(K42&gt;0.33&amp;K42&lt;=0.66,"Medium","Low"))</f>
        <v>High</v>
      </c>
      <c r="M42" s="0" t="n">
        <v>-6.065</v>
      </c>
      <c r="N42" s="3" t="n">
        <v>0.0378</v>
      </c>
      <c r="O42" s="3" t="n">
        <v>6.52E-005</v>
      </c>
      <c r="P42" s="4" t="n">
        <v>6.05E-005</v>
      </c>
      <c r="Q42" s="3" t="n">
        <v>0.486</v>
      </c>
      <c r="R42" s="3" t="n">
        <v>0.585</v>
      </c>
      <c r="S42" s="3" t="str">
        <f aca="false">IF(R42 &gt;= 0.5, "Positive", "Negative")</f>
        <v>Positive</v>
      </c>
      <c r="T42" s="2" t="n">
        <v>82.499</v>
      </c>
      <c r="U42" s="0" t="s">
        <v>33</v>
      </c>
    </row>
    <row r="43" customFormat="false" ht="14.25" hidden="false" customHeight="false" outlineLevel="0" collapsed="false">
      <c r="A43" s="0" t="n">
        <v>372</v>
      </c>
      <c r="B43" s="0" t="str">
        <f aca="false">_xlfn.xlookup(A43, artists!A$2:A$836, artists!B$2:B$836)</f>
        <v>Calvin Harris</v>
      </c>
      <c r="C43" s="1" t="s">
        <v>77</v>
      </c>
      <c r="D43" s="2" t="n">
        <v>333680</v>
      </c>
      <c r="E43" s="2" t="n">
        <f aca="false">D43/1000</f>
        <v>333.68</v>
      </c>
      <c r="F43" s="10" t="b">
        <f aca="false">FALSE()</f>
        <v>0</v>
      </c>
      <c r="G43" s="0" t="n">
        <v>10</v>
      </c>
      <c r="H43" s="0" t="n">
        <f aca="false">_xlfn.xlookup(G43, years!A$2:A$836, years!B$2:B$836)</f>
        <v>2007</v>
      </c>
      <c r="I43" s="2" t="n">
        <v>57</v>
      </c>
      <c r="J43" s="0" t="n">
        <v>0.787</v>
      </c>
      <c r="K43" s="0" t="n">
        <v>0.808</v>
      </c>
      <c r="L43" s="3" t="str">
        <f aca="false">IF(K43&gt;0.66,"High",IF(K43&gt;0.33&amp;K43&lt;=0.66,"Medium","Low"))</f>
        <v>High</v>
      </c>
      <c r="M43" s="0" t="n">
        <v>-5.454</v>
      </c>
      <c r="N43" s="3" t="n">
        <v>0.0511</v>
      </c>
      <c r="O43" s="3" t="n">
        <v>0.0143</v>
      </c>
      <c r="P43" s="4" t="n">
        <v>0.257</v>
      </c>
      <c r="Q43" s="3" t="n">
        <v>0.0466</v>
      </c>
      <c r="R43" s="3" t="n">
        <v>0.942</v>
      </c>
      <c r="S43" s="3" t="str">
        <f aca="false">IF(R43 &gt;= 0.5, "Positive", "Negative")</f>
        <v>Positive</v>
      </c>
      <c r="T43" s="2" t="n">
        <v>127.99</v>
      </c>
      <c r="U43" s="0" t="s">
        <v>53</v>
      </c>
    </row>
    <row r="44" customFormat="false" ht="14.25" hidden="false" customHeight="false" outlineLevel="0" collapsed="false">
      <c r="A44" s="0" t="n">
        <v>808</v>
      </c>
      <c r="B44" s="0" t="str">
        <f aca="false">_xlfn.xlookup(A44, artists!A$2:A$836, artists!B$2:B$836)</f>
        <v>Paulo Londra</v>
      </c>
      <c r="C44" s="1" t="s">
        <v>78</v>
      </c>
      <c r="D44" s="2" t="n">
        <v>256971</v>
      </c>
      <c r="E44" s="2" t="n">
        <f aca="false">D44/1000</f>
        <v>256.971</v>
      </c>
      <c r="F44" s="10" t="b">
        <f aca="false">FALSE()</f>
        <v>0</v>
      </c>
      <c r="G44" s="0" t="n">
        <v>22</v>
      </c>
      <c r="H44" s="0" t="n">
        <f aca="false">_xlfn.xlookup(G44, years!A$2:A$836, years!B$2:B$836)</f>
        <v>2019</v>
      </c>
      <c r="I44" s="2" t="n">
        <v>72</v>
      </c>
      <c r="J44" s="0" t="n">
        <v>0.767</v>
      </c>
      <c r="K44" s="0" t="n">
        <v>0.709</v>
      </c>
      <c r="L44" s="3" t="str">
        <f aca="false">IF(K44&gt;0.66,"High",IF(K44&gt;0.33&amp;K44&lt;=0.66,"Medium","Low"))</f>
        <v>High</v>
      </c>
      <c r="M44" s="0" t="n">
        <v>-4.47</v>
      </c>
      <c r="N44" s="3" t="n">
        <v>0.336</v>
      </c>
      <c r="O44" s="3" t="n">
        <v>0.323</v>
      </c>
      <c r="P44" s="4" t="n">
        <v>0</v>
      </c>
      <c r="Q44" s="3" t="n">
        <v>0.0745</v>
      </c>
      <c r="R44" s="3" t="n">
        <v>0.72</v>
      </c>
      <c r="S44" s="3" t="str">
        <f aca="false">IF(R44 &gt;= 0.5, "Positive", "Negative")</f>
        <v>Positive</v>
      </c>
      <c r="T44" s="2" t="n">
        <v>171.993</v>
      </c>
      <c r="U44" s="0" t="s">
        <v>79</v>
      </c>
    </row>
    <row r="45" customFormat="false" ht="14.25" hidden="false" customHeight="false" outlineLevel="0" collapsed="false">
      <c r="A45" s="0" t="n">
        <v>413</v>
      </c>
      <c r="B45" s="0" t="str">
        <f aca="false">_xlfn.xlookup(A45, artists!A$2:A$836, artists!B$2:B$836)</f>
        <v>Saving Abel</v>
      </c>
      <c r="C45" s="1" t="s">
        <v>80</v>
      </c>
      <c r="D45" s="2" t="n">
        <v>222826</v>
      </c>
      <c r="E45" s="2" t="n">
        <f aca="false">D45/1000</f>
        <v>222.826</v>
      </c>
      <c r="F45" s="10" t="b">
        <f aca="false">TRUE()</f>
        <v>1</v>
      </c>
      <c r="G45" s="0" t="n">
        <v>11</v>
      </c>
      <c r="H45" s="0" t="n">
        <f aca="false">_xlfn.xlookup(G45, years!A$2:A$836, years!B$2:B$836)</f>
        <v>2008</v>
      </c>
      <c r="I45" s="2" t="n">
        <v>69</v>
      </c>
      <c r="J45" s="0" t="n">
        <v>0.512</v>
      </c>
      <c r="K45" s="0" t="n">
        <v>0.864</v>
      </c>
      <c r="L45" s="3" t="str">
        <f aca="false">IF(K45&gt;0.66,"High",IF(K45&gt;0.33&amp;K45&lt;=0.66,"Medium","Low"))</f>
        <v>High</v>
      </c>
      <c r="M45" s="0" t="n">
        <v>-4.146</v>
      </c>
      <c r="N45" s="3" t="n">
        <v>0.0338</v>
      </c>
      <c r="O45" s="3" t="n">
        <v>0.000821</v>
      </c>
      <c r="P45" s="4" t="n">
        <v>0</v>
      </c>
      <c r="Q45" s="3" t="n">
        <v>0.0982</v>
      </c>
      <c r="R45" s="3" t="n">
        <v>0.527</v>
      </c>
      <c r="S45" s="3" t="str">
        <f aca="false">IF(R45 &gt;= 0.5, "Positive", "Negative")</f>
        <v>Positive</v>
      </c>
      <c r="T45" s="2" t="n">
        <v>138.018</v>
      </c>
      <c r="U45" s="0" t="s">
        <v>81</v>
      </c>
    </row>
    <row r="46" customFormat="false" ht="14.25" hidden="false" customHeight="false" outlineLevel="0" collapsed="false">
      <c r="A46" s="0" t="n">
        <v>150</v>
      </c>
      <c r="B46" s="0" t="str">
        <f aca="false">_xlfn.xlookup(A46, artists!A$2:A$836, artists!B$2:B$836)</f>
        <v>Truth Hurts</v>
      </c>
      <c r="C46" s="1" t="s">
        <v>82</v>
      </c>
      <c r="D46" s="2" t="n">
        <v>226440</v>
      </c>
      <c r="E46" s="2" t="n">
        <f aca="false">D46/1000</f>
        <v>226.44</v>
      </c>
      <c r="F46" s="10" t="b">
        <f aca="false">TRUE()</f>
        <v>1</v>
      </c>
      <c r="G46" s="0" t="n">
        <v>5</v>
      </c>
      <c r="H46" s="0" t="n">
        <f aca="false">_xlfn.xlookup(G46, years!A$2:A$836, years!B$2:B$836)</f>
        <v>2002</v>
      </c>
      <c r="I46" s="2" t="n">
        <v>58</v>
      </c>
      <c r="J46" s="0" t="n">
        <v>0.701</v>
      </c>
      <c r="K46" s="0" t="n">
        <v>0.677</v>
      </c>
      <c r="L46" s="3" t="str">
        <f aca="false">IF(K46&gt;0.66,"High",IF(K46&gt;0.33&amp;K46&lt;=0.66,"Medium","Low"))</f>
        <v>High</v>
      </c>
      <c r="M46" s="0" t="n">
        <v>-6.591</v>
      </c>
      <c r="N46" s="3" t="n">
        <v>0.147</v>
      </c>
      <c r="O46" s="3" t="n">
        <v>0.0737</v>
      </c>
      <c r="P46" s="4" t="n">
        <v>0.000162</v>
      </c>
      <c r="Q46" s="3" t="n">
        <v>0.187</v>
      </c>
      <c r="R46" s="3" t="n">
        <v>0.367</v>
      </c>
      <c r="S46" s="3" t="str">
        <f aca="false">IF(R46 &gt;= 0.5, "Positive", "Negative")</f>
        <v>Negative</v>
      </c>
      <c r="T46" s="2" t="n">
        <v>99.271</v>
      </c>
      <c r="U46" s="0" t="s">
        <v>33</v>
      </c>
    </row>
    <row r="47" customFormat="false" ht="14.25" hidden="false" customHeight="false" outlineLevel="0" collapsed="false">
      <c r="A47" s="0" t="n">
        <v>463</v>
      </c>
      <c r="B47" s="0" t="str">
        <f aca="false">_xlfn.xlookup(A47, artists!A$2:A$836, artists!B$2:B$836)</f>
        <v>Justin Bieber</v>
      </c>
      <c r="C47" s="1" t="s">
        <v>83</v>
      </c>
      <c r="D47" s="2" t="n">
        <v>200786</v>
      </c>
      <c r="E47" s="2" t="n">
        <f aca="false">D47/1000</f>
        <v>200.786</v>
      </c>
      <c r="F47" s="10" t="b">
        <f aca="false">FALSE()</f>
        <v>0</v>
      </c>
      <c r="G47" s="0" t="n">
        <v>18</v>
      </c>
      <c r="H47" s="0" t="n">
        <f aca="false">_xlfn.xlookup(G47, years!A$2:A$836, years!B$2:B$836)</f>
        <v>2015</v>
      </c>
      <c r="I47" s="2" t="n">
        <v>80</v>
      </c>
      <c r="J47" s="0" t="n">
        <v>0.654</v>
      </c>
      <c r="K47" s="0" t="n">
        <v>0.76</v>
      </c>
      <c r="L47" s="3" t="str">
        <f aca="false">IF(K47&gt;0.66,"High",IF(K47&gt;0.33&amp;K47&lt;=0.66,"Medium","Low"))</f>
        <v>High</v>
      </c>
      <c r="M47" s="0" t="n">
        <v>-3.669</v>
      </c>
      <c r="N47" s="3" t="n">
        <v>0.045</v>
      </c>
      <c r="O47" s="3" t="n">
        <v>0.0797</v>
      </c>
      <c r="P47" s="4" t="n">
        <v>0</v>
      </c>
      <c r="Q47" s="3" t="n">
        <v>0.299</v>
      </c>
      <c r="R47" s="3" t="n">
        <v>0.41</v>
      </c>
      <c r="S47" s="3" t="str">
        <f aca="false">IF(R47 &gt;= 0.5, "Positive", "Negative")</f>
        <v>Negative</v>
      </c>
      <c r="T47" s="2" t="n">
        <v>99.945</v>
      </c>
      <c r="U47" s="0" t="s">
        <v>39</v>
      </c>
    </row>
    <row r="48" customFormat="false" ht="14.25" hidden="false" customHeight="false" outlineLevel="0" collapsed="false">
      <c r="A48" s="0" t="n">
        <v>129</v>
      </c>
      <c r="B48" s="0" t="str">
        <f aca="false">_xlfn.xlookup(A48, artists!A$2:A$836, artists!B$2:B$836)</f>
        <v>Lenny Kravitz</v>
      </c>
      <c r="C48" s="1" t="s">
        <v>84</v>
      </c>
      <c r="D48" s="2" t="n">
        <v>231666</v>
      </c>
      <c r="E48" s="2" t="n">
        <f aca="false">D48/1000</f>
        <v>231.666</v>
      </c>
      <c r="F48" s="10" t="b">
        <f aca="false">FALSE()</f>
        <v>0</v>
      </c>
      <c r="G48" s="0" t="n">
        <v>3</v>
      </c>
      <c r="H48" s="0" t="n">
        <f aca="false">_xlfn.xlookup(G48, years!A$2:A$836, years!B$2:B$836)</f>
        <v>2000</v>
      </c>
      <c r="I48" s="2" t="n">
        <v>68</v>
      </c>
      <c r="J48" s="0" t="n">
        <v>0.55</v>
      </c>
      <c r="K48" s="0" t="n">
        <v>0.804</v>
      </c>
      <c r="L48" s="3" t="str">
        <f aca="false">IF(K48&gt;0.66,"High",IF(K48&gt;0.33&amp;K48&lt;=0.66,"Medium","Low"))</f>
        <v>High</v>
      </c>
      <c r="M48" s="0" t="n">
        <v>-5.218</v>
      </c>
      <c r="N48" s="3" t="n">
        <v>0.0271</v>
      </c>
      <c r="O48" s="3" t="n">
        <v>0.0148</v>
      </c>
      <c r="P48" s="4" t="n">
        <v>4.33E-005</v>
      </c>
      <c r="Q48" s="3" t="n">
        <v>0.105</v>
      </c>
      <c r="R48" s="3" t="n">
        <v>0.789</v>
      </c>
      <c r="S48" s="3" t="str">
        <f aca="false">IF(R48 &gt;= 0.5, "Positive", "Negative")</f>
        <v>Positive</v>
      </c>
      <c r="T48" s="2" t="n">
        <v>79.166</v>
      </c>
      <c r="U48" s="0" t="s">
        <v>35</v>
      </c>
    </row>
    <row r="49" customFormat="false" ht="14.25" hidden="false" customHeight="false" outlineLevel="0" collapsed="false">
      <c r="A49" s="0" t="n">
        <v>50</v>
      </c>
      <c r="B49" s="0" t="str">
        <f aca="false">_xlfn.xlookup(A49, artists!A$2:A$836, artists!B$2:B$836)</f>
        <v>Mariah Carey</v>
      </c>
      <c r="C49" s="1" t="s">
        <v>85</v>
      </c>
      <c r="D49" s="2" t="n">
        <v>199480</v>
      </c>
      <c r="E49" s="2" t="n">
        <f aca="false">D49/1000</f>
        <v>199.48</v>
      </c>
      <c r="F49" s="10" t="b">
        <f aca="false">FALSE()</f>
        <v>0</v>
      </c>
      <c r="G49" s="0" t="n">
        <v>14</v>
      </c>
      <c r="H49" s="0" t="n">
        <f aca="false">_xlfn.xlookup(G49, years!A$2:A$836, years!B$2:B$836)</f>
        <v>2011</v>
      </c>
      <c r="I49" s="2" t="n">
        <v>0</v>
      </c>
      <c r="J49" s="0" t="n">
        <v>0.471</v>
      </c>
      <c r="K49" s="0" t="n">
        <v>0.514</v>
      </c>
      <c r="L49" s="3" t="str">
        <f aca="false">IF(K49&gt;0.66,"High",IF(K49&gt;0.33&amp;K49&lt;=0.66,"Medium","Low"))</f>
        <v>Low</v>
      </c>
      <c r="M49" s="0" t="n">
        <v>-5.599</v>
      </c>
      <c r="N49" s="3" t="n">
        <v>0.0315</v>
      </c>
      <c r="O49" s="3" t="n">
        <v>0.584</v>
      </c>
      <c r="P49" s="4" t="n">
        <v>0</v>
      </c>
      <c r="Q49" s="3" t="n">
        <v>0.103</v>
      </c>
      <c r="R49" s="3" t="n">
        <v>0.373</v>
      </c>
      <c r="S49" s="3" t="str">
        <f aca="false">IF(R49 &gt;= 0.5, "Positive", "Negative")</f>
        <v>Negative</v>
      </c>
      <c r="T49" s="2" t="n">
        <v>117.338</v>
      </c>
      <c r="U49" s="0" t="s">
        <v>33</v>
      </c>
    </row>
    <row r="50" customFormat="false" ht="14.25" hidden="false" customHeight="false" outlineLevel="0" collapsed="false">
      <c r="A50" s="0" t="n">
        <v>547</v>
      </c>
      <c r="B50" s="0" t="str">
        <f aca="false">_xlfn.xlookup(A50, artists!A$2:A$836, artists!B$2:B$836)</f>
        <v>Michel Teló</v>
      </c>
      <c r="C50" s="1" t="s">
        <v>86</v>
      </c>
      <c r="D50" s="2" t="n">
        <v>166866</v>
      </c>
      <c r="E50" s="2" t="n">
        <f aca="false">D50/1000</f>
        <v>166.866</v>
      </c>
      <c r="F50" s="10" t="b">
        <f aca="false">FALSE()</f>
        <v>0</v>
      </c>
      <c r="G50" s="0" t="n">
        <v>15</v>
      </c>
      <c r="H50" s="0" t="n">
        <f aca="false">_xlfn.xlookup(G50, years!A$2:A$836, years!B$2:B$836)</f>
        <v>2012</v>
      </c>
      <c r="I50" s="2" t="n">
        <v>0</v>
      </c>
      <c r="J50" s="0" t="n">
        <v>0.676</v>
      </c>
      <c r="K50" s="0" t="n">
        <v>0.935</v>
      </c>
      <c r="L50" s="3" t="str">
        <f aca="false">IF(K50&gt;0.66,"High",IF(K50&gt;0.33&amp;K50&lt;=0.66,"Medium","Low"))</f>
        <v>High</v>
      </c>
      <c r="M50" s="0" t="n">
        <v>-4.55</v>
      </c>
      <c r="N50" s="3" t="n">
        <v>0.0692</v>
      </c>
      <c r="O50" s="3" t="n">
        <v>0.357</v>
      </c>
      <c r="P50" s="4" t="n">
        <v>0</v>
      </c>
      <c r="Q50" s="3" t="n">
        <v>0.853</v>
      </c>
      <c r="R50" s="3" t="n">
        <v>0.85</v>
      </c>
      <c r="S50" s="3" t="str">
        <f aca="false">IF(R50 &gt;= 0.5, "Positive", "Negative")</f>
        <v>Positive</v>
      </c>
      <c r="T50" s="2" t="n">
        <v>96.055</v>
      </c>
      <c r="U50" s="0" t="s">
        <v>87</v>
      </c>
    </row>
    <row r="51" customFormat="false" ht="14.25" hidden="false" customHeight="false" outlineLevel="0" collapsed="false">
      <c r="A51" s="0" t="n">
        <v>100</v>
      </c>
      <c r="B51" s="0" t="str">
        <f aca="false">_xlfn.xlookup(A51, artists!A$2:A$836, artists!B$2:B$836)</f>
        <v>Jennifer Lopez</v>
      </c>
      <c r="C51" s="1" t="s">
        <v>88</v>
      </c>
      <c r="D51" s="2" t="n">
        <v>246160</v>
      </c>
      <c r="E51" s="2" t="n">
        <f aca="false">D51/1000</f>
        <v>246.16</v>
      </c>
      <c r="F51" s="10" t="b">
        <f aca="false">FALSE()</f>
        <v>0</v>
      </c>
      <c r="G51" s="0" t="n">
        <v>4</v>
      </c>
      <c r="H51" s="0" t="n">
        <f aca="false">_xlfn.xlookup(G51, years!A$2:A$836, years!B$2:B$836)</f>
        <v>2001</v>
      </c>
      <c r="I51" s="2" t="n">
        <v>0</v>
      </c>
      <c r="J51" s="0" t="n">
        <v>0.707</v>
      </c>
      <c r="K51" s="0" t="n">
        <v>0.869</v>
      </c>
      <c r="L51" s="3" t="str">
        <f aca="false">IF(K51&gt;0.66,"High",IF(K51&gt;0.33&amp;K51&lt;=0.66,"Medium","Low"))</f>
        <v>High</v>
      </c>
      <c r="M51" s="0" t="n">
        <v>-4.525</v>
      </c>
      <c r="N51" s="3" t="n">
        <v>0.0481</v>
      </c>
      <c r="O51" s="3" t="n">
        <v>0.104</v>
      </c>
      <c r="P51" s="4" t="n">
        <v>0.000121</v>
      </c>
      <c r="Q51" s="3" t="n">
        <v>0.0813</v>
      </c>
      <c r="R51" s="3" t="n">
        <v>0.621</v>
      </c>
      <c r="S51" s="3" t="str">
        <f aca="false">IF(R51 &gt;= 0.5, "Positive", "Negative")</f>
        <v>Positive</v>
      </c>
      <c r="T51" s="2" t="n">
        <v>99.825</v>
      </c>
      <c r="U51" s="0" t="s">
        <v>31</v>
      </c>
    </row>
    <row r="52" customFormat="false" ht="14.25" hidden="false" customHeight="false" outlineLevel="0" collapsed="false">
      <c r="A52" s="0" t="n">
        <v>644</v>
      </c>
      <c r="B52" s="0" t="str">
        <f aca="false">_xlfn.xlookup(A52, artists!A$2:A$836, artists!B$2:B$836)</f>
        <v>The Weeknd</v>
      </c>
      <c r="C52" s="1" t="s">
        <v>89</v>
      </c>
      <c r="D52" s="2" t="n">
        <v>213520</v>
      </c>
      <c r="E52" s="2" t="n">
        <f aca="false">D52/1000</f>
        <v>213.52</v>
      </c>
      <c r="F52" s="10" t="b">
        <f aca="false">FALSE()</f>
        <v>0</v>
      </c>
      <c r="G52" s="0" t="n">
        <v>18</v>
      </c>
      <c r="H52" s="0" t="n">
        <f aca="false">_xlfn.xlookup(G52, years!A$2:A$836, years!B$2:B$836)</f>
        <v>2015</v>
      </c>
      <c r="I52" s="2" t="n">
        <v>79</v>
      </c>
      <c r="J52" s="0" t="n">
        <v>0.705</v>
      </c>
      <c r="K52" s="0" t="n">
        <v>0.769</v>
      </c>
      <c r="L52" s="3" t="str">
        <f aca="false">IF(K52&gt;0.66,"High",IF(K52&gt;0.33&amp;K52&lt;=0.66,"Medium","Low"))</f>
        <v>High</v>
      </c>
      <c r="M52" s="0" t="n">
        <v>-5.526</v>
      </c>
      <c r="N52" s="3" t="n">
        <v>0.0425</v>
      </c>
      <c r="O52" s="3" t="n">
        <v>0.113</v>
      </c>
      <c r="P52" s="4" t="n">
        <v>0</v>
      </c>
      <c r="Q52" s="3" t="n">
        <v>0.105</v>
      </c>
      <c r="R52" s="3" t="n">
        <v>0.583</v>
      </c>
      <c r="S52" s="3" t="str">
        <f aca="false">IF(R52 &gt;= 0.5, "Positive", "Negative")</f>
        <v>Positive</v>
      </c>
      <c r="T52" s="2" t="n">
        <v>107.949</v>
      </c>
      <c r="U52" s="0" t="s">
        <v>33</v>
      </c>
    </row>
    <row r="53" customFormat="false" ht="14.25" hidden="false" customHeight="false" outlineLevel="0" collapsed="false">
      <c r="A53" s="0" t="n">
        <v>57</v>
      </c>
      <c r="B53" s="0" t="str">
        <f aca="false">_xlfn.xlookup(A53, artists!A$2:A$836, artists!B$2:B$836)</f>
        <v>Christina Aguilera</v>
      </c>
      <c r="C53" s="1" t="s">
        <v>90</v>
      </c>
      <c r="D53" s="2" t="n">
        <v>228906</v>
      </c>
      <c r="E53" s="2" t="n">
        <f aca="false">D53/1000</f>
        <v>228.906</v>
      </c>
      <c r="F53" s="10" t="b">
        <f aca="false">FALSE()</f>
        <v>0</v>
      </c>
      <c r="G53" s="0" t="n">
        <v>9</v>
      </c>
      <c r="H53" s="0" t="n">
        <f aca="false">_xlfn.xlookup(G53, years!A$2:A$836, years!B$2:B$836)</f>
        <v>2006</v>
      </c>
      <c r="I53" s="2" t="n">
        <v>63</v>
      </c>
      <c r="J53" s="0" t="n">
        <v>0.862</v>
      </c>
      <c r="K53" s="0" t="n">
        <v>0.742</v>
      </c>
      <c r="L53" s="3" t="str">
        <f aca="false">IF(K53&gt;0.66,"High",IF(K53&gt;0.33&amp;K53&lt;=0.66,"Medium","Low"))</f>
        <v>High</v>
      </c>
      <c r="M53" s="0" t="n">
        <v>-4.722</v>
      </c>
      <c r="N53" s="3" t="n">
        <v>0.222</v>
      </c>
      <c r="O53" s="3" t="n">
        <v>0.00376</v>
      </c>
      <c r="P53" s="4" t="n">
        <v>0.00855</v>
      </c>
      <c r="Q53" s="3" t="n">
        <v>0.103</v>
      </c>
      <c r="R53" s="3" t="n">
        <v>0.511</v>
      </c>
      <c r="S53" s="3" t="str">
        <f aca="false">IF(R53 &gt;= 0.5, "Positive", "Negative")</f>
        <v>Positive</v>
      </c>
      <c r="T53" s="2" t="n">
        <v>127.91</v>
      </c>
      <c r="U53" s="0" t="s">
        <v>39</v>
      </c>
    </row>
    <row r="54" customFormat="false" ht="14.25" hidden="false" customHeight="false" outlineLevel="0" collapsed="false">
      <c r="A54" s="0" t="n">
        <v>655</v>
      </c>
      <c r="B54" s="0" t="str">
        <f aca="false">_xlfn.xlookup(A54, artists!A$2:A$836, artists!B$2:B$836)</f>
        <v>Felix Jaehn</v>
      </c>
      <c r="C54" s="1" t="s">
        <v>91</v>
      </c>
      <c r="D54" s="2" t="n">
        <v>186146</v>
      </c>
      <c r="E54" s="2" t="n">
        <f aca="false">D54/1000</f>
        <v>186.146</v>
      </c>
      <c r="F54" s="10" t="b">
        <f aca="false">FALSE()</f>
        <v>0</v>
      </c>
      <c r="G54" s="0" t="n">
        <v>21</v>
      </c>
      <c r="H54" s="0" t="n">
        <f aca="false">_xlfn.xlookup(G54, years!A$2:A$836, years!B$2:B$836)</f>
        <v>2018</v>
      </c>
      <c r="I54" s="2" t="n">
        <v>72</v>
      </c>
      <c r="J54" s="0" t="n">
        <v>0.778</v>
      </c>
      <c r="K54" s="0" t="n">
        <v>0.566</v>
      </c>
      <c r="L54" s="3" t="str">
        <f aca="false">IF(K54&gt;0.66,"High",IF(K54&gt;0.33&amp;K54&lt;=0.66,"Medium","Low"))</f>
        <v>Low</v>
      </c>
      <c r="M54" s="0" t="n">
        <v>-6.959</v>
      </c>
      <c r="N54" s="3" t="n">
        <v>0.0311</v>
      </c>
      <c r="O54" s="3" t="n">
        <v>0.672</v>
      </c>
      <c r="P54" s="4" t="n">
        <v>0.000197</v>
      </c>
      <c r="Q54" s="3" t="n">
        <v>0.0698</v>
      </c>
      <c r="R54" s="3" t="n">
        <v>0.479</v>
      </c>
      <c r="S54" s="3" t="str">
        <f aca="false">IF(R54 &gt;= 0.5, "Positive", "Negative")</f>
        <v>Negative</v>
      </c>
      <c r="T54" s="2" t="n">
        <v>117.971</v>
      </c>
      <c r="U54" s="0" t="s">
        <v>53</v>
      </c>
    </row>
    <row r="55" customFormat="false" ht="14.25" hidden="false" customHeight="false" outlineLevel="0" collapsed="false">
      <c r="A55" s="0" t="n">
        <v>81</v>
      </c>
      <c r="B55" s="0" t="str">
        <f aca="false">_xlfn.xlookup(A55, artists!A$2:A$836, artists!B$2:B$836)</f>
        <v>Nelly</v>
      </c>
      <c r="C55" s="1" t="s">
        <v>92</v>
      </c>
      <c r="D55" s="2" t="n">
        <v>304000</v>
      </c>
      <c r="E55" s="2" t="n">
        <f aca="false">D55/1000</f>
        <v>304</v>
      </c>
      <c r="F55" s="10" t="b">
        <f aca="false">TRUE()</f>
        <v>1</v>
      </c>
      <c r="G55" s="0" t="n">
        <v>5</v>
      </c>
      <c r="H55" s="0" t="n">
        <f aca="false">_xlfn.xlookup(G55, years!A$2:A$836, years!B$2:B$836)</f>
        <v>2002</v>
      </c>
      <c r="I55" s="2" t="n">
        <v>61</v>
      </c>
      <c r="J55" s="0" t="n">
        <v>0.784</v>
      </c>
      <c r="K55" s="0" t="n">
        <v>0.459</v>
      </c>
      <c r="L55" s="3" t="str">
        <f aca="false">IF(K55&gt;0.66,"High",IF(K55&gt;0.33&amp;K55&lt;=0.66,"Medium","Low"))</f>
        <v>Low</v>
      </c>
      <c r="M55" s="0" t="n">
        <v>-9.74</v>
      </c>
      <c r="N55" s="3" t="n">
        <v>0.317</v>
      </c>
      <c r="O55" s="3" t="n">
        <v>0.0847</v>
      </c>
      <c r="P55" s="4" t="n">
        <v>0</v>
      </c>
      <c r="Q55" s="3" t="n">
        <v>0.079</v>
      </c>
      <c r="R55" s="3" t="n">
        <v>0.618</v>
      </c>
      <c r="S55" s="3" t="str">
        <f aca="false">IF(R55 &gt;= 0.5, "Positive", "Negative")</f>
        <v>Positive</v>
      </c>
      <c r="T55" s="2" t="n">
        <v>164.062</v>
      </c>
      <c r="U55" s="0" t="s">
        <v>31</v>
      </c>
    </row>
    <row r="56" customFormat="false" ht="14.25" hidden="false" customHeight="false" outlineLevel="0" collapsed="false">
      <c r="A56" s="0" t="n">
        <v>492</v>
      </c>
      <c r="B56" s="0" t="str">
        <f aca="false">_xlfn.xlookup(A56, artists!A$2:A$836, artists!B$2:B$836)</f>
        <v>B.o.B</v>
      </c>
      <c r="C56" s="1" t="s">
        <v>93</v>
      </c>
      <c r="D56" s="2" t="n">
        <v>180480</v>
      </c>
      <c r="E56" s="2" t="n">
        <f aca="false">D56/1000</f>
        <v>180.48</v>
      </c>
      <c r="F56" s="10" t="b">
        <f aca="false">TRUE()</f>
        <v>1</v>
      </c>
      <c r="G56" s="0" t="n">
        <v>13</v>
      </c>
      <c r="H56" s="0" t="n">
        <f aca="false">_xlfn.xlookup(G56, years!A$2:A$836, years!B$2:B$836)</f>
        <v>2010</v>
      </c>
      <c r="I56" s="2" t="n">
        <v>74</v>
      </c>
      <c r="J56" s="0" t="n">
        <v>0.66</v>
      </c>
      <c r="K56" s="0" t="n">
        <v>0.867</v>
      </c>
      <c r="L56" s="3" t="str">
        <f aca="false">IF(K56&gt;0.66,"High",IF(K56&gt;0.33&amp;K56&lt;=0.66,"Medium","Low"))</f>
        <v>High</v>
      </c>
      <c r="M56" s="0" t="n">
        <v>-4.285</v>
      </c>
      <c r="N56" s="3" t="n">
        <v>0.116</v>
      </c>
      <c r="O56" s="3" t="n">
        <v>0.11</v>
      </c>
      <c r="P56" s="4" t="n">
        <v>0</v>
      </c>
      <c r="Q56" s="3" t="n">
        <v>0.0368</v>
      </c>
      <c r="R56" s="3" t="n">
        <v>0.377</v>
      </c>
      <c r="S56" s="3" t="str">
        <f aca="false">IF(R56 &gt;= 0.5, "Positive", "Negative")</f>
        <v>Negative</v>
      </c>
      <c r="T56" s="2" t="n">
        <v>93.033</v>
      </c>
      <c r="U56" s="0" t="s">
        <v>24</v>
      </c>
    </row>
    <row r="57" customFormat="false" ht="14.25" hidden="false" customHeight="false" outlineLevel="0" collapsed="false">
      <c r="A57" s="0" t="n">
        <v>698</v>
      </c>
      <c r="B57" s="0" t="str">
        <f aca="false">_xlfn.xlookup(A57, artists!A$2:A$836, artists!B$2:B$836)</f>
        <v>Anne-Marie</v>
      </c>
      <c r="C57" s="1" t="s">
        <v>94</v>
      </c>
      <c r="D57" s="2" t="n">
        <v>205593</v>
      </c>
      <c r="E57" s="2" t="n">
        <f aca="false">D57/1000</f>
        <v>205.593</v>
      </c>
      <c r="F57" s="10" t="b">
        <f aca="false">TRUE()</f>
        <v>1</v>
      </c>
      <c r="G57" s="0" t="n">
        <v>19</v>
      </c>
      <c r="H57" s="0" t="n">
        <f aca="false">_xlfn.xlookup(G57, years!A$2:A$836, years!B$2:B$836)</f>
        <v>2016</v>
      </c>
      <c r="I57" s="2" t="n">
        <v>57</v>
      </c>
      <c r="J57" s="0" t="n">
        <v>0.756</v>
      </c>
      <c r="K57" s="0" t="n">
        <v>0.589</v>
      </c>
      <c r="L57" s="3" t="str">
        <f aca="false">IF(K57&gt;0.66,"High",IF(K57&gt;0.33&amp;K57&lt;=0.66,"Medium","Low"))</f>
        <v>Low</v>
      </c>
      <c r="M57" s="0" t="n">
        <v>-5.093</v>
      </c>
      <c r="N57" s="3" t="n">
        <v>0.232</v>
      </c>
      <c r="O57" s="3" t="n">
        <v>0.0812</v>
      </c>
      <c r="P57" s="4" t="n">
        <v>0</v>
      </c>
      <c r="Q57" s="3" t="n">
        <v>0.176</v>
      </c>
      <c r="R57" s="3" t="n">
        <v>0.811</v>
      </c>
      <c r="S57" s="3" t="str">
        <f aca="false">IF(R57 &gt;= 0.5, "Positive", "Negative")</f>
        <v>Positive</v>
      </c>
      <c r="T57" s="2" t="n">
        <v>146.928</v>
      </c>
      <c r="U57" s="0" t="s">
        <v>22</v>
      </c>
    </row>
    <row r="58" customFormat="false" ht="14.25" hidden="false" customHeight="false" outlineLevel="0" collapsed="false">
      <c r="A58" s="0" t="n">
        <v>437</v>
      </c>
      <c r="B58" s="0" t="str">
        <f aca="false">_xlfn.xlookup(A58, artists!A$2:A$836, artists!B$2:B$836)</f>
        <v>Lady Gaga</v>
      </c>
      <c r="C58" s="1" t="s">
        <v>95</v>
      </c>
      <c r="D58" s="2" t="n">
        <v>274213</v>
      </c>
      <c r="E58" s="2" t="n">
        <f aca="false">D58/1000</f>
        <v>274.213</v>
      </c>
      <c r="F58" s="10" t="b">
        <f aca="false">FALSE()</f>
        <v>0</v>
      </c>
      <c r="G58" s="0" t="n">
        <v>12</v>
      </c>
      <c r="H58" s="0" t="n">
        <f aca="false">_xlfn.xlookup(G58, years!A$2:A$836, years!B$2:B$836)</f>
        <v>2009</v>
      </c>
      <c r="I58" s="2" t="n">
        <v>67</v>
      </c>
      <c r="J58" s="0" t="n">
        <v>0.623</v>
      </c>
      <c r="K58" s="0" t="n">
        <v>0.793</v>
      </c>
      <c r="L58" s="3" t="str">
        <f aca="false">IF(K58&gt;0.66,"High",IF(K58&gt;0.33&amp;K58&lt;=0.66,"Medium","Low"))</f>
        <v>High</v>
      </c>
      <c r="M58" s="0" t="n">
        <v>-6.63</v>
      </c>
      <c r="N58" s="3" t="n">
        <v>0.0462</v>
      </c>
      <c r="O58" s="3" t="n">
        <v>0.000397</v>
      </c>
      <c r="P58" s="4" t="n">
        <v>0.0015</v>
      </c>
      <c r="Q58" s="3" t="n">
        <v>0.375</v>
      </c>
      <c r="R58" s="3" t="n">
        <v>0.36</v>
      </c>
      <c r="S58" s="3" t="str">
        <f aca="false">IF(R58 &gt;= 0.5, "Positive", "Negative")</f>
        <v>Negative</v>
      </c>
      <c r="T58" s="2" t="n">
        <v>98.998</v>
      </c>
      <c r="U58" s="0" t="s">
        <v>39</v>
      </c>
    </row>
    <row r="59" customFormat="false" ht="14.25" hidden="false" customHeight="false" outlineLevel="0" collapsed="false">
      <c r="A59" s="0" t="n">
        <v>607</v>
      </c>
      <c r="B59" s="0" t="str">
        <f aca="false">_xlfn.xlookup(A59, artists!A$2:A$836, artists!B$2:B$836)</f>
        <v>Meghan Trainor</v>
      </c>
      <c r="C59" s="1" t="s">
        <v>96</v>
      </c>
      <c r="D59" s="2" t="n">
        <v>187920</v>
      </c>
      <c r="E59" s="2" t="n">
        <f aca="false">D59/1000</f>
        <v>187.92</v>
      </c>
      <c r="F59" s="10" t="b">
        <f aca="false">TRUE()</f>
        <v>1</v>
      </c>
      <c r="G59" s="0" t="n">
        <v>18</v>
      </c>
      <c r="H59" s="0" t="n">
        <f aca="false">_xlfn.xlookup(G59, years!A$2:A$836, years!B$2:B$836)</f>
        <v>2015</v>
      </c>
      <c r="I59" s="2" t="n">
        <v>72</v>
      </c>
      <c r="J59" s="0" t="n">
        <v>0.807</v>
      </c>
      <c r="K59" s="0" t="n">
        <v>0.887</v>
      </c>
      <c r="L59" s="3" t="str">
        <f aca="false">IF(K59&gt;0.66,"High",IF(K59&gt;0.33&amp;K59&lt;=0.66,"Medium","Low"))</f>
        <v>High</v>
      </c>
      <c r="M59" s="0" t="n">
        <v>-3.726</v>
      </c>
      <c r="N59" s="3" t="n">
        <v>0.0503</v>
      </c>
      <c r="O59" s="3" t="n">
        <v>0.0573</v>
      </c>
      <c r="P59" s="4" t="n">
        <v>2.87E-006</v>
      </c>
      <c r="Q59" s="3" t="n">
        <v>0.124</v>
      </c>
      <c r="R59" s="3" t="n">
        <v>0.961</v>
      </c>
      <c r="S59" s="3" t="str">
        <f aca="false">IF(R59 &gt;= 0.5, "Positive", "Negative")</f>
        <v>Positive</v>
      </c>
      <c r="T59" s="2" t="n">
        <v>134.052</v>
      </c>
      <c r="U59" s="0" t="s">
        <v>39</v>
      </c>
    </row>
    <row r="60" customFormat="false" ht="14.25" hidden="false" customHeight="false" outlineLevel="0" collapsed="false">
      <c r="A60" s="0" t="n">
        <v>728</v>
      </c>
      <c r="B60" s="0" t="str">
        <f aca="false">_xlfn.xlookup(A60, artists!A$2:A$836, artists!B$2:B$836)</f>
        <v>Jax Jones</v>
      </c>
      <c r="C60" s="1" t="s">
        <v>97</v>
      </c>
      <c r="D60" s="2" t="n">
        <v>169303</v>
      </c>
      <c r="E60" s="2" t="n">
        <f aca="false">D60/1000</f>
        <v>169.303</v>
      </c>
      <c r="F60" s="10" t="b">
        <f aca="false">FALSE()</f>
        <v>0</v>
      </c>
      <c r="G60" s="0" t="n">
        <v>22</v>
      </c>
      <c r="H60" s="0" t="n">
        <f aca="false">_xlfn.xlookup(G60, years!A$2:A$836, years!B$2:B$836)</f>
        <v>2019</v>
      </c>
      <c r="I60" s="2" t="n">
        <v>60</v>
      </c>
      <c r="J60" s="0" t="n">
        <v>0.585</v>
      </c>
      <c r="K60" s="0" t="n">
        <v>0.782</v>
      </c>
      <c r="L60" s="3" t="str">
        <f aca="false">IF(K60&gt;0.66,"High",IF(K60&gt;0.33&amp;K60&lt;=0.66,"Medium","Low"))</f>
        <v>High</v>
      </c>
      <c r="M60" s="0" t="n">
        <v>-4.101</v>
      </c>
      <c r="N60" s="3" t="n">
        <v>0.0897</v>
      </c>
      <c r="O60" s="3" t="n">
        <v>0.269</v>
      </c>
      <c r="P60" s="4" t="n">
        <v>0</v>
      </c>
      <c r="Q60" s="3" t="n">
        <v>0.156</v>
      </c>
      <c r="R60" s="3" t="n">
        <v>0.521</v>
      </c>
      <c r="S60" s="3" t="str">
        <f aca="false">IF(R60 &gt;= 0.5, "Positive", "Negative")</f>
        <v>Positive</v>
      </c>
      <c r="T60" s="2" t="n">
        <v>121.908</v>
      </c>
      <c r="U60" s="0" t="s">
        <v>53</v>
      </c>
    </row>
    <row r="61" customFormat="false" ht="14.25" hidden="false" customHeight="false" outlineLevel="0" collapsed="false">
      <c r="A61" s="0" t="n">
        <v>672</v>
      </c>
      <c r="B61" s="0" t="str">
        <f aca="false">_xlfn.xlookup(A61, artists!A$2:A$836, artists!B$2:B$836)</f>
        <v>Meek Mill</v>
      </c>
      <c r="C61" s="1" t="s">
        <v>98</v>
      </c>
      <c r="D61" s="2" t="n">
        <v>223973</v>
      </c>
      <c r="E61" s="2" t="n">
        <f aca="false">D61/1000</f>
        <v>223.973</v>
      </c>
      <c r="F61" s="10" t="b">
        <f aca="false">TRUE()</f>
        <v>1</v>
      </c>
      <c r="G61" s="0" t="n">
        <v>18</v>
      </c>
      <c r="H61" s="0" t="n">
        <f aca="false">_xlfn.xlookup(G61, years!A$2:A$836, years!B$2:B$836)</f>
        <v>2015</v>
      </c>
      <c r="I61" s="2" t="n">
        <v>68</v>
      </c>
      <c r="J61" s="0" t="n">
        <v>0.589</v>
      </c>
      <c r="K61" s="0" t="n">
        <v>0.658</v>
      </c>
      <c r="L61" s="3" t="str">
        <f aca="false">IF(K61&gt;0.66,"High",IF(K61&gt;0.33&amp;K61&lt;=0.66,"Medium","Low"))</f>
        <v>Low</v>
      </c>
      <c r="M61" s="0" t="n">
        <v>-5.288</v>
      </c>
      <c r="N61" s="3" t="n">
        <v>0.203</v>
      </c>
      <c r="O61" s="3" t="n">
        <v>0.0242</v>
      </c>
      <c r="P61" s="4" t="n">
        <v>0</v>
      </c>
      <c r="Q61" s="3" t="n">
        <v>0.118</v>
      </c>
      <c r="R61" s="3" t="n">
        <v>0.251</v>
      </c>
      <c r="S61" s="3" t="str">
        <f aca="false">IF(R61 &gt;= 0.5, "Positive", "Negative")</f>
        <v>Negative</v>
      </c>
      <c r="T61" s="2" t="n">
        <v>77.521</v>
      </c>
      <c r="U61" s="0" t="s">
        <v>24</v>
      </c>
    </row>
    <row r="62" customFormat="false" ht="14.25" hidden="false" customHeight="false" outlineLevel="0" collapsed="false">
      <c r="A62" s="0" t="n">
        <v>269</v>
      </c>
      <c r="B62" s="0" t="str">
        <f aca="false">_xlfn.xlookup(A62, artists!A$2:A$836, artists!B$2:B$836)</f>
        <v>Kanye West</v>
      </c>
      <c r="C62" s="1" t="s">
        <v>99</v>
      </c>
      <c r="D62" s="2" t="n">
        <v>223506</v>
      </c>
      <c r="E62" s="2" t="n">
        <f aca="false">D62/1000</f>
        <v>223.506</v>
      </c>
      <c r="F62" s="10" t="b">
        <f aca="false">TRUE()</f>
        <v>1</v>
      </c>
      <c r="G62" s="0" t="n">
        <v>7</v>
      </c>
      <c r="H62" s="0" t="n">
        <f aca="false">_xlfn.xlookup(G62, years!A$2:A$836, years!B$2:B$836)</f>
        <v>2004</v>
      </c>
      <c r="I62" s="2" t="n">
        <v>80</v>
      </c>
      <c r="J62" s="0" t="n">
        <v>0.657</v>
      </c>
      <c r="K62" s="0" t="n">
        <v>0.734</v>
      </c>
      <c r="L62" s="3" t="str">
        <f aca="false">IF(K62&gt;0.66,"High",IF(K62&gt;0.33&amp;K62&lt;=0.66,"Medium","Low"))</f>
        <v>High</v>
      </c>
      <c r="M62" s="0" t="n">
        <v>-4.832</v>
      </c>
      <c r="N62" s="3" t="n">
        <v>0.484</v>
      </c>
      <c r="O62" s="3" t="n">
        <v>0.149</v>
      </c>
      <c r="P62" s="4" t="n">
        <v>0</v>
      </c>
      <c r="Q62" s="3" t="n">
        <v>0.139</v>
      </c>
      <c r="R62" s="3" t="n">
        <v>0.434</v>
      </c>
      <c r="S62" s="3" t="str">
        <f aca="false">IF(R62 &gt;= 0.5, "Positive", "Negative")</f>
        <v>Negative</v>
      </c>
      <c r="T62" s="2" t="n">
        <v>91.03</v>
      </c>
      <c r="U62" s="0" t="s">
        <v>29</v>
      </c>
    </row>
    <row r="63" customFormat="false" ht="14.25" hidden="false" customHeight="false" outlineLevel="0" collapsed="false">
      <c r="A63" s="0" t="n">
        <v>47</v>
      </c>
      <c r="B63" s="0" t="str">
        <f aca="false">_xlfn.xlookup(A63, artists!A$2:A$836, artists!B$2:B$836)</f>
        <v>Janet Jackson</v>
      </c>
      <c r="C63" s="1" t="s">
        <v>100</v>
      </c>
      <c r="D63" s="2" t="n">
        <v>329933</v>
      </c>
      <c r="E63" s="2" t="n">
        <f aca="false">D63/1000</f>
        <v>329.933</v>
      </c>
      <c r="F63" s="10" t="b">
        <f aca="false">FALSE()</f>
        <v>0</v>
      </c>
      <c r="G63" s="0" t="n">
        <v>4</v>
      </c>
      <c r="H63" s="0" t="n">
        <f aca="false">_xlfn.xlookup(G63, years!A$2:A$836, years!B$2:B$836)</f>
        <v>2001</v>
      </c>
      <c r="I63" s="2" t="n">
        <v>65</v>
      </c>
      <c r="J63" s="0" t="n">
        <v>0.753</v>
      </c>
      <c r="K63" s="0" t="n">
        <v>0.934</v>
      </c>
      <c r="L63" s="3" t="str">
        <f aca="false">IF(K63&gt;0.66,"High",IF(K63&gt;0.33&amp;K63&lt;=0.66,"Medium","Low"))</f>
        <v>High</v>
      </c>
      <c r="M63" s="0" t="n">
        <v>-3.011</v>
      </c>
      <c r="N63" s="3" t="n">
        <v>0.0736</v>
      </c>
      <c r="O63" s="3" t="n">
        <v>0.0174</v>
      </c>
      <c r="P63" s="4" t="n">
        <v>0.065</v>
      </c>
      <c r="Q63" s="3" t="n">
        <v>0.128</v>
      </c>
      <c r="R63" s="3" t="n">
        <v>0.73</v>
      </c>
      <c r="S63" s="3" t="str">
        <f aca="false">IF(R63 &gt;= 0.5, "Positive", "Negative")</f>
        <v>Positive</v>
      </c>
      <c r="T63" s="2" t="n">
        <v>113.525</v>
      </c>
      <c r="U63" s="0" t="s">
        <v>33</v>
      </c>
    </row>
    <row r="64" customFormat="false" ht="14.25" hidden="false" customHeight="false" outlineLevel="0" collapsed="false">
      <c r="A64" s="0" t="n">
        <v>490</v>
      </c>
      <c r="B64" s="0" t="str">
        <f aca="false">_xlfn.xlookup(A64, artists!A$2:A$836, artists!B$2:B$836)</f>
        <v>DJ Khaled</v>
      </c>
      <c r="C64" s="1" t="s">
        <v>101</v>
      </c>
      <c r="D64" s="2" t="n">
        <v>232506</v>
      </c>
      <c r="E64" s="2" t="n">
        <f aca="false">D64/1000</f>
        <v>232.506</v>
      </c>
      <c r="F64" s="10" t="b">
        <f aca="false">TRUE()</f>
        <v>1</v>
      </c>
      <c r="G64" s="0" t="n">
        <v>13</v>
      </c>
      <c r="H64" s="0" t="n">
        <f aca="false">_xlfn.xlookup(G64, years!A$2:A$836, years!B$2:B$836)</f>
        <v>2010</v>
      </c>
      <c r="I64" s="2" t="n">
        <v>51</v>
      </c>
      <c r="J64" s="0" t="n">
        <v>0.544</v>
      </c>
      <c r="K64" s="0" t="n">
        <v>0.781</v>
      </c>
      <c r="L64" s="3" t="str">
        <f aca="false">IF(K64&gt;0.66,"High",IF(K64&gt;0.33&amp;K64&lt;=0.66,"Medium","Low"))</f>
        <v>High</v>
      </c>
      <c r="M64" s="0" t="n">
        <v>-3.616</v>
      </c>
      <c r="N64" s="3" t="n">
        <v>0.189</v>
      </c>
      <c r="O64" s="3" t="n">
        <v>0.014</v>
      </c>
      <c r="P64" s="4" t="n">
        <v>0</v>
      </c>
      <c r="Q64" s="3" t="n">
        <v>0.161</v>
      </c>
      <c r="R64" s="3" t="n">
        <v>0.277</v>
      </c>
      <c r="S64" s="3" t="str">
        <f aca="false">IF(R64 &gt;= 0.5, "Positive", "Negative")</f>
        <v>Negative</v>
      </c>
      <c r="T64" s="2" t="n">
        <v>150.1</v>
      </c>
      <c r="U64" s="0" t="s">
        <v>24</v>
      </c>
    </row>
    <row r="65" customFormat="false" ht="14.25" hidden="false" customHeight="false" outlineLevel="0" collapsed="false">
      <c r="A65" s="0" t="n">
        <v>192</v>
      </c>
      <c r="B65" s="0" t="str">
        <f aca="false">_xlfn.xlookup(A65, artists!A$2:A$836, artists!B$2:B$836)</f>
        <v>Beyoncé</v>
      </c>
      <c r="C65" s="1" t="s">
        <v>102</v>
      </c>
      <c r="D65" s="2" t="n">
        <v>244826</v>
      </c>
      <c r="E65" s="2" t="n">
        <f aca="false">D65/1000</f>
        <v>244.826</v>
      </c>
      <c r="F65" s="10" t="b">
        <f aca="false">FALSE()</f>
        <v>0</v>
      </c>
      <c r="G65" s="0" t="n">
        <v>6</v>
      </c>
      <c r="H65" s="0" t="n">
        <f aca="false">_xlfn.xlookup(G65, years!A$2:A$836, years!B$2:B$836)</f>
        <v>2003</v>
      </c>
      <c r="I65" s="2" t="n">
        <v>63</v>
      </c>
      <c r="J65" s="0" t="n">
        <v>0.655</v>
      </c>
      <c r="K65" s="0" t="n">
        <v>0.488</v>
      </c>
      <c r="L65" s="3" t="str">
        <f aca="false">IF(K65&gt;0.66,"High",IF(K65&gt;0.33&amp;K65&lt;=0.66,"Medium","Low"))</f>
        <v>Low</v>
      </c>
      <c r="M65" s="0" t="n">
        <v>-9.17</v>
      </c>
      <c r="N65" s="3" t="n">
        <v>0.22</v>
      </c>
      <c r="O65" s="3" t="n">
        <v>0.0825</v>
      </c>
      <c r="P65" s="4" t="n">
        <v>1.16E-006</v>
      </c>
      <c r="Q65" s="3" t="n">
        <v>0.221</v>
      </c>
      <c r="R65" s="3" t="n">
        <v>0.791</v>
      </c>
      <c r="S65" s="3" t="str">
        <f aca="false">IF(R65 &gt;= 0.5, "Positive", "Negative")</f>
        <v>Positive</v>
      </c>
      <c r="T65" s="2" t="n">
        <v>91.025</v>
      </c>
      <c r="U65" s="0" t="s">
        <v>33</v>
      </c>
    </row>
    <row r="66" customFormat="false" ht="14.25" hidden="false" customHeight="false" outlineLevel="0" collapsed="false">
      <c r="A66" s="0" t="n">
        <v>100</v>
      </c>
      <c r="B66" s="0" t="str">
        <f aca="false">_xlfn.xlookup(A66, artists!A$2:A$836, artists!B$2:B$836)</f>
        <v>Jennifer Lopez</v>
      </c>
      <c r="C66" s="1" t="s">
        <v>103</v>
      </c>
      <c r="D66" s="2" t="n">
        <v>254466</v>
      </c>
      <c r="E66" s="2" t="n">
        <f aca="false">D66/1000</f>
        <v>254.466</v>
      </c>
      <c r="F66" s="10" t="b">
        <f aca="false">FALSE()</f>
        <v>0</v>
      </c>
      <c r="G66" s="0" t="n">
        <v>5</v>
      </c>
      <c r="H66" s="0" t="n">
        <f aca="false">_xlfn.xlookup(G66, years!A$2:A$836, years!B$2:B$836)</f>
        <v>2002</v>
      </c>
      <c r="I66" s="2" t="n">
        <v>60</v>
      </c>
      <c r="J66" s="0" t="n">
        <v>0.701</v>
      </c>
      <c r="K66" s="0" t="n">
        <v>0.669</v>
      </c>
      <c r="L66" s="3" t="str">
        <f aca="false">IF(K66&gt;0.66,"High",IF(K66&gt;0.33&amp;K66&lt;=0.66,"Medium","Low"))</f>
        <v>High</v>
      </c>
      <c r="M66" s="0" t="n">
        <v>-5.265</v>
      </c>
      <c r="N66" s="3" t="n">
        <v>0.107</v>
      </c>
      <c r="O66" s="3" t="n">
        <v>0.271</v>
      </c>
      <c r="P66" s="4" t="n">
        <v>0</v>
      </c>
      <c r="Q66" s="3" t="n">
        <v>0.158</v>
      </c>
      <c r="R66" s="3" t="n">
        <v>0.446</v>
      </c>
      <c r="S66" s="3" t="str">
        <f aca="false">IF(R66 &gt;= 0.5, "Positive", "Negative")</f>
        <v>Negative</v>
      </c>
      <c r="T66" s="2" t="n">
        <v>83.066</v>
      </c>
      <c r="U66" s="0" t="s">
        <v>31</v>
      </c>
    </row>
    <row r="67" customFormat="false" ht="14.25" hidden="false" customHeight="false" outlineLevel="0" collapsed="false">
      <c r="A67" s="0" t="n">
        <v>125</v>
      </c>
      <c r="B67" s="0" t="str">
        <f aca="false">_xlfn.xlookup(A67, artists!A$2:A$836, artists!B$2:B$836)</f>
        <v>Mis-Teeq</v>
      </c>
      <c r="C67" s="1" t="s">
        <v>104</v>
      </c>
      <c r="D67" s="2" t="n">
        <v>207400</v>
      </c>
      <c r="E67" s="2" t="n">
        <f aca="false">D67/1000</f>
        <v>207.4</v>
      </c>
      <c r="F67" s="10" t="b">
        <f aca="false">FALSE()</f>
        <v>0</v>
      </c>
      <c r="G67" s="0" t="n">
        <v>7</v>
      </c>
      <c r="H67" s="0" t="n">
        <f aca="false">_xlfn.xlookup(G67, years!A$2:A$836, years!B$2:B$836)</f>
        <v>2004</v>
      </c>
      <c r="I67" s="2" t="n">
        <v>46</v>
      </c>
      <c r="J67" s="0" t="n">
        <v>0.795</v>
      </c>
      <c r="K67" s="0" t="n">
        <v>0.919</v>
      </c>
      <c r="L67" s="3" t="str">
        <f aca="false">IF(K67&gt;0.66,"High",IF(K67&gt;0.33&amp;K67&lt;=0.66,"Medium","Low"))</f>
        <v>High</v>
      </c>
      <c r="M67" s="0" t="n">
        <v>-3.07</v>
      </c>
      <c r="N67" s="3" t="n">
        <v>0.0835</v>
      </c>
      <c r="O67" s="3" t="n">
        <v>0.37</v>
      </c>
      <c r="P67" s="4" t="n">
        <v>0.00863</v>
      </c>
      <c r="Q67" s="3" t="n">
        <v>0.189</v>
      </c>
      <c r="R67" s="3" t="n">
        <v>0.96</v>
      </c>
      <c r="S67" s="3" t="str">
        <f aca="false">IF(R67 &gt;= 0.5, "Positive", "Negative")</f>
        <v>Positive</v>
      </c>
      <c r="T67" s="2" t="n">
        <v>134.079</v>
      </c>
      <c r="U67" s="0" t="s">
        <v>22</v>
      </c>
    </row>
    <row r="68" customFormat="false" ht="14.25" hidden="false" customHeight="false" outlineLevel="0" collapsed="false">
      <c r="A68" s="0" t="n">
        <v>542</v>
      </c>
      <c r="B68" s="0" t="str">
        <f aca="false">_xlfn.xlookup(A68, artists!A$2:A$836, artists!B$2:B$836)</f>
        <v>Avicii</v>
      </c>
      <c r="C68" s="1" t="s">
        <v>105</v>
      </c>
      <c r="D68" s="2" t="n">
        <v>230613</v>
      </c>
      <c r="E68" s="2" t="n">
        <f aca="false">D68/1000</f>
        <v>230.613</v>
      </c>
      <c r="F68" s="10" t="b">
        <f aca="false">FALSE()</f>
        <v>0</v>
      </c>
      <c r="G68" s="0" t="n">
        <v>18</v>
      </c>
      <c r="H68" s="0" t="n">
        <f aca="false">_xlfn.xlookup(G68, years!A$2:A$836, years!B$2:B$836)</f>
        <v>2015</v>
      </c>
      <c r="I68" s="2" t="n">
        <v>79</v>
      </c>
      <c r="J68" s="0" t="n">
        <v>0.579</v>
      </c>
      <c r="K68" s="0" t="n">
        <v>0.736</v>
      </c>
      <c r="L68" s="3" t="str">
        <f aca="false">IF(K68&gt;0.66,"High",IF(K68&gt;0.33&amp;K68&lt;=0.66,"Medium","Low"))</f>
        <v>High</v>
      </c>
      <c r="M68" s="0" t="n">
        <v>-3.863</v>
      </c>
      <c r="N68" s="3" t="n">
        <v>0.0527</v>
      </c>
      <c r="O68" s="3" t="n">
        <v>0.31</v>
      </c>
      <c r="P68" s="4" t="n">
        <v>0</v>
      </c>
      <c r="Q68" s="3" t="n">
        <v>0.198</v>
      </c>
      <c r="R68" s="3" t="n">
        <v>0.613</v>
      </c>
      <c r="S68" s="3" t="str">
        <f aca="false">IF(R68 &gt;= 0.5, "Positive", "Negative")</f>
        <v>Positive</v>
      </c>
      <c r="T68" s="2" t="n">
        <v>127.999</v>
      </c>
      <c r="U68" s="0" t="s">
        <v>22</v>
      </c>
    </row>
    <row r="69" customFormat="false" ht="14.25" hidden="false" customHeight="false" outlineLevel="0" collapsed="false">
      <c r="A69" s="0" t="n">
        <v>744</v>
      </c>
      <c r="B69" s="0" t="str">
        <f aca="false">_xlfn.xlookup(A69, artists!A$2:A$836, artists!B$2:B$836)</f>
        <v>The Vamps</v>
      </c>
      <c r="C69" s="1" t="s">
        <v>106</v>
      </c>
      <c r="D69" s="2" t="n">
        <v>197640</v>
      </c>
      <c r="E69" s="2" t="n">
        <f aca="false">D69/1000</f>
        <v>197.64</v>
      </c>
      <c r="F69" s="10" t="b">
        <f aca="false">FALSE()</f>
        <v>0</v>
      </c>
      <c r="G69" s="0" t="n">
        <v>20</v>
      </c>
      <c r="H69" s="0" t="n">
        <f aca="false">_xlfn.xlookup(G69, years!A$2:A$836, years!B$2:B$836)</f>
        <v>2017</v>
      </c>
      <c r="I69" s="2" t="n">
        <v>73</v>
      </c>
      <c r="J69" s="0" t="n">
        <v>0.538</v>
      </c>
      <c r="K69" s="0" t="n">
        <v>0.804</v>
      </c>
      <c r="L69" s="3" t="str">
        <f aca="false">IF(K69&gt;0.66,"High",IF(K69&gt;0.33&amp;K69&lt;=0.66,"Medium","Low"))</f>
        <v>High</v>
      </c>
      <c r="M69" s="0" t="n">
        <v>-5.194</v>
      </c>
      <c r="N69" s="3" t="n">
        <v>0.0358</v>
      </c>
      <c r="O69" s="3" t="n">
        <v>0.0041</v>
      </c>
      <c r="P69" s="4" t="n">
        <v>0</v>
      </c>
      <c r="Q69" s="3" t="n">
        <v>0.33</v>
      </c>
      <c r="R69" s="3" t="n">
        <v>0.507</v>
      </c>
      <c r="S69" s="3" t="str">
        <f aca="false">IF(R69 &gt;= 0.5, "Positive", "Negative")</f>
        <v>Positive</v>
      </c>
      <c r="T69" s="2" t="n">
        <v>144.992</v>
      </c>
      <c r="U69" s="0" t="s">
        <v>39</v>
      </c>
    </row>
    <row r="70" customFormat="false" ht="14.25" hidden="false" customHeight="false" outlineLevel="0" collapsed="false">
      <c r="A70" s="0" t="n">
        <v>433</v>
      </c>
      <c r="B70" s="0" t="str">
        <f aca="false">_xlfn.xlookup(A70, artists!A$2:A$836, artists!B$2:B$836)</f>
        <v>John Legend</v>
      </c>
      <c r="C70" s="1" t="s">
        <v>107</v>
      </c>
      <c r="D70" s="2" t="n">
        <v>269560</v>
      </c>
      <c r="E70" s="2" t="n">
        <f aca="false">D70/1000</f>
        <v>269.56</v>
      </c>
      <c r="F70" s="10" t="b">
        <f aca="false">FALSE()</f>
        <v>0</v>
      </c>
      <c r="G70" s="0" t="n">
        <v>16</v>
      </c>
      <c r="H70" s="0" t="n">
        <f aca="false">_xlfn.xlookup(G70, years!A$2:A$836, years!B$2:B$836)</f>
        <v>2013</v>
      </c>
      <c r="I70" s="2" t="n">
        <v>84</v>
      </c>
      <c r="J70" s="0" t="n">
        <v>0.422</v>
      </c>
      <c r="K70" s="0" t="n">
        <v>0.264</v>
      </c>
      <c r="L70" s="3" t="str">
        <f aca="false">IF(K70&gt;0.66,"High",IF(K70&gt;0.33&amp;K70&lt;=0.66,"Medium","Low"))</f>
        <v>Low</v>
      </c>
      <c r="M70" s="0" t="n">
        <v>-7.064</v>
      </c>
      <c r="N70" s="3" t="n">
        <v>0.0322</v>
      </c>
      <c r="O70" s="3" t="n">
        <v>0.922</v>
      </c>
      <c r="P70" s="4" t="n">
        <v>0</v>
      </c>
      <c r="Q70" s="3" t="n">
        <v>0.132</v>
      </c>
      <c r="R70" s="3" t="n">
        <v>0.331</v>
      </c>
      <c r="S70" s="3" t="str">
        <f aca="false">IF(R70 &gt;= 0.5, "Positive", "Negative")</f>
        <v>Negative</v>
      </c>
      <c r="T70" s="2" t="n">
        <v>119.93</v>
      </c>
      <c r="U70" s="0" t="s">
        <v>33</v>
      </c>
    </row>
    <row r="71" customFormat="false" ht="14.25" hidden="false" customHeight="false" outlineLevel="0" collapsed="false">
      <c r="A71" s="0" t="n">
        <v>269</v>
      </c>
      <c r="B71" s="0" t="str">
        <f aca="false">_xlfn.xlookup(A71, artists!A$2:A$836, artists!B$2:B$836)</f>
        <v>Kanye West</v>
      </c>
      <c r="C71" s="1" t="s">
        <v>108</v>
      </c>
      <c r="D71" s="2" t="n">
        <v>299613</v>
      </c>
      <c r="E71" s="2" t="n">
        <f aca="false">D71/1000</f>
        <v>299.613</v>
      </c>
      <c r="F71" s="10" t="b">
        <f aca="false">TRUE()</f>
        <v>1</v>
      </c>
      <c r="G71" s="0" t="n">
        <v>13</v>
      </c>
      <c r="H71" s="0" t="n">
        <f aca="false">_xlfn.xlookup(G71, years!A$2:A$836, years!B$2:B$836)</f>
        <v>2010</v>
      </c>
      <c r="I71" s="2" t="n">
        <v>76</v>
      </c>
      <c r="J71" s="0" t="n">
        <v>0.531</v>
      </c>
      <c r="K71" s="0" t="n">
        <v>0.803</v>
      </c>
      <c r="L71" s="3" t="str">
        <f aca="false">IF(K71&gt;0.66,"High",IF(K71&gt;0.33&amp;K71&lt;=0.66,"Medium","Low"))</f>
        <v>High</v>
      </c>
      <c r="M71" s="0" t="n">
        <v>-3.284</v>
      </c>
      <c r="N71" s="3" t="n">
        <v>0.0717</v>
      </c>
      <c r="O71" s="3" t="n">
        <v>0.0796</v>
      </c>
      <c r="P71" s="4" t="n">
        <v>1.71E-005</v>
      </c>
      <c r="Q71" s="3" t="n">
        <v>0.176</v>
      </c>
      <c r="R71" s="3" t="n">
        <v>0.221</v>
      </c>
      <c r="S71" s="3" t="str">
        <f aca="false">IF(R71 &gt;= 0.5, "Positive", "Negative")</f>
        <v>Negative</v>
      </c>
      <c r="T71" s="2" t="n">
        <v>142.113</v>
      </c>
      <c r="U71" s="0" t="s">
        <v>29</v>
      </c>
    </row>
    <row r="72" customFormat="false" ht="14.25" hidden="false" customHeight="false" outlineLevel="0" collapsed="false">
      <c r="A72" s="0" t="n">
        <v>192</v>
      </c>
      <c r="B72" s="0" t="str">
        <f aca="false">_xlfn.xlookup(A72, artists!A$2:A$836, artists!B$2:B$836)</f>
        <v>Beyoncé</v>
      </c>
      <c r="C72" s="1" t="s">
        <v>109</v>
      </c>
      <c r="D72" s="2" t="n">
        <v>301133</v>
      </c>
      <c r="E72" s="2" t="n">
        <f aca="false">D72/1000</f>
        <v>301.133</v>
      </c>
      <c r="F72" s="10" t="b">
        <f aca="false">FALSE()</f>
        <v>0</v>
      </c>
      <c r="G72" s="0" t="n">
        <v>6</v>
      </c>
      <c r="H72" s="0" t="n">
        <f aca="false">_xlfn.xlookup(G72, years!A$2:A$836, years!B$2:B$836)</f>
        <v>2003</v>
      </c>
      <c r="I72" s="2" t="n">
        <v>62</v>
      </c>
      <c r="J72" s="0" t="n">
        <v>0.75</v>
      </c>
      <c r="K72" s="0" t="n">
        <v>0.458</v>
      </c>
      <c r="L72" s="3" t="str">
        <f aca="false">IF(K72&gt;0.66,"High",IF(K72&gt;0.33&amp;K72&lt;=0.66,"Medium","Low"))</f>
        <v>Low</v>
      </c>
      <c r="M72" s="0" t="n">
        <v>-9.092</v>
      </c>
      <c r="N72" s="3" t="n">
        <v>0.0803</v>
      </c>
      <c r="O72" s="3" t="n">
        <v>0.226</v>
      </c>
      <c r="P72" s="4" t="n">
        <v>3.25E-005</v>
      </c>
      <c r="Q72" s="3" t="n">
        <v>0.137</v>
      </c>
      <c r="R72" s="3" t="n">
        <v>0.536</v>
      </c>
      <c r="S72" s="3" t="str">
        <f aca="false">IF(R72 &gt;= 0.5, "Positive", "Negative")</f>
        <v>Positive</v>
      </c>
      <c r="T72" s="2" t="n">
        <v>83.61</v>
      </c>
      <c r="U72" s="0" t="s">
        <v>33</v>
      </c>
    </row>
    <row r="73" customFormat="false" ht="14.25" hidden="false" customHeight="false" outlineLevel="0" collapsed="false">
      <c r="A73" s="0" t="n">
        <v>425</v>
      </c>
      <c r="B73" s="0" t="str">
        <f aca="false">_xlfn.xlookup(A73, artists!A$2:A$836, artists!B$2:B$836)</f>
        <v>OneRepublic</v>
      </c>
      <c r="C73" s="1" t="s">
        <v>110</v>
      </c>
      <c r="D73" s="2" t="n">
        <v>238000</v>
      </c>
      <c r="E73" s="2" t="n">
        <f aca="false">D73/1000</f>
        <v>238</v>
      </c>
      <c r="F73" s="10" t="b">
        <f aca="false">FALSE()</f>
        <v>0</v>
      </c>
      <c r="G73" s="0" t="n">
        <v>12</v>
      </c>
      <c r="H73" s="0" t="n">
        <f aca="false">_xlfn.xlookup(G73, years!A$2:A$836, years!B$2:B$836)</f>
        <v>2009</v>
      </c>
      <c r="I73" s="2" t="n">
        <v>65</v>
      </c>
      <c r="J73" s="0" t="n">
        <v>0.529</v>
      </c>
      <c r="K73" s="0" t="n">
        <v>0.948</v>
      </c>
      <c r="L73" s="3" t="str">
        <f aca="false">IF(K73&gt;0.66,"High",IF(K73&gt;0.33&amp;K73&lt;=0.66,"Medium","Low"))</f>
        <v>High</v>
      </c>
      <c r="M73" s="0" t="n">
        <v>-3.527</v>
      </c>
      <c r="N73" s="3" t="n">
        <v>0.0474</v>
      </c>
      <c r="O73" s="3" t="n">
        <v>0.258</v>
      </c>
      <c r="P73" s="4" t="n">
        <v>9.35E-006</v>
      </c>
      <c r="Q73" s="3" t="n">
        <v>0.283</v>
      </c>
      <c r="R73" s="3" t="n">
        <v>0.65</v>
      </c>
      <c r="S73" s="3" t="str">
        <f aca="false">IF(R73 &gt;= 0.5, "Positive", "Negative")</f>
        <v>Positive</v>
      </c>
      <c r="T73" s="2" t="n">
        <v>146.024</v>
      </c>
      <c r="U73" s="0" t="s">
        <v>39</v>
      </c>
    </row>
    <row r="74" customFormat="false" ht="14.25" hidden="false" customHeight="false" outlineLevel="0" collapsed="false">
      <c r="A74" s="0" t="n">
        <v>173</v>
      </c>
      <c r="B74" s="0" t="str">
        <f aca="false">_xlfn.xlookup(A74, artists!A$2:A$836, artists!B$2:B$836)</f>
        <v>Big Brovaz</v>
      </c>
      <c r="C74" s="1" t="s">
        <v>111</v>
      </c>
      <c r="D74" s="2" t="n">
        <v>201480</v>
      </c>
      <c r="E74" s="2" t="n">
        <f aca="false">D74/1000</f>
        <v>201.48</v>
      </c>
      <c r="F74" s="10" t="b">
        <f aca="false">FALSE()</f>
        <v>0</v>
      </c>
      <c r="G74" s="0" t="n">
        <v>4</v>
      </c>
      <c r="H74" s="0" t="n">
        <f aca="false">_xlfn.xlookup(G74, years!A$2:A$836, years!B$2:B$836)</f>
        <v>2001</v>
      </c>
      <c r="I74" s="2" t="n">
        <v>45</v>
      </c>
      <c r="J74" s="0" t="n">
        <v>0.783</v>
      </c>
      <c r="K74" s="0" t="n">
        <v>0.726</v>
      </c>
      <c r="L74" s="3" t="str">
        <f aca="false">IF(K74&gt;0.66,"High",IF(K74&gt;0.33&amp;K74&lt;=0.66,"Medium","Low"))</f>
        <v>High</v>
      </c>
      <c r="M74" s="0" t="n">
        <v>-8.718</v>
      </c>
      <c r="N74" s="3" t="n">
        <v>0.106</v>
      </c>
      <c r="O74" s="3" t="n">
        <v>0.0903</v>
      </c>
      <c r="P74" s="4" t="n">
        <v>2.53E-006</v>
      </c>
      <c r="Q74" s="3" t="n">
        <v>0.363</v>
      </c>
      <c r="R74" s="3" t="n">
        <v>0.784</v>
      </c>
      <c r="S74" s="3" t="str">
        <f aca="false">IF(R74 &gt;= 0.5, "Positive", "Negative")</f>
        <v>Positive</v>
      </c>
      <c r="T74" s="2" t="n">
        <v>148.062</v>
      </c>
      <c r="U74" s="0" t="s">
        <v>39</v>
      </c>
    </row>
    <row r="75" customFormat="false" ht="14.25" hidden="false" customHeight="false" outlineLevel="0" collapsed="false">
      <c r="A75" s="0" t="n">
        <v>539</v>
      </c>
      <c r="B75" s="0" t="str">
        <f aca="false">_xlfn.xlookup(A75, artists!A$2:A$836, artists!B$2:B$836)</f>
        <v>Kendrick Lamar</v>
      </c>
      <c r="C75" s="1" t="s">
        <v>112</v>
      </c>
      <c r="D75" s="2" t="n">
        <v>232186</v>
      </c>
      <c r="E75" s="2" t="n">
        <f aca="false">D75/1000</f>
        <v>232.186</v>
      </c>
      <c r="F75" s="10" t="b">
        <f aca="false">TRUE()</f>
        <v>1</v>
      </c>
      <c r="G75" s="0" t="n">
        <v>21</v>
      </c>
      <c r="H75" s="0" t="n">
        <f aca="false">_xlfn.xlookup(G75, years!A$2:A$836, years!B$2:B$836)</f>
        <v>2018</v>
      </c>
      <c r="I75" s="2" t="n">
        <v>80</v>
      </c>
      <c r="J75" s="0" t="n">
        <v>0.698</v>
      </c>
      <c r="K75" s="0" t="n">
        <v>0.633</v>
      </c>
      <c r="L75" s="3" t="str">
        <f aca="false">IF(K75&gt;0.66,"High",IF(K75&gt;0.33&amp;K75&lt;=0.66,"Medium","Low"))</f>
        <v>Low</v>
      </c>
      <c r="M75" s="0" t="n">
        <v>-4.946</v>
      </c>
      <c r="N75" s="3" t="n">
        <v>0.0597</v>
      </c>
      <c r="O75" s="3" t="n">
        <v>0.0605</v>
      </c>
      <c r="P75" s="4" t="n">
        <v>0.000194</v>
      </c>
      <c r="Q75" s="3" t="n">
        <v>0.0926</v>
      </c>
      <c r="R75" s="3" t="n">
        <v>0.552</v>
      </c>
      <c r="S75" s="3" t="str">
        <f aca="false">IF(R75 &gt;= 0.5, "Positive", "Negative")</f>
        <v>Positive</v>
      </c>
      <c r="T75" s="2" t="n">
        <v>96.924</v>
      </c>
      <c r="U75" s="0" t="s">
        <v>29</v>
      </c>
    </row>
    <row r="76" customFormat="false" ht="14.25" hidden="false" customHeight="false" outlineLevel="0" collapsed="false">
      <c r="A76" s="0" t="n">
        <v>195</v>
      </c>
      <c r="B76" s="0" t="str">
        <f aca="false">_xlfn.xlookup(A76, artists!A$2:A$836, artists!B$2:B$836)</f>
        <v>t.A.T.u.</v>
      </c>
      <c r="C76" s="1" t="s">
        <v>113</v>
      </c>
      <c r="D76" s="2" t="n">
        <v>214440</v>
      </c>
      <c r="E76" s="2" t="n">
        <f aca="false">D76/1000</f>
        <v>214.44</v>
      </c>
      <c r="F76" s="10" t="b">
        <f aca="false">TRUE()</f>
        <v>1</v>
      </c>
      <c r="G76" s="0" t="n">
        <v>23</v>
      </c>
      <c r="H76" s="0" t="n">
        <f aca="false">_xlfn.xlookup(G76, years!A$2:A$836, years!B$2:B$836)</f>
        <v>2020</v>
      </c>
      <c r="I76" s="2" t="n">
        <v>39</v>
      </c>
      <c r="J76" s="0" t="n">
        <v>0.527</v>
      </c>
      <c r="K76" s="0" t="n">
        <v>0.834</v>
      </c>
      <c r="L76" s="3" t="str">
        <f aca="false">IF(K76&gt;0.66,"High",IF(K76&gt;0.33&amp;K76&lt;=0.66,"Medium","Low"))</f>
        <v>High</v>
      </c>
      <c r="M76" s="0" t="n">
        <v>-5.767</v>
      </c>
      <c r="N76" s="3" t="n">
        <v>0.0474</v>
      </c>
      <c r="O76" s="3" t="n">
        <v>0.0411</v>
      </c>
      <c r="P76" s="4" t="n">
        <v>0.00599</v>
      </c>
      <c r="Q76" s="3" t="n">
        <v>0.105</v>
      </c>
      <c r="R76" s="3" t="n">
        <v>0.381</v>
      </c>
      <c r="S76" s="3" t="str">
        <f aca="false">IF(R76 &gt;= 0.5, "Positive", "Negative")</f>
        <v>Negative</v>
      </c>
      <c r="T76" s="2" t="n">
        <v>179.92</v>
      </c>
      <c r="U76" s="0" t="s">
        <v>39</v>
      </c>
    </row>
    <row r="77" customFormat="false" ht="14.25" hidden="false" customHeight="false" outlineLevel="0" collapsed="false">
      <c r="A77" s="0" t="n">
        <v>497</v>
      </c>
      <c r="B77" s="0" t="str">
        <f aca="false">_xlfn.xlookup(A77, artists!A$2:A$836, artists!B$2:B$836)</f>
        <v>The Wanted</v>
      </c>
      <c r="C77" s="1" t="s">
        <v>114</v>
      </c>
      <c r="D77" s="2" t="n">
        <v>205200</v>
      </c>
      <c r="E77" s="2" t="n">
        <f aca="false">D77/1000</f>
        <v>205.2</v>
      </c>
      <c r="F77" s="10" t="b">
        <f aca="false">FALSE()</f>
        <v>0</v>
      </c>
      <c r="G77" s="0" t="n">
        <v>13</v>
      </c>
      <c r="H77" s="0" t="n">
        <f aca="false">_xlfn.xlookup(G77, years!A$2:A$836, years!B$2:B$836)</f>
        <v>2010</v>
      </c>
      <c r="I77" s="2" t="n">
        <v>18</v>
      </c>
      <c r="J77" s="0" t="n">
        <v>0.689</v>
      </c>
      <c r="K77" s="0" t="n">
        <v>0.615</v>
      </c>
      <c r="L77" s="3" t="str">
        <f aca="false">IF(K77&gt;0.66,"High",IF(K77&gt;0.33&amp;K77&lt;=0.66,"Medium","Low"))</f>
        <v>Low</v>
      </c>
      <c r="M77" s="0" t="n">
        <v>-5.022</v>
      </c>
      <c r="N77" s="3" t="n">
        <v>0.0563</v>
      </c>
      <c r="O77" s="3" t="n">
        <v>0.352</v>
      </c>
      <c r="P77" s="4" t="n">
        <v>0</v>
      </c>
      <c r="Q77" s="3" t="n">
        <v>0.0789</v>
      </c>
      <c r="R77" s="3" t="n">
        <v>0.783</v>
      </c>
      <c r="S77" s="3" t="str">
        <f aca="false">IF(R77 &gt;= 0.5, "Positive", "Negative")</f>
        <v>Positive</v>
      </c>
      <c r="T77" s="2" t="n">
        <v>134.036</v>
      </c>
      <c r="U77" s="0" t="s">
        <v>22</v>
      </c>
    </row>
    <row r="78" customFormat="false" ht="14.25" hidden="false" customHeight="false" outlineLevel="0" collapsed="false">
      <c r="A78" s="0" t="n">
        <v>691</v>
      </c>
      <c r="B78" s="0" t="str">
        <f aca="false">_xlfn.xlookup(A78, artists!A$2:A$836, artists!B$2:B$836)</f>
        <v>Jon Bellion</v>
      </c>
      <c r="C78" s="1" t="s">
        <v>114</v>
      </c>
      <c r="D78" s="2" t="n">
        <v>217603</v>
      </c>
      <c r="E78" s="2" t="n">
        <f aca="false">D78/1000</f>
        <v>217.603</v>
      </c>
      <c r="F78" s="10" t="b">
        <f aca="false">TRUE()</f>
        <v>1</v>
      </c>
      <c r="G78" s="0" t="n">
        <v>19</v>
      </c>
      <c r="H78" s="0" t="n">
        <f aca="false">_xlfn.xlookup(G78, years!A$2:A$836, years!B$2:B$836)</f>
        <v>2016</v>
      </c>
      <c r="I78" s="2" t="n">
        <v>70</v>
      </c>
      <c r="J78" s="0" t="n">
        <v>0.617</v>
      </c>
      <c r="K78" s="0" t="n">
        <v>0.567</v>
      </c>
      <c r="L78" s="3" t="str">
        <f aca="false">IF(K78&gt;0.66,"High",IF(K78&gt;0.33&amp;K78&lt;=0.66,"Medium","Low"))</f>
        <v>Low</v>
      </c>
      <c r="M78" s="0" t="n">
        <v>-4.188</v>
      </c>
      <c r="N78" s="3" t="n">
        <v>0.0828</v>
      </c>
      <c r="O78" s="3" t="n">
        <v>0.0584</v>
      </c>
      <c r="P78" s="4" t="n">
        <v>0</v>
      </c>
      <c r="Q78" s="3" t="n">
        <v>0.0933</v>
      </c>
      <c r="R78" s="3" t="n">
        <v>0.505</v>
      </c>
      <c r="S78" s="3" t="str">
        <f aca="false">IF(R78 &gt;= 0.5, "Positive", "Negative")</f>
        <v>Positive</v>
      </c>
      <c r="T78" s="2" t="n">
        <v>90.246</v>
      </c>
      <c r="U78" s="0" t="s">
        <v>24</v>
      </c>
    </row>
    <row r="79" customFormat="false" ht="14.25" hidden="false" customHeight="false" outlineLevel="0" collapsed="false">
      <c r="A79" s="0" t="n">
        <v>190</v>
      </c>
      <c r="B79" s="0" t="str">
        <f aca="false">_xlfn.xlookup(A79, artists!A$2:A$836, artists!B$2:B$836)</f>
        <v>Michelle Branch</v>
      </c>
      <c r="C79" s="1" t="s">
        <v>115</v>
      </c>
      <c r="D79" s="2" t="n">
        <v>217680</v>
      </c>
      <c r="E79" s="2" t="n">
        <f aca="false">D79/1000</f>
        <v>217.68</v>
      </c>
      <c r="F79" s="10" t="b">
        <f aca="false">FALSE()</f>
        <v>0</v>
      </c>
      <c r="G79" s="0" t="n">
        <v>4</v>
      </c>
      <c r="H79" s="0" t="n">
        <f aca="false">_xlfn.xlookup(G79, years!A$2:A$836, years!B$2:B$836)</f>
        <v>2001</v>
      </c>
      <c r="I79" s="2" t="n">
        <v>60</v>
      </c>
      <c r="J79" s="0" t="n">
        <v>0.499</v>
      </c>
      <c r="K79" s="0" t="n">
        <v>0.72</v>
      </c>
      <c r="L79" s="3" t="str">
        <f aca="false">IF(K79&gt;0.66,"High",IF(K79&gt;0.33&amp;K79&lt;=0.66,"Medium","Low"))</f>
        <v>High</v>
      </c>
      <c r="M79" s="0" t="n">
        <v>-9.101</v>
      </c>
      <c r="N79" s="3" t="n">
        <v>0.0286</v>
      </c>
      <c r="O79" s="3" t="n">
        <v>0.00466</v>
      </c>
      <c r="P79" s="4" t="n">
        <v>0.00303</v>
      </c>
      <c r="Q79" s="3" t="n">
        <v>0.122</v>
      </c>
      <c r="R79" s="3" t="n">
        <v>0.652</v>
      </c>
      <c r="S79" s="3" t="str">
        <f aca="false">IF(R79 &gt;= 0.5, "Positive", "Negative")</f>
        <v>Positive</v>
      </c>
      <c r="T79" s="2" t="n">
        <v>96.103</v>
      </c>
      <c r="U79" s="0" t="s">
        <v>116</v>
      </c>
    </row>
    <row r="80" customFormat="false" ht="14.25" hidden="false" customHeight="false" outlineLevel="0" collapsed="false">
      <c r="A80" s="0" t="n">
        <v>298</v>
      </c>
      <c r="B80" s="0" t="str">
        <f aca="false">_xlfn.xlookup(A80, artists!A$2:A$836, artists!B$2:B$836)</f>
        <v>Brian McFadden</v>
      </c>
      <c r="C80" s="1" t="s">
        <v>117</v>
      </c>
      <c r="D80" s="2" t="n">
        <v>229826</v>
      </c>
      <c r="E80" s="2" t="n">
        <f aca="false">D80/1000</f>
        <v>229.826</v>
      </c>
      <c r="F80" s="10" t="b">
        <f aca="false">FALSE()</f>
        <v>0</v>
      </c>
      <c r="G80" s="0" t="n">
        <v>7</v>
      </c>
      <c r="H80" s="0" t="n">
        <f aca="false">_xlfn.xlookup(G80, years!A$2:A$836, years!B$2:B$836)</f>
        <v>2004</v>
      </c>
      <c r="I80" s="2" t="n">
        <v>42</v>
      </c>
      <c r="J80" s="0" t="n">
        <v>0.561</v>
      </c>
      <c r="K80" s="0" t="n">
        <v>0.452</v>
      </c>
      <c r="L80" s="3" t="str">
        <f aca="false">IF(K80&gt;0.66,"High",IF(K80&gt;0.33&amp;K80&lt;=0.66,"Medium","Low"))</f>
        <v>Low</v>
      </c>
      <c r="M80" s="0" t="n">
        <v>-7.324</v>
      </c>
      <c r="N80" s="3" t="n">
        <v>0.0336</v>
      </c>
      <c r="O80" s="3" t="n">
        <v>0.409</v>
      </c>
      <c r="P80" s="4" t="n">
        <v>0</v>
      </c>
      <c r="Q80" s="3" t="n">
        <v>0.106</v>
      </c>
      <c r="R80" s="3" t="n">
        <v>0.316</v>
      </c>
      <c r="S80" s="3" t="str">
        <f aca="false">IF(R80 &gt;= 0.5, "Positive", "Negative")</f>
        <v>Negative</v>
      </c>
      <c r="T80" s="2" t="n">
        <v>77.984</v>
      </c>
      <c r="U80" s="0" t="s">
        <v>118</v>
      </c>
    </row>
    <row r="81" customFormat="false" ht="14.25" hidden="false" customHeight="false" outlineLevel="0" collapsed="false">
      <c r="A81" s="0" t="n">
        <v>675</v>
      </c>
      <c r="B81" s="0" t="str">
        <f aca="false">_xlfn.xlookup(A81, artists!A$2:A$836, artists!B$2:B$836)</f>
        <v>Shawn Mendes</v>
      </c>
      <c r="C81" s="1" t="s">
        <v>119</v>
      </c>
      <c r="D81" s="2" t="n">
        <v>206880</v>
      </c>
      <c r="E81" s="2" t="n">
        <f aca="false">D81/1000</f>
        <v>206.88</v>
      </c>
      <c r="F81" s="10" t="b">
        <f aca="false">FALSE()</f>
        <v>0</v>
      </c>
      <c r="G81" s="0" t="n">
        <v>18</v>
      </c>
      <c r="H81" s="0" t="n">
        <f aca="false">_xlfn.xlookup(G81, years!A$2:A$836, years!B$2:B$836)</f>
        <v>2015</v>
      </c>
      <c r="I81" s="2" t="n">
        <v>78</v>
      </c>
      <c r="J81" s="0" t="n">
        <v>0.746</v>
      </c>
      <c r="K81" s="0" t="n">
        <v>0.754</v>
      </c>
      <c r="L81" s="3" t="str">
        <f aca="false">IF(K81&gt;0.66,"High",IF(K81&gt;0.33&amp;K81&lt;=0.66,"Medium","Low"))</f>
        <v>High</v>
      </c>
      <c r="M81" s="0" t="n">
        <v>-6.684</v>
      </c>
      <c r="N81" s="3" t="n">
        <v>0.0676</v>
      </c>
      <c r="O81" s="3" t="n">
        <v>0.0152</v>
      </c>
      <c r="P81" s="4" t="n">
        <v>0</v>
      </c>
      <c r="Q81" s="3" t="n">
        <v>0.0486</v>
      </c>
      <c r="R81" s="3" t="n">
        <v>0.746</v>
      </c>
      <c r="S81" s="3" t="str">
        <f aca="false">IF(R81 &gt;= 0.5, "Positive", "Negative")</f>
        <v>Positive</v>
      </c>
      <c r="T81" s="2" t="n">
        <v>149.882</v>
      </c>
      <c r="U81" s="0" t="s">
        <v>39</v>
      </c>
    </row>
    <row r="82" customFormat="false" ht="14.25" hidden="false" customHeight="false" outlineLevel="0" collapsed="false">
      <c r="A82" s="0" t="n">
        <v>470</v>
      </c>
      <c r="B82" s="0" t="str">
        <f aca="false">_xlfn.xlookup(A82, artists!A$2:A$836, artists!B$2:B$836)</f>
        <v>Stromae</v>
      </c>
      <c r="C82" s="1" t="s">
        <v>120</v>
      </c>
      <c r="D82" s="2" t="n">
        <v>206066</v>
      </c>
      <c r="E82" s="2" t="n">
        <f aca="false">D82/1000</f>
        <v>206.066</v>
      </c>
      <c r="F82" s="10" t="b">
        <f aca="false">FALSE()</f>
        <v>0</v>
      </c>
      <c r="G82" s="0" t="n">
        <v>13</v>
      </c>
      <c r="H82" s="0" t="n">
        <f aca="false">_xlfn.xlookup(G82, years!A$2:A$836, years!B$2:B$836)</f>
        <v>2010</v>
      </c>
      <c r="I82" s="2" t="n">
        <v>77</v>
      </c>
      <c r="J82" s="0" t="n">
        <v>0.791</v>
      </c>
      <c r="K82" s="0" t="n">
        <v>0.59</v>
      </c>
      <c r="L82" s="3" t="str">
        <f aca="false">IF(K82&gt;0.66,"High",IF(K82&gt;0.33&amp;K82&lt;=0.66,"Medium","Low"))</f>
        <v>Low</v>
      </c>
      <c r="M82" s="0" t="n">
        <v>-9.206</v>
      </c>
      <c r="N82" s="3" t="n">
        <v>0.0793</v>
      </c>
      <c r="O82" s="3" t="n">
        <v>0.0994</v>
      </c>
      <c r="P82" s="4" t="n">
        <v>0.00203</v>
      </c>
      <c r="Q82" s="3" t="n">
        <v>0.065</v>
      </c>
      <c r="R82" s="3" t="n">
        <v>0.714</v>
      </c>
      <c r="S82" s="3" t="str">
        <f aca="false">IF(R82 &gt;= 0.5, "Positive", "Negative")</f>
        <v>Positive</v>
      </c>
      <c r="T82" s="2" t="n">
        <v>119.951</v>
      </c>
      <c r="U82" s="0" t="s">
        <v>39</v>
      </c>
    </row>
    <row r="83" customFormat="false" ht="14.25" hidden="false" customHeight="false" outlineLevel="0" collapsed="false">
      <c r="A83" s="0" t="n">
        <v>230</v>
      </c>
      <c r="B83" s="0" t="str">
        <f aca="false">_xlfn.xlookup(A83, artists!A$2:A$836, artists!B$2:B$836)</f>
        <v>Kelly Clarkson</v>
      </c>
      <c r="C83" s="1" t="s">
        <v>121</v>
      </c>
      <c r="D83" s="2" t="n">
        <v>281560</v>
      </c>
      <c r="E83" s="2" t="n">
        <f aca="false">D83/1000</f>
        <v>281.56</v>
      </c>
      <c r="F83" s="10" t="b">
        <f aca="false">FALSE()</f>
        <v>0</v>
      </c>
      <c r="G83" s="0" t="n">
        <v>12</v>
      </c>
      <c r="H83" s="0" t="n">
        <f aca="false">_xlfn.xlookup(G83, years!A$2:A$836, years!B$2:B$836)</f>
        <v>2009</v>
      </c>
      <c r="I83" s="2" t="n">
        <v>56</v>
      </c>
      <c r="J83" s="0" t="n">
        <v>0.209</v>
      </c>
      <c r="K83" s="0" t="n">
        <v>0.872</v>
      </c>
      <c r="L83" s="3" t="str">
        <f aca="false">IF(K83&gt;0.66,"High",IF(K83&gt;0.33&amp;K83&lt;=0.66,"Medium","Low"))</f>
        <v>High</v>
      </c>
      <c r="M83" s="0" t="n">
        <v>-2.996</v>
      </c>
      <c r="N83" s="3" t="n">
        <v>0.0757</v>
      </c>
      <c r="O83" s="3" t="n">
        <v>0.217</v>
      </c>
      <c r="P83" s="4" t="n">
        <v>0</v>
      </c>
      <c r="Q83" s="3" t="n">
        <v>0.0768</v>
      </c>
      <c r="R83" s="3" t="n">
        <v>0.294</v>
      </c>
      <c r="S83" s="3" t="str">
        <f aca="false">IF(R83 &gt;= 0.5, "Positive", "Negative")</f>
        <v>Negative</v>
      </c>
      <c r="T83" s="2" t="n">
        <v>78.139</v>
      </c>
      <c r="U83" s="0" t="s">
        <v>33</v>
      </c>
    </row>
    <row r="84" customFormat="false" ht="14.25" hidden="false" customHeight="false" outlineLevel="0" collapsed="false">
      <c r="A84" s="0" t="n">
        <v>132</v>
      </c>
      <c r="B84" s="0" t="str">
        <f aca="false">_xlfn.xlookup(A84, artists!A$2:A$836, artists!B$2:B$836)</f>
        <v>Ja Rule</v>
      </c>
      <c r="C84" s="1" t="s">
        <v>122</v>
      </c>
      <c r="D84" s="2" t="n">
        <v>245133</v>
      </c>
      <c r="E84" s="2" t="n">
        <f aca="false">D84/1000</f>
        <v>245.133</v>
      </c>
      <c r="F84" s="10" t="b">
        <f aca="false">TRUE()</f>
        <v>1</v>
      </c>
      <c r="G84" s="0" t="n">
        <v>4</v>
      </c>
      <c r="H84" s="0" t="n">
        <f aca="false">_xlfn.xlookup(G84, years!A$2:A$836, years!B$2:B$836)</f>
        <v>2001</v>
      </c>
      <c r="I84" s="2" t="n">
        <v>73</v>
      </c>
      <c r="J84" s="0" t="n">
        <v>0.839</v>
      </c>
      <c r="K84" s="0" t="n">
        <v>0.706</v>
      </c>
      <c r="L84" s="3" t="str">
        <f aca="false">IF(K84&gt;0.66,"High",IF(K84&gt;0.33&amp;K84&lt;=0.66,"Medium","Low"))</f>
        <v>High</v>
      </c>
      <c r="M84" s="0" t="n">
        <v>-6.104</v>
      </c>
      <c r="N84" s="3" t="n">
        <v>0.199</v>
      </c>
      <c r="O84" s="3" t="n">
        <v>0.208</v>
      </c>
      <c r="P84" s="4" t="n">
        <v>0</v>
      </c>
      <c r="Q84" s="3" t="n">
        <v>0.242</v>
      </c>
      <c r="R84" s="3" t="n">
        <v>0.839</v>
      </c>
      <c r="S84" s="3" t="str">
        <f aca="false">IF(R84 &gt;= 0.5, "Positive", "Negative")</f>
        <v>Positive</v>
      </c>
      <c r="T84" s="2" t="n">
        <v>96.673</v>
      </c>
      <c r="U84" s="0" t="s">
        <v>31</v>
      </c>
    </row>
    <row r="85" customFormat="false" ht="14.25" hidden="false" customHeight="false" outlineLevel="0" collapsed="false">
      <c r="A85" s="0" t="n">
        <v>616</v>
      </c>
      <c r="B85" s="0" t="str">
        <f aca="false">_xlfn.xlookup(A85, artists!A$2:A$836, artists!B$2:B$836)</f>
        <v>Nico &amp; Vinz</v>
      </c>
      <c r="C85" s="1" t="s">
        <v>123</v>
      </c>
      <c r="D85" s="2" t="n">
        <v>245866</v>
      </c>
      <c r="E85" s="2" t="n">
        <f aca="false">D85/1000</f>
        <v>245.866</v>
      </c>
      <c r="F85" s="10" t="b">
        <f aca="false">FALSE()</f>
        <v>0</v>
      </c>
      <c r="G85" s="0" t="n">
        <v>17</v>
      </c>
      <c r="H85" s="0" t="n">
        <f aca="false">_xlfn.xlookup(G85, years!A$2:A$836, years!B$2:B$836)</f>
        <v>2014</v>
      </c>
      <c r="I85" s="2" t="n">
        <v>76</v>
      </c>
      <c r="J85" s="0" t="n">
        <v>0.729</v>
      </c>
      <c r="K85" s="0" t="n">
        <v>0.675</v>
      </c>
      <c r="L85" s="3" t="str">
        <f aca="false">IF(K85&gt;0.66,"High",IF(K85&gt;0.33&amp;K85&lt;=0.66,"Medium","Low"))</f>
        <v>High</v>
      </c>
      <c r="M85" s="0" t="n">
        <v>-6.003</v>
      </c>
      <c r="N85" s="3" t="n">
        <v>0.0312</v>
      </c>
      <c r="O85" s="3" t="n">
        <v>0.175</v>
      </c>
      <c r="P85" s="4" t="n">
        <v>1.58E-006</v>
      </c>
      <c r="Q85" s="3" t="n">
        <v>0.55</v>
      </c>
      <c r="R85" s="3" t="n">
        <v>0.779</v>
      </c>
      <c r="S85" s="3" t="str">
        <f aca="false">IF(R85 &gt;= 0.5, "Positive", "Negative")</f>
        <v>Positive</v>
      </c>
      <c r="T85" s="2" t="n">
        <v>119.968</v>
      </c>
      <c r="U85" s="0" t="s">
        <v>24</v>
      </c>
    </row>
    <row r="86" customFormat="false" ht="14.25" hidden="false" customHeight="false" outlineLevel="0" collapsed="false">
      <c r="A86" s="0" t="n">
        <v>108</v>
      </c>
      <c r="B86" s="0" t="str">
        <f aca="false">_xlfn.xlookup(A86, artists!A$2:A$836, artists!B$2:B$836)</f>
        <v>Christina Milian</v>
      </c>
      <c r="C86" s="1" t="s">
        <v>124</v>
      </c>
      <c r="D86" s="2" t="n">
        <v>231213</v>
      </c>
      <c r="E86" s="2" t="n">
        <f aca="false">D86/1000</f>
        <v>231.213</v>
      </c>
      <c r="F86" s="10" t="b">
        <f aca="false">FALSE()</f>
        <v>0</v>
      </c>
      <c r="G86" s="0" t="n">
        <v>4</v>
      </c>
      <c r="H86" s="0" t="n">
        <f aca="false">_xlfn.xlookup(G86, years!A$2:A$836, years!B$2:B$836)</f>
        <v>2001</v>
      </c>
      <c r="I86" s="2" t="n">
        <v>60</v>
      </c>
      <c r="J86" s="0" t="n">
        <v>0.872</v>
      </c>
      <c r="K86" s="0" t="n">
        <v>0.868</v>
      </c>
      <c r="L86" s="3" t="str">
        <f aca="false">IF(K86&gt;0.66,"High",IF(K86&gt;0.33&amp;K86&lt;=0.66,"Medium","Low"))</f>
        <v>High</v>
      </c>
      <c r="M86" s="0" t="n">
        <v>-3.036</v>
      </c>
      <c r="N86" s="3" t="n">
        <v>0.12</v>
      </c>
      <c r="O86" s="3" t="n">
        <v>0.153</v>
      </c>
      <c r="P86" s="4" t="n">
        <v>2.26E-005</v>
      </c>
      <c r="Q86" s="3" t="n">
        <v>0.843</v>
      </c>
      <c r="R86" s="3" t="n">
        <v>0.822</v>
      </c>
      <c r="S86" s="3" t="str">
        <f aca="false">IF(R86 &gt;= 0.5, "Positive", "Negative")</f>
        <v>Positive</v>
      </c>
      <c r="T86" s="2" t="n">
        <v>105.005</v>
      </c>
      <c r="U86" s="0" t="s">
        <v>31</v>
      </c>
    </row>
    <row r="87" customFormat="false" ht="14.25" hidden="false" customHeight="false" outlineLevel="0" collapsed="false">
      <c r="A87" s="0" t="n">
        <v>252</v>
      </c>
      <c r="B87" s="0" t="str">
        <f aca="false">_xlfn.xlookup(A87, artists!A$2:A$836, artists!B$2:B$836)</f>
        <v>George Michael</v>
      </c>
      <c r="C87" s="1" t="s">
        <v>125</v>
      </c>
      <c r="D87" s="2" t="n">
        <v>265826</v>
      </c>
      <c r="E87" s="2" t="n">
        <f aca="false">D87/1000</f>
        <v>265.826</v>
      </c>
      <c r="F87" s="10" t="b">
        <f aca="false">FALSE()</f>
        <v>0</v>
      </c>
      <c r="G87" s="0" t="n">
        <v>7</v>
      </c>
      <c r="H87" s="0" t="n">
        <f aca="false">_xlfn.xlookup(G87, years!A$2:A$836, years!B$2:B$836)</f>
        <v>2004</v>
      </c>
      <c r="I87" s="2" t="n">
        <v>57</v>
      </c>
      <c r="J87" s="0" t="n">
        <v>0.805</v>
      </c>
      <c r="K87" s="0" t="n">
        <v>0.754</v>
      </c>
      <c r="L87" s="3" t="str">
        <f aca="false">IF(K87&gt;0.66,"High",IF(K87&gt;0.33&amp;K87&lt;=0.66,"Medium","Low"))</f>
        <v>High</v>
      </c>
      <c r="M87" s="0" t="n">
        <v>-6.825</v>
      </c>
      <c r="N87" s="3" t="n">
        <v>0.0394</v>
      </c>
      <c r="O87" s="3" t="n">
        <v>0.0884</v>
      </c>
      <c r="P87" s="4" t="n">
        <v>1.77E-006</v>
      </c>
      <c r="Q87" s="3" t="n">
        <v>0.117</v>
      </c>
      <c r="R87" s="3" t="n">
        <v>0.88</v>
      </c>
      <c r="S87" s="3" t="str">
        <f aca="false">IF(R87 &gt;= 0.5, "Positive", "Negative")</f>
        <v>Positive</v>
      </c>
      <c r="T87" s="2" t="n">
        <v>128.429</v>
      </c>
      <c r="U87" s="0" t="s">
        <v>118</v>
      </c>
    </row>
    <row r="88" customFormat="false" ht="14.25" hidden="false" customHeight="false" outlineLevel="0" collapsed="false">
      <c r="A88" s="0" t="n">
        <v>352</v>
      </c>
      <c r="B88" s="0" t="str">
        <f aca="false">_xlfn.xlookup(A88, artists!A$2:A$836, artists!B$2:B$836)</f>
        <v>Razorlight</v>
      </c>
      <c r="C88" s="1" t="s">
        <v>126</v>
      </c>
      <c r="D88" s="2" t="n">
        <v>249760</v>
      </c>
      <c r="E88" s="2" t="n">
        <f aca="false">D88/1000</f>
        <v>249.76</v>
      </c>
      <c r="F88" s="10" t="b">
        <f aca="false">FALSE()</f>
        <v>0</v>
      </c>
      <c r="G88" s="0" t="n">
        <v>9</v>
      </c>
      <c r="H88" s="0" t="n">
        <f aca="false">_xlfn.xlookup(G88, years!A$2:A$836, years!B$2:B$836)</f>
        <v>2006</v>
      </c>
      <c r="I88" s="2" t="n">
        <v>67</v>
      </c>
      <c r="J88" s="0" t="n">
        <v>0.447</v>
      </c>
      <c r="K88" s="0" t="n">
        <v>0.568</v>
      </c>
      <c r="L88" s="3" t="str">
        <f aca="false">IF(K88&gt;0.66,"High",IF(K88&gt;0.33&amp;K88&lt;=0.66,"Medium","Low"))</f>
        <v>Low</v>
      </c>
      <c r="M88" s="0" t="n">
        <v>-4.975</v>
      </c>
      <c r="N88" s="3" t="n">
        <v>0.0305</v>
      </c>
      <c r="O88" s="3" t="n">
        <v>0.295</v>
      </c>
      <c r="P88" s="4" t="n">
        <v>3.26E-006</v>
      </c>
      <c r="Q88" s="3" t="n">
        <v>0.355</v>
      </c>
      <c r="R88" s="3" t="n">
        <v>0.149</v>
      </c>
      <c r="S88" s="3" t="str">
        <f aca="false">IF(R88 &gt;= 0.5, "Positive", "Negative")</f>
        <v>Negative</v>
      </c>
      <c r="T88" s="2" t="n">
        <v>90.933</v>
      </c>
      <c r="U88" s="0" t="s">
        <v>35</v>
      </c>
    </row>
    <row r="89" customFormat="false" ht="14.25" hidden="false" customHeight="false" outlineLevel="0" collapsed="false">
      <c r="A89" s="0" t="n">
        <v>412</v>
      </c>
      <c r="B89" s="0" t="str">
        <f aca="false">_xlfn.xlookup(A89, artists!A$2:A$836, artists!B$2:B$836)</f>
        <v>Estelle</v>
      </c>
      <c r="C89" s="1" t="s">
        <v>127</v>
      </c>
      <c r="D89" s="2" t="n">
        <v>284733</v>
      </c>
      <c r="E89" s="2" t="n">
        <f aca="false">D89/1000</f>
        <v>284.733</v>
      </c>
      <c r="F89" s="10" t="b">
        <f aca="false">TRUE()</f>
        <v>1</v>
      </c>
      <c r="G89" s="0" t="n">
        <v>11</v>
      </c>
      <c r="H89" s="0" t="n">
        <f aca="false">_xlfn.xlookup(G89, years!A$2:A$836, years!B$2:B$836)</f>
        <v>2008</v>
      </c>
      <c r="I89" s="2" t="n">
        <v>78</v>
      </c>
      <c r="J89" s="0" t="n">
        <v>0.727</v>
      </c>
      <c r="K89" s="0" t="n">
        <v>0.729</v>
      </c>
      <c r="L89" s="3" t="str">
        <f aca="false">IF(K89&gt;0.66,"High",IF(K89&gt;0.33&amp;K89&lt;=0.66,"Medium","Low"))</f>
        <v>High</v>
      </c>
      <c r="M89" s="0" t="n">
        <v>-2.99</v>
      </c>
      <c r="N89" s="3" t="n">
        <v>0.326</v>
      </c>
      <c r="O89" s="3" t="n">
        <v>0.171</v>
      </c>
      <c r="P89" s="4" t="n">
        <v>0</v>
      </c>
      <c r="Q89" s="3" t="n">
        <v>0.07</v>
      </c>
      <c r="R89" s="3" t="n">
        <v>0.512</v>
      </c>
      <c r="S89" s="3" t="str">
        <f aca="false">IF(R89 &gt;= 0.5, "Positive", "Negative")</f>
        <v>Positive</v>
      </c>
      <c r="T89" s="2" t="n">
        <v>117.932</v>
      </c>
      <c r="U89" s="0" t="s">
        <v>128</v>
      </c>
    </row>
    <row r="90" customFormat="false" ht="14.25" hidden="false" customHeight="false" outlineLevel="0" collapsed="false">
      <c r="A90" s="0" t="n">
        <v>271</v>
      </c>
      <c r="B90" s="0" t="str">
        <f aca="false">_xlfn.xlookup(A90, artists!A$2:A$836, artists!B$2:B$836)</f>
        <v>Green Day</v>
      </c>
      <c r="C90" s="1" t="s">
        <v>129</v>
      </c>
      <c r="D90" s="2" t="n">
        <v>176346</v>
      </c>
      <c r="E90" s="2" t="n">
        <f aca="false">D90/1000</f>
        <v>176.346</v>
      </c>
      <c r="F90" s="10" t="b">
        <f aca="false">TRUE()</f>
        <v>1</v>
      </c>
      <c r="G90" s="0" t="n">
        <v>7</v>
      </c>
      <c r="H90" s="0" t="n">
        <f aca="false">_xlfn.xlookup(G90, years!A$2:A$836, years!B$2:B$836)</f>
        <v>2004</v>
      </c>
      <c r="I90" s="2" t="n">
        <v>77</v>
      </c>
      <c r="J90" s="0" t="n">
        <v>0.38</v>
      </c>
      <c r="K90" s="0" t="n">
        <v>0.988</v>
      </c>
      <c r="L90" s="3" t="str">
        <f aca="false">IF(K90&gt;0.66,"High",IF(K90&gt;0.33&amp;K90&lt;=0.66,"Medium","Low"))</f>
        <v>High</v>
      </c>
      <c r="M90" s="0" t="n">
        <v>-2.042</v>
      </c>
      <c r="N90" s="3" t="n">
        <v>0.0639</v>
      </c>
      <c r="O90" s="3" t="n">
        <v>2.64E-005</v>
      </c>
      <c r="P90" s="4" t="n">
        <v>7.86E-005</v>
      </c>
      <c r="Q90" s="3" t="n">
        <v>0.368</v>
      </c>
      <c r="R90" s="3" t="n">
        <v>0.769</v>
      </c>
      <c r="S90" s="3" t="str">
        <f aca="false">IF(R90 &gt;= 0.5, "Positive", "Negative")</f>
        <v>Positive</v>
      </c>
      <c r="T90" s="2" t="n">
        <v>186.113</v>
      </c>
      <c r="U90" s="0" t="s">
        <v>43</v>
      </c>
    </row>
    <row r="91" customFormat="false" ht="14.25" hidden="false" customHeight="false" outlineLevel="0" collapsed="false">
      <c r="A91" s="0" t="n">
        <v>31</v>
      </c>
      <c r="B91" s="0" t="str">
        <f aca="false">_xlfn.xlookup(A91, artists!A$2:A$836, artists!B$2:B$836)</f>
        <v>Madonna</v>
      </c>
      <c r="C91" s="1" t="s">
        <v>130</v>
      </c>
      <c r="D91" s="2" t="n">
        <v>273533</v>
      </c>
      <c r="E91" s="2" t="n">
        <f aca="false">D91/1000</f>
        <v>273.533</v>
      </c>
      <c r="F91" s="10" t="b">
        <f aca="false">FALSE()</f>
        <v>0</v>
      </c>
      <c r="G91" s="0" t="n">
        <v>3</v>
      </c>
      <c r="H91" s="0" t="n">
        <f aca="false">_xlfn.xlookup(G91, years!A$2:A$836, years!B$2:B$836)</f>
        <v>2000</v>
      </c>
      <c r="I91" s="2" t="n">
        <v>58</v>
      </c>
      <c r="J91" s="0" t="n">
        <v>0.631</v>
      </c>
      <c r="K91" s="0" t="n">
        <v>0.734</v>
      </c>
      <c r="L91" s="3" t="str">
        <f aca="false">IF(K91&gt;0.66,"High",IF(K91&gt;0.33&amp;K91&lt;=0.66,"Medium","Low"))</f>
        <v>High</v>
      </c>
      <c r="M91" s="0" t="n">
        <v>-7.48</v>
      </c>
      <c r="N91" s="3" t="n">
        <v>0.036</v>
      </c>
      <c r="O91" s="3" t="n">
        <v>0.348</v>
      </c>
      <c r="P91" s="4" t="n">
        <v>0</v>
      </c>
      <c r="Q91" s="3" t="n">
        <v>0.135</v>
      </c>
      <c r="R91" s="3" t="n">
        <v>0.591</v>
      </c>
      <c r="S91" s="3" t="str">
        <f aca="false">IF(R91 &gt;= 0.5, "Positive", "Negative")</f>
        <v>Positive</v>
      </c>
      <c r="T91" s="2" t="n">
        <v>124.036</v>
      </c>
      <c r="U91" s="0" t="s">
        <v>39</v>
      </c>
    </row>
    <row r="92" customFormat="false" ht="14.25" hidden="false" customHeight="false" outlineLevel="0" collapsed="false">
      <c r="A92" s="0" t="n">
        <v>526</v>
      </c>
      <c r="B92" s="0" t="str">
        <f aca="false">_xlfn.xlookup(A92, artists!A$2:A$836, artists!B$2:B$836)</f>
        <v>Nicki Minaj</v>
      </c>
      <c r="C92" s="1" t="s">
        <v>131</v>
      </c>
      <c r="D92" s="2" t="n">
        <v>260240</v>
      </c>
      <c r="E92" s="2" t="n">
        <f aca="false">D92/1000</f>
        <v>260.24</v>
      </c>
      <c r="F92" s="10" t="b">
        <f aca="false">TRUE()</f>
        <v>1</v>
      </c>
      <c r="G92" s="0" t="n">
        <v>17</v>
      </c>
      <c r="H92" s="0" t="n">
        <f aca="false">_xlfn.xlookup(G92, years!A$2:A$836, years!B$2:B$836)</f>
        <v>2014</v>
      </c>
      <c r="I92" s="2" t="n">
        <v>66</v>
      </c>
      <c r="J92" s="0" t="n">
        <v>0.964</v>
      </c>
      <c r="K92" s="0" t="n">
        <v>0.605</v>
      </c>
      <c r="L92" s="3" t="str">
        <f aca="false">IF(K92&gt;0.66,"High",IF(K92&gt;0.33&amp;K92&lt;=0.66,"Medium","Low"))</f>
        <v>Low</v>
      </c>
      <c r="M92" s="0" t="n">
        <v>-6.223</v>
      </c>
      <c r="N92" s="3" t="n">
        <v>0.179</v>
      </c>
      <c r="O92" s="3" t="n">
        <v>0.0668</v>
      </c>
      <c r="P92" s="4" t="n">
        <v>7.78E-006</v>
      </c>
      <c r="Q92" s="3" t="n">
        <v>0.214</v>
      </c>
      <c r="R92" s="3" t="n">
        <v>0.646</v>
      </c>
      <c r="S92" s="3" t="str">
        <f aca="false">IF(R92 &gt;= 0.5, "Positive", "Negative")</f>
        <v>Positive</v>
      </c>
      <c r="T92" s="2" t="n">
        <v>129.994</v>
      </c>
      <c r="U92" s="0" t="s">
        <v>24</v>
      </c>
    </row>
    <row r="93" customFormat="false" ht="14.25" hidden="false" customHeight="false" outlineLevel="0" collapsed="false">
      <c r="A93" s="0" t="n">
        <v>222</v>
      </c>
      <c r="B93" s="0" t="str">
        <f aca="false">_xlfn.xlookup(A93, artists!A$2:A$836, artists!B$2:B$836)</f>
        <v>Amanda Perez</v>
      </c>
      <c r="C93" s="1" t="s">
        <v>132</v>
      </c>
      <c r="D93" s="2" t="n">
        <v>218760</v>
      </c>
      <c r="E93" s="2" t="n">
        <f aca="false">D93/1000</f>
        <v>218.76</v>
      </c>
      <c r="F93" s="10" t="b">
        <f aca="false">FALSE()</f>
        <v>0</v>
      </c>
      <c r="G93" s="0" t="n">
        <v>6</v>
      </c>
      <c r="H93" s="0" t="n">
        <f aca="false">_xlfn.xlookup(G93, years!A$2:A$836, years!B$2:B$836)</f>
        <v>2003</v>
      </c>
      <c r="I93" s="2" t="n">
        <v>48</v>
      </c>
      <c r="J93" s="0" t="n">
        <v>0.638</v>
      </c>
      <c r="K93" s="0" t="n">
        <v>0.54</v>
      </c>
      <c r="L93" s="3" t="str">
        <f aca="false">IF(K93&gt;0.66,"High",IF(K93&gt;0.33&amp;K93&lt;=0.66,"Medium","Low"))</f>
        <v>Low</v>
      </c>
      <c r="M93" s="0" t="n">
        <v>-6.849</v>
      </c>
      <c r="N93" s="3" t="n">
        <v>0.0473</v>
      </c>
      <c r="O93" s="3" t="n">
        <v>0.506</v>
      </c>
      <c r="P93" s="4" t="n">
        <v>0</v>
      </c>
      <c r="Q93" s="3" t="n">
        <v>0.157</v>
      </c>
      <c r="R93" s="3" t="n">
        <v>0.352</v>
      </c>
      <c r="S93" s="3" t="str">
        <f aca="false">IF(R93 &gt;= 0.5, "Positive", "Negative")</f>
        <v>Negative</v>
      </c>
      <c r="T93" s="2" t="n">
        <v>143.772</v>
      </c>
      <c r="U93" s="0" t="s">
        <v>33</v>
      </c>
    </row>
    <row r="94" customFormat="false" ht="14.25" hidden="false" customHeight="false" outlineLevel="0" collapsed="false">
      <c r="A94" s="0" t="n">
        <v>505</v>
      </c>
      <c r="B94" s="0" t="str">
        <f aca="false">_xlfn.xlookup(A94, artists!A$2:A$836, artists!B$2:B$836)</f>
        <v>Neon Trees</v>
      </c>
      <c r="C94" s="1" t="s">
        <v>133</v>
      </c>
      <c r="D94" s="2" t="n">
        <v>212306</v>
      </c>
      <c r="E94" s="2" t="n">
        <f aca="false">D94/1000</f>
        <v>212.306</v>
      </c>
      <c r="F94" s="10" t="b">
        <f aca="false">FALSE()</f>
        <v>0</v>
      </c>
      <c r="G94" s="0" t="n">
        <v>13</v>
      </c>
      <c r="H94" s="0" t="n">
        <f aca="false">_xlfn.xlookup(G94, years!A$2:A$836, years!B$2:B$836)</f>
        <v>2010</v>
      </c>
      <c r="I94" s="2" t="n">
        <v>64</v>
      </c>
      <c r="J94" s="0" t="n">
        <v>0.482</v>
      </c>
      <c r="K94" s="0" t="n">
        <v>0.829</v>
      </c>
      <c r="L94" s="3" t="str">
        <f aca="false">IF(K94&gt;0.66,"High",IF(K94&gt;0.33&amp;K94&lt;=0.66,"Medium","Low"))</f>
        <v>High</v>
      </c>
      <c r="M94" s="0" t="n">
        <v>-5.576</v>
      </c>
      <c r="N94" s="3" t="n">
        <v>0.0437</v>
      </c>
      <c r="O94" s="3" t="n">
        <v>0.00034</v>
      </c>
      <c r="P94" s="4" t="n">
        <v>0</v>
      </c>
      <c r="Q94" s="3" t="n">
        <v>0.378</v>
      </c>
      <c r="R94" s="3" t="n">
        <v>0.739</v>
      </c>
      <c r="S94" s="3" t="str">
        <f aca="false">IF(R94 &gt;= 0.5, "Positive", "Negative")</f>
        <v>Positive</v>
      </c>
      <c r="T94" s="2" t="n">
        <v>147.99</v>
      </c>
      <c r="U94" s="0" t="s">
        <v>35</v>
      </c>
    </row>
    <row r="95" customFormat="false" ht="14.25" hidden="false" customHeight="false" outlineLevel="0" collapsed="false">
      <c r="A95" s="0" t="n">
        <v>236</v>
      </c>
      <c r="B95" s="0" t="str">
        <f aca="false">_xlfn.xlookup(A95, artists!A$2:A$836, artists!B$2:B$836)</f>
        <v>Maroon 5</v>
      </c>
      <c r="C95" s="1" t="s">
        <v>134</v>
      </c>
      <c r="D95" s="2" t="n">
        <v>231013</v>
      </c>
      <c r="E95" s="2" t="n">
        <f aca="false">D95/1000</f>
        <v>231.013</v>
      </c>
      <c r="F95" s="10" t="b">
        <f aca="false">FALSE()</f>
        <v>0</v>
      </c>
      <c r="G95" s="0" t="n">
        <v>17</v>
      </c>
      <c r="H95" s="0" t="n">
        <f aca="false">_xlfn.xlookup(G95, years!A$2:A$836, years!B$2:B$836)</f>
        <v>2014</v>
      </c>
      <c r="I95" s="2" t="n">
        <v>79</v>
      </c>
      <c r="J95" s="0" t="n">
        <v>0.279</v>
      </c>
      <c r="K95" s="0" t="n">
        <v>0.742</v>
      </c>
      <c r="L95" s="3" t="str">
        <f aca="false">IF(K95&gt;0.66,"High",IF(K95&gt;0.33&amp;K95&lt;=0.66,"Medium","Low"))</f>
        <v>High</v>
      </c>
      <c r="M95" s="0" t="n">
        <v>-6.46</v>
      </c>
      <c r="N95" s="3" t="n">
        <v>0.0898</v>
      </c>
      <c r="O95" s="3" t="n">
        <v>0.000185</v>
      </c>
      <c r="P95" s="4" t="n">
        <v>0</v>
      </c>
      <c r="Q95" s="3" t="n">
        <v>0.593</v>
      </c>
      <c r="R95" s="3" t="n">
        <v>0.328</v>
      </c>
      <c r="S95" s="3" t="str">
        <f aca="false">IF(R95 &gt;= 0.5, "Positive", "Negative")</f>
        <v>Negative</v>
      </c>
      <c r="T95" s="2" t="n">
        <v>189.868</v>
      </c>
      <c r="U95" s="0" t="s">
        <v>39</v>
      </c>
    </row>
    <row r="96" customFormat="false" ht="14.25" hidden="false" customHeight="false" outlineLevel="0" collapsed="false">
      <c r="A96" s="0" t="n">
        <v>577</v>
      </c>
      <c r="B96" s="0" t="str">
        <f aca="false">_xlfn.xlookup(A96, artists!A$2:A$836, artists!B$2:B$836)</f>
        <v>Martin Garrix</v>
      </c>
      <c r="C96" s="1" t="s">
        <v>135</v>
      </c>
      <c r="D96" s="2" t="n">
        <v>176117</v>
      </c>
      <c r="E96" s="2" t="n">
        <f aca="false">D96/1000</f>
        <v>176.117</v>
      </c>
      <c r="F96" s="10" t="b">
        <f aca="false">FALSE()</f>
        <v>0</v>
      </c>
      <c r="G96" s="0" t="n">
        <v>16</v>
      </c>
      <c r="H96" s="0" t="n">
        <f aca="false">_xlfn.xlookup(G96, years!A$2:A$836, years!B$2:B$836)</f>
        <v>2013</v>
      </c>
      <c r="I96" s="2" t="n">
        <v>0</v>
      </c>
      <c r="J96" s="0" t="n">
        <v>0.593</v>
      </c>
      <c r="K96" s="0" t="n">
        <v>0.914</v>
      </c>
      <c r="L96" s="3" t="str">
        <f aca="false">IF(K96&gt;0.66,"High",IF(K96&gt;0.33&amp;K96&lt;=0.66,"Medium","Low"))</f>
        <v>High</v>
      </c>
      <c r="M96" s="0" t="n">
        <v>-5.351</v>
      </c>
      <c r="N96" s="3" t="n">
        <v>0.0363</v>
      </c>
      <c r="O96" s="3" t="n">
        <v>0.00137</v>
      </c>
      <c r="P96" s="4" t="n">
        <v>0.445</v>
      </c>
      <c r="Q96" s="3" t="n">
        <v>0.0714</v>
      </c>
      <c r="R96" s="3" t="n">
        <v>0.0381</v>
      </c>
      <c r="S96" s="3" t="str">
        <f aca="false">IF(R96 &gt;= 0.5, "Positive", "Negative")</f>
        <v>Negative</v>
      </c>
      <c r="T96" s="2" t="n">
        <v>128.015</v>
      </c>
      <c r="U96" s="0" t="s">
        <v>22</v>
      </c>
    </row>
    <row r="97" customFormat="false" ht="14.25" hidden="false" customHeight="false" outlineLevel="0" collapsed="false">
      <c r="A97" s="0" t="n">
        <v>109</v>
      </c>
      <c r="B97" s="0" t="str">
        <f aca="false">_xlfn.xlookup(A97, artists!A$2:A$836, artists!B$2:B$836)</f>
        <v>Roger Sanchez</v>
      </c>
      <c r="C97" s="1" t="s">
        <v>136</v>
      </c>
      <c r="D97" s="2" t="n">
        <v>452906</v>
      </c>
      <c r="E97" s="2" t="n">
        <f aca="false">D97/1000</f>
        <v>452.906</v>
      </c>
      <c r="F97" s="10" t="b">
        <f aca="false">FALSE()</f>
        <v>0</v>
      </c>
      <c r="G97" s="0" t="n">
        <v>3</v>
      </c>
      <c r="H97" s="0" t="n">
        <f aca="false">_xlfn.xlookup(G97, years!A$2:A$836, years!B$2:B$836)</f>
        <v>2000</v>
      </c>
      <c r="I97" s="2" t="n">
        <v>50</v>
      </c>
      <c r="J97" s="0" t="n">
        <v>0.61</v>
      </c>
      <c r="K97" s="0" t="n">
        <v>0.82</v>
      </c>
      <c r="L97" s="3" t="str">
        <f aca="false">IF(K97&gt;0.66,"High",IF(K97&gt;0.33&amp;K97&lt;=0.66,"Medium","Low"))</f>
        <v>High</v>
      </c>
      <c r="M97" s="0" t="n">
        <v>-10.029</v>
      </c>
      <c r="N97" s="3" t="n">
        <v>0.0312</v>
      </c>
      <c r="O97" s="3" t="n">
        <v>0.000211</v>
      </c>
      <c r="P97" s="4" t="n">
        <v>0.146</v>
      </c>
      <c r="Q97" s="3" t="n">
        <v>0.138</v>
      </c>
      <c r="R97" s="3" t="n">
        <v>0.45</v>
      </c>
      <c r="S97" s="3" t="str">
        <f aca="false">IF(R97 &gt;= 0.5, "Positive", "Negative")</f>
        <v>Negative</v>
      </c>
      <c r="T97" s="2" t="n">
        <v>127.993</v>
      </c>
      <c r="U97" s="0" t="s">
        <v>48</v>
      </c>
    </row>
    <row r="98" customFormat="false" ht="14.25" hidden="false" customHeight="false" outlineLevel="0" collapsed="false">
      <c r="A98" s="0" t="n">
        <v>192</v>
      </c>
      <c r="B98" s="0" t="str">
        <f aca="false">_xlfn.xlookup(A98, artists!A$2:A$836, artists!B$2:B$836)</f>
        <v>Beyoncé</v>
      </c>
      <c r="C98" s="1" t="s">
        <v>137</v>
      </c>
      <c r="D98" s="2" t="n">
        <v>208600</v>
      </c>
      <c r="E98" s="2" t="n">
        <f aca="false">D98/1000</f>
        <v>208.6</v>
      </c>
      <c r="F98" s="10" t="b">
        <f aca="false">FALSE()</f>
        <v>0</v>
      </c>
      <c r="G98" s="0" t="n">
        <v>6</v>
      </c>
      <c r="H98" s="0" t="n">
        <f aca="false">_xlfn.xlookup(G98, years!A$2:A$836, years!B$2:B$836)</f>
        <v>2003</v>
      </c>
      <c r="I98" s="2" t="n">
        <v>63</v>
      </c>
      <c r="J98" s="0" t="n">
        <v>0.735</v>
      </c>
      <c r="K98" s="0" t="n">
        <v>0.466</v>
      </c>
      <c r="L98" s="3" t="str">
        <f aca="false">IF(K98&gt;0.66,"High",IF(K98&gt;0.33&amp;K98&lt;=0.66,"Medium","Low"))</f>
        <v>Low</v>
      </c>
      <c r="M98" s="0" t="n">
        <v>-8.65</v>
      </c>
      <c r="N98" s="3" t="n">
        <v>0.0857</v>
      </c>
      <c r="O98" s="3" t="n">
        <v>0.239</v>
      </c>
      <c r="P98" s="4" t="n">
        <v>6.24E-006</v>
      </c>
      <c r="Q98" s="3" t="n">
        <v>0.102</v>
      </c>
      <c r="R98" s="3" t="n">
        <v>0.643</v>
      </c>
      <c r="S98" s="3" t="str">
        <f aca="false">IF(R98 &gt;= 0.5, "Positive", "Negative")</f>
        <v>Positive</v>
      </c>
      <c r="T98" s="2" t="n">
        <v>99.973</v>
      </c>
      <c r="U98" s="0" t="s">
        <v>33</v>
      </c>
    </row>
    <row r="99" customFormat="false" ht="14.25" hidden="false" customHeight="false" outlineLevel="0" collapsed="false">
      <c r="A99" s="0" t="n">
        <v>575</v>
      </c>
      <c r="B99" s="0" t="str">
        <f aca="false">_xlfn.xlookup(A99, artists!A$2:A$836, artists!B$2:B$836)</f>
        <v>Tom Odell</v>
      </c>
      <c r="C99" s="1" t="s">
        <v>138</v>
      </c>
      <c r="D99" s="2" t="n">
        <v>244360</v>
      </c>
      <c r="E99" s="2" t="n">
        <f aca="false">D99/1000</f>
        <v>244.36</v>
      </c>
      <c r="F99" s="10" t="b">
        <f aca="false">TRUE()</f>
        <v>1</v>
      </c>
      <c r="G99" s="0" t="n">
        <v>16</v>
      </c>
      <c r="H99" s="0" t="n">
        <f aca="false">_xlfn.xlookup(G99, years!A$2:A$836, years!B$2:B$836)</f>
        <v>2013</v>
      </c>
      <c r="I99" s="2" t="n">
        <v>88</v>
      </c>
      <c r="J99" s="0" t="n">
        <v>0.445</v>
      </c>
      <c r="K99" s="0" t="n">
        <v>0.537</v>
      </c>
      <c r="L99" s="3" t="str">
        <f aca="false">IF(K99&gt;0.66,"High",IF(K99&gt;0.33&amp;K99&lt;=0.66,"Medium","Low"))</f>
        <v>Low</v>
      </c>
      <c r="M99" s="0" t="n">
        <v>-8.532</v>
      </c>
      <c r="N99" s="3" t="n">
        <v>0.04</v>
      </c>
      <c r="O99" s="3" t="n">
        <v>0.695</v>
      </c>
      <c r="P99" s="4" t="n">
        <v>1.65E-005</v>
      </c>
      <c r="Q99" s="3" t="n">
        <v>0.0944</v>
      </c>
      <c r="R99" s="3" t="n">
        <v>0.131</v>
      </c>
      <c r="S99" s="3" t="str">
        <f aca="false">IF(R99 &gt;= 0.5, "Positive", "Negative")</f>
        <v>Negative</v>
      </c>
      <c r="T99" s="2" t="n">
        <v>122.769</v>
      </c>
      <c r="U99" s="0" t="s">
        <v>39</v>
      </c>
    </row>
    <row r="100" customFormat="false" ht="14.25" hidden="false" customHeight="false" outlineLevel="0" collapsed="false">
      <c r="A100" s="0" t="n">
        <v>410</v>
      </c>
      <c r="B100" s="0" t="str">
        <f aca="false">_xlfn.xlookup(A100, artists!A$2:A$836, artists!B$2:B$836)</f>
        <v>Jack White</v>
      </c>
      <c r="C100" s="1" t="s">
        <v>139</v>
      </c>
      <c r="D100" s="2" t="n">
        <v>262240</v>
      </c>
      <c r="E100" s="2" t="n">
        <f aca="false">D100/1000</f>
        <v>262.24</v>
      </c>
      <c r="F100" s="10" t="b">
        <f aca="false">FALSE()</f>
        <v>0</v>
      </c>
      <c r="G100" s="0" t="n">
        <v>10</v>
      </c>
      <c r="H100" s="0" t="n">
        <f aca="false">_xlfn.xlookup(G100, years!A$2:A$836, years!B$2:B$836)</f>
        <v>2007</v>
      </c>
      <c r="I100" s="2" t="n">
        <v>56</v>
      </c>
      <c r="J100" s="0" t="n">
        <v>0.486</v>
      </c>
      <c r="K100" s="0" t="n">
        <v>0.765</v>
      </c>
      <c r="L100" s="3" t="str">
        <f aca="false">IF(K100&gt;0.66,"High",IF(K100&gt;0.33&amp;K100&lt;=0.66,"Medium","Low"))</f>
        <v>High</v>
      </c>
      <c r="M100" s="0" t="n">
        <v>-4.23</v>
      </c>
      <c r="N100" s="3" t="n">
        <v>0.128</v>
      </c>
      <c r="O100" s="3" t="n">
        <v>0.0239</v>
      </c>
      <c r="P100" s="4" t="n">
        <v>3.02E-005</v>
      </c>
      <c r="Q100" s="3" t="n">
        <v>0.11</v>
      </c>
      <c r="R100" s="3" t="n">
        <v>0.386</v>
      </c>
      <c r="S100" s="3" t="str">
        <f aca="false">IF(R100 &gt;= 0.5, "Positive", "Negative")</f>
        <v>Negative</v>
      </c>
      <c r="T100" s="2" t="n">
        <v>141.933</v>
      </c>
      <c r="U100" s="0" t="s">
        <v>140</v>
      </c>
    </row>
    <row r="101" customFormat="false" ht="14.25" hidden="false" customHeight="false" outlineLevel="0" collapsed="false">
      <c r="A101" s="0" t="n">
        <v>782</v>
      </c>
      <c r="B101" s="0" t="str">
        <f aca="false">_xlfn.xlookup(A101, artists!A$2:A$836, artists!B$2:B$836)</f>
        <v>Banx &amp; Ranx</v>
      </c>
      <c r="C101" s="1" t="s">
        <v>141</v>
      </c>
      <c r="D101" s="2" t="n">
        <v>190920</v>
      </c>
      <c r="E101" s="2" t="n">
        <f aca="false">D101/1000</f>
        <v>190.92</v>
      </c>
      <c r="F101" s="10" t="b">
        <f aca="false">FALSE()</f>
        <v>0</v>
      </c>
      <c r="G101" s="0" t="n">
        <v>21</v>
      </c>
      <c r="H101" s="0" t="n">
        <f aca="false">_xlfn.xlookup(G101, years!A$2:A$836, years!B$2:B$836)</f>
        <v>2018</v>
      </c>
      <c r="I101" s="2" t="n">
        <v>56</v>
      </c>
      <c r="J101" s="0" t="n">
        <v>0.671</v>
      </c>
      <c r="K101" s="0" t="n">
        <v>0.834</v>
      </c>
      <c r="L101" s="3" t="str">
        <f aca="false">IF(K101&gt;0.66,"High",IF(K101&gt;0.33&amp;K101&lt;=0.66,"Medium","Low"))</f>
        <v>High</v>
      </c>
      <c r="M101" s="0" t="n">
        <v>-3.928</v>
      </c>
      <c r="N101" s="3" t="n">
        <v>0.0885</v>
      </c>
      <c r="O101" s="3" t="n">
        <v>0.0387</v>
      </c>
      <c r="P101" s="4" t="n">
        <v>0</v>
      </c>
      <c r="Q101" s="3" t="n">
        <v>0.454</v>
      </c>
      <c r="R101" s="3" t="n">
        <v>0.454</v>
      </c>
      <c r="S101" s="3" t="str">
        <f aca="false">IF(R101 &gt;= 0.5, "Positive", "Negative")</f>
        <v>Negative</v>
      </c>
      <c r="T101" s="2" t="n">
        <v>113.021</v>
      </c>
      <c r="U101" s="0" t="s">
        <v>48</v>
      </c>
    </row>
    <row r="102" customFormat="false" ht="14.25" hidden="false" customHeight="false" outlineLevel="0" collapsed="false">
      <c r="A102" s="0" t="n">
        <v>658</v>
      </c>
      <c r="B102" s="0" t="str">
        <f aca="false">_xlfn.xlookup(A102, artists!A$2:A$836, artists!B$2:B$836)</f>
        <v>Travis Scott</v>
      </c>
      <c r="C102" s="1" t="s">
        <v>142</v>
      </c>
      <c r="D102" s="2" t="n">
        <v>262693</v>
      </c>
      <c r="E102" s="2" t="n">
        <f aca="false">D102/1000</f>
        <v>262.693</v>
      </c>
      <c r="F102" s="10" t="b">
        <f aca="false">TRUE()</f>
        <v>1</v>
      </c>
      <c r="G102" s="0" t="n">
        <v>18</v>
      </c>
      <c r="H102" s="0" t="n">
        <f aca="false">_xlfn.xlookup(G102, years!A$2:A$836, years!B$2:B$836)</f>
        <v>2015</v>
      </c>
      <c r="I102" s="2" t="n">
        <v>73</v>
      </c>
      <c r="J102" s="0" t="n">
        <v>0.713</v>
      </c>
      <c r="K102" s="0" t="n">
        <v>0.526</v>
      </c>
      <c r="L102" s="3" t="str">
        <f aca="false">IF(K102&gt;0.66,"High",IF(K102&gt;0.33&amp;K102&lt;=0.66,"Medium","Low"))</f>
        <v>Low</v>
      </c>
      <c r="M102" s="0" t="n">
        <v>-5.046</v>
      </c>
      <c r="N102" s="3" t="n">
        <v>0.032</v>
      </c>
      <c r="O102" s="3" t="n">
        <v>0.00767</v>
      </c>
      <c r="P102" s="4" t="n">
        <v>0.000148</v>
      </c>
      <c r="Q102" s="3" t="n">
        <v>0.124</v>
      </c>
      <c r="R102" s="3" t="n">
        <v>0.131</v>
      </c>
      <c r="S102" s="3" t="str">
        <f aca="false">IF(R102 &gt;= 0.5, "Positive", "Negative")</f>
        <v>Negative</v>
      </c>
      <c r="T102" s="2" t="n">
        <v>131.05</v>
      </c>
      <c r="U102" s="0" t="s">
        <v>143</v>
      </c>
    </row>
    <row r="103" customFormat="false" ht="14.25" hidden="false" customHeight="false" outlineLevel="0" collapsed="false">
      <c r="A103" s="0" t="n">
        <v>628</v>
      </c>
      <c r="B103" s="0" t="str">
        <f aca="false">_xlfn.xlookup(A103, artists!A$2:A$836, artists!B$2:B$836)</f>
        <v>Ed Sheeran</v>
      </c>
      <c r="C103" s="1" t="s">
        <v>144</v>
      </c>
      <c r="D103" s="2" t="n">
        <v>161746</v>
      </c>
      <c r="E103" s="2" t="n">
        <f aca="false">D103/1000</f>
        <v>161.746</v>
      </c>
      <c r="F103" s="10" t="b">
        <f aca="false">FALSE()</f>
        <v>0</v>
      </c>
      <c r="G103" s="0" t="n">
        <v>22</v>
      </c>
      <c r="H103" s="0" t="n">
        <f aca="false">_xlfn.xlookup(G103, years!A$2:A$836, years!B$2:B$836)</f>
        <v>2019</v>
      </c>
      <c r="I103" s="2" t="n">
        <v>63</v>
      </c>
      <c r="J103" s="0" t="n">
        <v>0.716</v>
      </c>
      <c r="K103" s="0" t="n">
        <v>0.823</v>
      </c>
      <c r="L103" s="3" t="str">
        <f aca="false">IF(K103&gt;0.66,"High",IF(K103&gt;0.33&amp;K103&lt;=0.66,"Medium","Low"))</f>
        <v>High</v>
      </c>
      <c r="M103" s="0" t="n">
        <v>-5.313</v>
      </c>
      <c r="N103" s="3" t="n">
        <v>0.0495</v>
      </c>
      <c r="O103" s="3" t="n">
        <v>0.132</v>
      </c>
      <c r="P103" s="4" t="n">
        <v>0</v>
      </c>
      <c r="Q103" s="3" t="n">
        <v>0.361</v>
      </c>
      <c r="R103" s="3" t="n">
        <v>0.91</v>
      </c>
      <c r="S103" s="3" t="str">
        <f aca="false">IF(R103 &gt;= 0.5, "Positive", "Negative")</f>
        <v>Positive</v>
      </c>
      <c r="T103" s="2" t="n">
        <v>151.957</v>
      </c>
      <c r="U103" s="0" t="s">
        <v>39</v>
      </c>
    </row>
    <row r="104" customFormat="false" ht="14.25" hidden="false" customHeight="false" outlineLevel="0" collapsed="false">
      <c r="A104" s="0" t="n">
        <v>163</v>
      </c>
      <c r="B104" s="0" t="str">
        <f aca="false">_xlfn.xlookup(A104, artists!A$2:A$836, artists!B$2:B$836)</f>
        <v>Gareth Gates</v>
      </c>
      <c r="C104" s="1" t="s">
        <v>145</v>
      </c>
      <c r="D104" s="2" t="n">
        <v>227866</v>
      </c>
      <c r="E104" s="2" t="n">
        <f aca="false">D104/1000</f>
        <v>227.866</v>
      </c>
      <c r="F104" s="10" t="b">
        <f aca="false">FALSE()</f>
        <v>0</v>
      </c>
      <c r="G104" s="0" t="n">
        <v>6</v>
      </c>
      <c r="H104" s="0" t="n">
        <f aca="false">_xlfn.xlookup(G104, years!A$2:A$836, years!B$2:B$836)</f>
        <v>2003</v>
      </c>
      <c r="I104" s="2" t="n">
        <v>53</v>
      </c>
      <c r="J104" s="0" t="n">
        <v>0.7</v>
      </c>
      <c r="K104" s="0" t="n">
        <v>0.72</v>
      </c>
      <c r="L104" s="3" t="str">
        <f aca="false">IF(K104&gt;0.66,"High",IF(K104&gt;0.33&amp;K104&lt;=0.66,"Medium","Low"))</f>
        <v>High</v>
      </c>
      <c r="M104" s="0" t="n">
        <v>-6.061</v>
      </c>
      <c r="N104" s="3" t="n">
        <v>0.0261</v>
      </c>
      <c r="O104" s="3" t="n">
        <v>0.285</v>
      </c>
      <c r="P104" s="4" t="n">
        <v>0</v>
      </c>
      <c r="Q104" s="3" t="n">
        <v>0.0845</v>
      </c>
      <c r="R104" s="3" t="n">
        <v>0.654</v>
      </c>
      <c r="S104" s="3" t="str">
        <f aca="false">IF(R104 &gt;= 0.5, "Positive", "Negative")</f>
        <v>Positive</v>
      </c>
      <c r="T104" s="2" t="n">
        <v>106.986</v>
      </c>
      <c r="U104" s="0" t="s">
        <v>39</v>
      </c>
    </row>
    <row r="105" customFormat="false" ht="14.25" hidden="false" customHeight="false" outlineLevel="0" collapsed="false">
      <c r="A105" s="0" t="n">
        <v>667</v>
      </c>
      <c r="B105" s="0" t="str">
        <f aca="false">_xlfn.xlookup(A105, artists!A$2:A$836, artists!B$2:B$836)</f>
        <v>R. City</v>
      </c>
      <c r="C105" s="1" t="s">
        <v>146</v>
      </c>
      <c r="D105" s="2" t="n">
        <v>227480</v>
      </c>
      <c r="E105" s="2" t="n">
        <f aca="false">D105/1000</f>
        <v>227.48</v>
      </c>
      <c r="F105" s="10" t="b">
        <f aca="false">FALSE()</f>
        <v>0</v>
      </c>
      <c r="G105" s="0" t="n">
        <v>18</v>
      </c>
      <c r="H105" s="0" t="n">
        <f aca="false">_xlfn.xlookup(G105, years!A$2:A$836, years!B$2:B$836)</f>
        <v>2015</v>
      </c>
      <c r="I105" s="2" t="n">
        <v>77</v>
      </c>
      <c r="J105" s="0" t="n">
        <v>0.509</v>
      </c>
      <c r="K105" s="0" t="n">
        <v>0.671</v>
      </c>
      <c r="L105" s="3" t="str">
        <f aca="false">IF(K105&gt;0.66,"High",IF(K105&gt;0.33&amp;K105&lt;=0.66,"Medium","Low"))</f>
        <v>High</v>
      </c>
      <c r="M105" s="0" t="n">
        <v>-5.709</v>
      </c>
      <c r="N105" s="3" t="n">
        <v>0.0678</v>
      </c>
      <c r="O105" s="3" t="n">
        <v>0.304</v>
      </c>
      <c r="P105" s="4" t="n">
        <v>0</v>
      </c>
      <c r="Q105" s="3" t="n">
        <v>0.0452</v>
      </c>
      <c r="R105" s="3" t="n">
        <v>0.55</v>
      </c>
      <c r="S105" s="3" t="str">
        <f aca="false">IF(R105 &gt;= 0.5, "Positive", "Negative")</f>
        <v>Positive</v>
      </c>
      <c r="T105" s="2" t="n">
        <v>118.413</v>
      </c>
      <c r="U105" s="0" t="s">
        <v>39</v>
      </c>
    </row>
    <row r="106" customFormat="false" ht="14.25" hidden="false" customHeight="false" outlineLevel="0" collapsed="false">
      <c r="A106" s="0" t="n">
        <v>361</v>
      </c>
      <c r="B106" s="0" t="str">
        <f aca="false">_xlfn.xlookup(A106, artists!A$2:A$836, artists!B$2:B$836)</f>
        <v>Timbaland</v>
      </c>
      <c r="C106" s="1" t="s">
        <v>147</v>
      </c>
      <c r="D106" s="2" t="n">
        <v>184400</v>
      </c>
      <c r="E106" s="2" t="n">
        <f aca="false">D106/1000</f>
        <v>184.4</v>
      </c>
      <c r="F106" s="10" t="b">
        <f aca="false">FALSE()</f>
        <v>0</v>
      </c>
      <c r="G106" s="0" t="n">
        <v>10</v>
      </c>
      <c r="H106" s="0" t="n">
        <f aca="false">_xlfn.xlookup(G106, years!A$2:A$836, years!B$2:B$836)</f>
        <v>2007</v>
      </c>
      <c r="I106" s="2" t="n">
        <v>74</v>
      </c>
      <c r="J106" s="0" t="n">
        <v>0.653</v>
      </c>
      <c r="K106" s="0" t="n">
        <v>0.604</v>
      </c>
      <c r="L106" s="3" t="str">
        <f aca="false">IF(K106&gt;0.66,"High",IF(K106&gt;0.33&amp;K106&lt;=0.66,"Medium","Low"))</f>
        <v>Low</v>
      </c>
      <c r="M106" s="0" t="n">
        <v>-6.017</v>
      </c>
      <c r="N106" s="3" t="n">
        <v>0.0278</v>
      </c>
      <c r="O106" s="3" t="n">
        <v>0.0292</v>
      </c>
      <c r="P106" s="4" t="n">
        <v>0</v>
      </c>
      <c r="Q106" s="3" t="n">
        <v>0.097</v>
      </c>
      <c r="R106" s="3" t="n">
        <v>0.101</v>
      </c>
      <c r="S106" s="3" t="str">
        <f aca="false">IF(R106 &gt;= 0.5, "Positive", "Negative")</f>
        <v>Negative</v>
      </c>
      <c r="T106" s="2" t="n">
        <v>118.016</v>
      </c>
      <c r="U106" s="0" t="s">
        <v>31</v>
      </c>
    </row>
    <row r="107" customFormat="false" ht="14.25" hidden="false" customHeight="false" outlineLevel="0" collapsed="false">
      <c r="A107" s="0" t="n">
        <v>650</v>
      </c>
      <c r="B107" s="0" t="str">
        <f aca="false">_xlfn.xlookup(A107, artists!A$2:A$836, artists!B$2:B$836)</f>
        <v>Lost Frequencies</v>
      </c>
      <c r="C107" s="1" t="s">
        <v>148</v>
      </c>
      <c r="D107" s="2" t="n">
        <v>138842</v>
      </c>
      <c r="E107" s="2" t="n">
        <f aca="false">D107/1000</f>
        <v>138.842</v>
      </c>
      <c r="F107" s="10" t="b">
        <f aca="false">FALSE()</f>
        <v>0</v>
      </c>
      <c r="G107" s="0" t="n">
        <v>17</v>
      </c>
      <c r="H107" s="0" t="n">
        <f aca="false">_xlfn.xlookup(G107, years!A$2:A$836, years!B$2:B$836)</f>
        <v>2014</v>
      </c>
      <c r="I107" s="2" t="n">
        <v>33</v>
      </c>
      <c r="J107" s="0" t="n">
        <v>0.776</v>
      </c>
      <c r="K107" s="0" t="n">
        <v>0.574</v>
      </c>
      <c r="L107" s="3" t="str">
        <f aca="false">IF(K107&gt;0.66,"High",IF(K107&gt;0.33&amp;K107&lt;=0.66,"Medium","Low"))</f>
        <v>Low</v>
      </c>
      <c r="M107" s="0" t="n">
        <v>-9.882</v>
      </c>
      <c r="N107" s="3" t="n">
        <v>0.0317</v>
      </c>
      <c r="O107" s="3" t="n">
        <v>0.466</v>
      </c>
      <c r="P107" s="4" t="n">
        <v>7.83E-005</v>
      </c>
      <c r="Q107" s="3" t="n">
        <v>0.131</v>
      </c>
      <c r="R107" s="3" t="n">
        <v>0.412</v>
      </c>
      <c r="S107" s="3" t="str">
        <f aca="false">IF(R107 &gt;= 0.5, "Positive", "Negative")</f>
        <v>Negative</v>
      </c>
      <c r="T107" s="2" t="n">
        <v>121.03</v>
      </c>
      <c r="U107" s="0" t="s">
        <v>22</v>
      </c>
    </row>
    <row r="108" customFormat="false" ht="14.25" hidden="false" customHeight="false" outlineLevel="0" collapsed="false">
      <c r="A108" s="0" t="n">
        <v>315</v>
      </c>
      <c r="B108" s="0" t="str">
        <f aca="false">_xlfn.xlookup(A108, artists!A$2:A$836, artists!B$2:B$836)</f>
        <v>Toby Keith</v>
      </c>
      <c r="C108" s="1" t="s">
        <v>149</v>
      </c>
      <c r="D108" s="2" t="n">
        <v>227840</v>
      </c>
      <c r="E108" s="2" t="n">
        <f aca="false">D108/1000</f>
        <v>227.84</v>
      </c>
      <c r="F108" s="10" t="b">
        <f aca="false">FALSE()</f>
        <v>0</v>
      </c>
      <c r="G108" s="0" t="n">
        <v>8</v>
      </c>
      <c r="H108" s="0" t="n">
        <f aca="false">_xlfn.xlookup(G108, years!A$2:A$836, years!B$2:B$836)</f>
        <v>2005</v>
      </c>
      <c r="I108" s="2" t="n">
        <v>67</v>
      </c>
      <c r="J108" s="0" t="n">
        <v>0.68</v>
      </c>
      <c r="K108" s="0" t="n">
        <v>0.87</v>
      </c>
      <c r="L108" s="3" t="str">
        <f aca="false">IF(K108&gt;0.66,"High",IF(K108&gt;0.33&amp;K108&lt;=0.66,"Medium","Low"))</f>
        <v>High</v>
      </c>
      <c r="M108" s="0" t="n">
        <v>-4.461</v>
      </c>
      <c r="N108" s="3" t="n">
        <v>0.0393</v>
      </c>
      <c r="O108" s="3" t="n">
        <v>0.266</v>
      </c>
      <c r="P108" s="4" t="n">
        <v>0</v>
      </c>
      <c r="Q108" s="3" t="n">
        <v>0.109</v>
      </c>
      <c r="R108" s="3" t="n">
        <v>0.646</v>
      </c>
      <c r="S108" s="3" t="str">
        <f aca="false">IF(R108 &gt;= 0.5, "Positive", "Negative")</f>
        <v>Positive</v>
      </c>
      <c r="T108" s="2" t="n">
        <v>119.075</v>
      </c>
      <c r="U108" s="0" t="s">
        <v>150</v>
      </c>
    </row>
    <row r="109" customFormat="false" ht="14.25" hidden="false" customHeight="false" outlineLevel="0" collapsed="false">
      <c r="A109" s="0" t="n">
        <v>463</v>
      </c>
      <c r="B109" s="0" t="str">
        <f aca="false">_xlfn.xlookup(A109, artists!A$2:A$836, artists!B$2:B$836)</f>
        <v>Justin Bieber</v>
      </c>
      <c r="C109" s="1" t="s">
        <v>151</v>
      </c>
      <c r="D109" s="2" t="n">
        <v>229466</v>
      </c>
      <c r="E109" s="2" t="n">
        <f aca="false">D109/1000</f>
        <v>229.466</v>
      </c>
      <c r="F109" s="10" t="b">
        <f aca="false">FALSE()</f>
        <v>0</v>
      </c>
      <c r="G109" s="0" t="n">
        <v>15</v>
      </c>
      <c r="H109" s="0" t="n">
        <f aca="false">_xlfn.xlookup(G109, years!A$2:A$836, years!B$2:B$836)</f>
        <v>2012</v>
      </c>
      <c r="I109" s="2" t="n">
        <v>67</v>
      </c>
      <c r="J109" s="0" t="n">
        <v>0.571</v>
      </c>
      <c r="K109" s="0" t="n">
        <v>0.873</v>
      </c>
      <c r="L109" s="3" t="str">
        <f aca="false">IF(K109&gt;0.66,"High",IF(K109&gt;0.33&amp;K109&lt;=0.66,"Medium","Low"))</f>
        <v>High</v>
      </c>
      <c r="M109" s="0" t="n">
        <v>-3.382</v>
      </c>
      <c r="N109" s="3" t="n">
        <v>0.1</v>
      </c>
      <c r="O109" s="3" t="n">
        <v>0.0811</v>
      </c>
      <c r="P109" s="4" t="n">
        <v>0</v>
      </c>
      <c r="Q109" s="3" t="n">
        <v>0.361</v>
      </c>
      <c r="R109" s="3" t="n">
        <v>0.613</v>
      </c>
      <c r="S109" s="3" t="str">
        <f aca="false">IF(R109 &gt;= 0.5, "Positive", "Negative")</f>
        <v>Positive</v>
      </c>
      <c r="T109" s="2" t="n">
        <v>139.691</v>
      </c>
      <c r="U109" s="0" t="s">
        <v>39</v>
      </c>
    </row>
    <row r="110" customFormat="false" ht="14.25" hidden="false" customHeight="false" outlineLevel="0" collapsed="false">
      <c r="A110" s="0" t="n">
        <v>365</v>
      </c>
      <c r="B110" s="0" t="str">
        <f aca="false">_xlfn.xlookup(A110, artists!A$2:A$836, artists!B$2:B$836)</f>
        <v>Gym Class Heroes</v>
      </c>
      <c r="C110" s="1" t="s">
        <v>152</v>
      </c>
      <c r="D110" s="2" t="n">
        <v>222213</v>
      </c>
      <c r="E110" s="2" t="n">
        <f aca="false">D110/1000</f>
        <v>222.213</v>
      </c>
      <c r="F110" s="10" t="b">
        <f aca="false">TRUE()</f>
        <v>1</v>
      </c>
      <c r="G110" s="0" t="n">
        <v>14</v>
      </c>
      <c r="H110" s="0" t="n">
        <f aca="false">_xlfn.xlookup(G110, years!A$2:A$836, years!B$2:B$836)</f>
        <v>2011</v>
      </c>
      <c r="I110" s="2" t="n">
        <v>61</v>
      </c>
      <c r="J110" s="0" t="n">
        <v>0.716</v>
      </c>
      <c r="K110" s="0" t="n">
        <v>0.838</v>
      </c>
      <c r="L110" s="3" t="str">
        <f aca="false">IF(K110&gt;0.66,"High",IF(K110&gt;0.33&amp;K110&lt;=0.66,"Medium","Low"))</f>
        <v>High</v>
      </c>
      <c r="M110" s="0" t="n">
        <v>-4.289</v>
      </c>
      <c r="N110" s="3" t="n">
        <v>0.0513</v>
      </c>
      <c r="O110" s="3" t="n">
        <v>0.134</v>
      </c>
      <c r="P110" s="4" t="n">
        <v>0</v>
      </c>
      <c r="Q110" s="3" t="n">
        <v>0.148</v>
      </c>
      <c r="R110" s="3" t="n">
        <v>0.646</v>
      </c>
      <c r="S110" s="3" t="str">
        <f aca="false">IF(R110 &gt;= 0.5, "Positive", "Negative")</f>
        <v>Positive</v>
      </c>
      <c r="T110" s="2" t="n">
        <v>130.034</v>
      </c>
      <c r="U110" s="0" t="s">
        <v>24</v>
      </c>
    </row>
    <row r="111" customFormat="false" ht="14.25" hidden="false" customHeight="false" outlineLevel="0" collapsed="false">
      <c r="A111" s="0" t="n">
        <v>7</v>
      </c>
      <c r="B111" s="0" t="str">
        <f aca="false">_xlfn.xlookup(A111, artists!A$2:A$836, artists!B$2:B$836)</f>
        <v>Eminem</v>
      </c>
      <c r="C111" s="1" t="s">
        <v>153</v>
      </c>
      <c r="D111" s="2" t="n">
        <v>265480</v>
      </c>
      <c r="E111" s="2" t="n">
        <f aca="false">D111/1000</f>
        <v>265.48</v>
      </c>
      <c r="F111" s="10" t="b">
        <f aca="false">TRUE()</f>
        <v>1</v>
      </c>
      <c r="G111" s="0" t="n">
        <v>7</v>
      </c>
      <c r="H111" s="0" t="n">
        <f aca="false">_xlfn.xlookup(G111, years!A$2:A$836, years!B$2:B$836)</f>
        <v>2004</v>
      </c>
      <c r="I111" s="2" t="n">
        <v>52</v>
      </c>
      <c r="J111" s="0" t="n">
        <v>0.646</v>
      </c>
      <c r="K111" s="0" t="n">
        <v>0.796</v>
      </c>
      <c r="L111" s="3" t="str">
        <f aca="false">IF(K111&gt;0.66,"High",IF(K111&gt;0.33&amp;K111&lt;=0.66,"Medium","Low"))</f>
        <v>High</v>
      </c>
      <c r="M111" s="0" t="n">
        <v>-6.152</v>
      </c>
      <c r="N111" s="3" t="n">
        <v>0.366</v>
      </c>
      <c r="O111" s="3" t="n">
        <v>0.409</v>
      </c>
      <c r="P111" s="4" t="n">
        <v>0</v>
      </c>
      <c r="Q111" s="3" t="n">
        <v>0.107</v>
      </c>
      <c r="R111" s="3" t="n">
        <v>0.676</v>
      </c>
      <c r="S111" s="3" t="str">
        <f aca="false">IF(R111 &gt;= 0.5, "Positive", "Negative")</f>
        <v>Positive</v>
      </c>
      <c r="T111" s="2" t="n">
        <v>83.093</v>
      </c>
      <c r="U111" s="0" t="s">
        <v>29</v>
      </c>
    </row>
    <row r="112" customFormat="false" ht="14.25" hidden="false" customHeight="false" outlineLevel="0" collapsed="false">
      <c r="A112" s="0" t="n">
        <v>699</v>
      </c>
      <c r="B112" s="0" t="str">
        <f aca="false">_xlfn.xlookup(A112, artists!A$2:A$836, artists!B$2:B$836)</f>
        <v>Charlie Puth</v>
      </c>
      <c r="C112" s="1" t="s">
        <v>154</v>
      </c>
      <c r="D112" s="2" t="n">
        <v>211475</v>
      </c>
      <c r="E112" s="2" t="n">
        <f aca="false">D112/1000</f>
        <v>211.475</v>
      </c>
      <c r="F112" s="10" t="b">
        <f aca="false">FALSE()</f>
        <v>0</v>
      </c>
      <c r="G112" s="0" t="n">
        <v>20</v>
      </c>
      <c r="H112" s="0" t="n">
        <f aca="false">_xlfn.xlookup(G112, years!A$2:A$836, years!B$2:B$836)</f>
        <v>2017</v>
      </c>
      <c r="I112" s="2" t="n">
        <v>0</v>
      </c>
      <c r="J112" s="0" t="n">
        <v>0.774</v>
      </c>
      <c r="K112" s="0" t="n">
        <v>0.626</v>
      </c>
      <c r="L112" s="3" t="str">
        <f aca="false">IF(K112&gt;0.66,"High",IF(K112&gt;0.33&amp;K112&lt;=0.66,"Medium","Low"))</f>
        <v>Low</v>
      </c>
      <c r="M112" s="0" t="n">
        <v>-4.432</v>
      </c>
      <c r="N112" s="3" t="n">
        <v>0.0432</v>
      </c>
      <c r="O112" s="3" t="n">
        <v>0.0969</v>
      </c>
      <c r="P112" s="4" t="n">
        <v>3.12E-005</v>
      </c>
      <c r="Q112" s="3" t="n">
        <v>0.0848</v>
      </c>
      <c r="R112" s="3" t="n">
        <v>0.777</v>
      </c>
      <c r="S112" s="3" t="str">
        <f aca="false">IF(R112 &gt;= 0.5, "Positive", "Negative")</f>
        <v>Positive</v>
      </c>
      <c r="T112" s="2" t="n">
        <v>100.041</v>
      </c>
      <c r="U112" s="0" t="s">
        <v>39</v>
      </c>
    </row>
    <row r="113" customFormat="false" ht="14.25" hidden="false" customHeight="false" outlineLevel="0" collapsed="false">
      <c r="A113" s="0" t="n">
        <v>287</v>
      </c>
      <c r="B113" s="0" t="str">
        <f aca="false">_xlfn.xlookup(A113, artists!A$2:A$836, artists!B$2:B$836)</f>
        <v>Crazy Frog</v>
      </c>
      <c r="C113" s="1" t="s">
        <v>155</v>
      </c>
      <c r="D113" s="2" t="n">
        <v>168879</v>
      </c>
      <c r="E113" s="2" t="n">
        <f aca="false">D113/1000</f>
        <v>168.879</v>
      </c>
      <c r="F113" s="10" t="b">
        <f aca="false">FALSE()</f>
        <v>0</v>
      </c>
      <c r="G113" s="0" t="n">
        <v>8</v>
      </c>
      <c r="H113" s="0" t="n">
        <f aca="false">_xlfn.xlookup(G113, years!A$2:A$836, years!B$2:B$836)</f>
        <v>2005</v>
      </c>
      <c r="I113" s="2" t="n">
        <v>67</v>
      </c>
      <c r="J113" s="0" t="n">
        <v>0.86</v>
      </c>
      <c r="K113" s="0" t="n">
        <v>0.907</v>
      </c>
      <c r="L113" s="3" t="str">
        <f aca="false">IF(K113&gt;0.66,"High",IF(K113&gt;0.33&amp;K113&lt;=0.66,"Medium","Low"))</f>
        <v>High</v>
      </c>
      <c r="M113" s="0" t="n">
        <v>-3.321</v>
      </c>
      <c r="N113" s="3" t="n">
        <v>0.0407</v>
      </c>
      <c r="O113" s="3" t="n">
        <v>0.279</v>
      </c>
      <c r="P113" s="4" t="n">
        <v>0.693</v>
      </c>
      <c r="Q113" s="3" t="n">
        <v>0.0648</v>
      </c>
      <c r="R113" s="3" t="n">
        <v>0.786</v>
      </c>
      <c r="S113" s="3" t="str">
        <f aca="false">IF(R113 &gt;= 0.5, "Positive", "Negative")</f>
        <v>Positive</v>
      </c>
      <c r="T113" s="2" t="n">
        <v>138.045</v>
      </c>
      <c r="U113" s="0" t="s">
        <v>39</v>
      </c>
    </row>
    <row r="114" customFormat="false" ht="14.25" hidden="false" customHeight="false" outlineLevel="0" collapsed="false">
      <c r="A114" s="0" t="n">
        <v>291</v>
      </c>
      <c r="B114" s="0" t="str">
        <f aca="false">_xlfn.xlookup(A114, artists!A$2:A$836, artists!B$2:B$836)</f>
        <v>Chris Brown</v>
      </c>
      <c r="C114" s="1" t="s">
        <v>156</v>
      </c>
      <c r="D114" s="2" t="n">
        <v>225226</v>
      </c>
      <c r="E114" s="2" t="n">
        <f aca="false">D114/1000</f>
        <v>225.226</v>
      </c>
      <c r="F114" s="10" t="b">
        <f aca="false">TRUE()</f>
        <v>1</v>
      </c>
      <c r="G114" s="0" t="n">
        <v>18</v>
      </c>
      <c r="H114" s="0" t="n">
        <f aca="false">_xlfn.xlookup(G114, years!A$2:A$836, years!B$2:B$836)</f>
        <v>2015</v>
      </c>
      <c r="I114" s="2" t="n">
        <v>71</v>
      </c>
      <c r="J114" s="0" t="n">
        <v>0.823</v>
      </c>
      <c r="K114" s="0" t="n">
        <v>0.563</v>
      </c>
      <c r="L114" s="3" t="str">
        <f aca="false">IF(K114&gt;0.66,"High",IF(K114&gt;0.33&amp;K114&lt;=0.66,"Medium","Low"))</f>
        <v>Low</v>
      </c>
      <c r="M114" s="0" t="n">
        <v>-5.095</v>
      </c>
      <c r="N114" s="3" t="n">
        <v>0.0443</v>
      </c>
      <c r="O114" s="3" t="n">
        <v>0.0399</v>
      </c>
      <c r="P114" s="4" t="n">
        <v>0</v>
      </c>
      <c r="Q114" s="3" t="n">
        <v>0.0851</v>
      </c>
      <c r="R114" s="3" t="n">
        <v>0.682</v>
      </c>
      <c r="S114" s="3" t="str">
        <f aca="false">IF(R114 &gt;= 0.5, "Positive", "Negative")</f>
        <v>Positive</v>
      </c>
      <c r="T114" s="2" t="n">
        <v>98.031</v>
      </c>
      <c r="U114" s="0" t="s">
        <v>31</v>
      </c>
    </row>
    <row r="115" customFormat="false" ht="14.25" hidden="false" customHeight="false" outlineLevel="0" collapsed="false">
      <c r="A115" s="0" t="n">
        <v>191</v>
      </c>
      <c r="B115" s="0" t="str">
        <f aca="false">_xlfn.xlookup(A115, artists!A$2:A$836, artists!B$2:B$836)</f>
        <v>50 Cent</v>
      </c>
      <c r="C115" s="1" t="s">
        <v>157</v>
      </c>
      <c r="D115" s="2" t="n">
        <v>247946</v>
      </c>
      <c r="E115" s="2" t="n">
        <f aca="false">D115/1000</f>
        <v>247.946</v>
      </c>
      <c r="F115" s="10" t="b">
        <f aca="false">TRUE()</f>
        <v>1</v>
      </c>
      <c r="G115" s="0" t="n">
        <v>10</v>
      </c>
      <c r="H115" s="0" t="n">
        <f aca="false">_xlfn.xlookup(G115, years!A$2:A$836, years!B$2:B$836)</f>
        <v>2007</v>
      </c>
      <c r="I115" s="2" t="n">
        <v>67</v>
      </c>
      <c r="J115" s="0" t="n">
        <v>0.63</v>
      </c>
      <c r="K115" s="0" t="n">
        <v>0.782</v>
      </c>
      <c r="L115" s="3" t="str">
        <f aca="false">IF(K115&gt;0.66,"High",IF(K115&gt;0.33&amp;K115&lt;=0.66,"Medium","Low"))</f>
        <v>High</v>
      </c>
      <c r="M115" s="0" t="n">
        <v>-5.44</v>
      </c>
      <c r="N115" s="3" t="n">
        <v>0.132</v>
      </c>
      <c r="O115" s="3" t="n">
        <v>0.0828</v>
      </c>
      <c r="P115" s="4" t="n">
        <v>0</v>
      </c>
      <c r="Q115" s="3" t="n">
        <v>0.034</v>
      </c>
      <c r="R115" s="3" t="n">
        <v>0.418</v>
      </c>
      <c r="S115" s="3" t="str">
        <f aca="false">IF(R115 &gt;= 0.5, "Positive", "Negative")</f>
        <v>Negative</v>
      </c>
      <c r="T115" s="2" t="n">
        <v>140.144</v>
      </c>
      <c r="U115" s="0" t="s">
        <v>24</v>
      </c>
    </row>
    <row r="116" customFormat="false" ht="14.25" hidden="false" customHeight="false" outlineLevel="0" collapsed="false">
      <c r="A116" s="0" t="n">
        <v>174</v>
      </c>
      <c r="B116" s="0" t="str">
        <f aca="false">_xlfn.xlookup(A116, artists!A$2:A$836, artists!B$2:B$836)</f>
        <v>Ashanti</v>
      </c>
      <c r="C116" s="1" t="s">
        <v>158</v>
      </c>
      <c r="D116" s="2" t="n">
        <v>265706</v>
      </c>
      <c r="E116" s="2" t="n">
        <f aca="false">D116/1000</f>
        <v>265.706</v>
      </c>
      <c r="F116" s="10" t="b">
        <f aca="false">TRUE()</f>
        <v>1</v>
      </c>
      <c r="G116" s="0" t="n">
        <v>5</v>
      </c>
      <c r="H116" s="0" t="n">
        <f aca="false">_xlfn.xlookup(G116, years!A$2:A$836, years!B$2:B$836)</f>
        <v>2002</v>
      </c>
      <c r="I116" s="2" t="n">
        <v>55</v>
      </c>
      <c r="J116" s="0" t="n">
        <v>0.567</v>
      </c>
      <c r="K116" s="0" t="n">
        <v>0.58</v>
      </c>
      <c r="L116" s="3" t="str">
        <f aca="false">IF(K116&gt;0.66,"High",IF(K116&gt;0.33&amp;K116&lt;=0.66,"Medium","Low"))</f>
        <v>Low</v>
      </c>
      <c r="M116" s="0" t="n">
        <v>-5.757</v>
      </c>
      <c r="N116" s="3" t="n">
        <v>0.223</v>
      </c>
      <c r="O116" s="3" t="n">
        <v>0.0084</v>
      </c>
      <c r="P116" s="4" t="n">
        <v>5.37E-006</v>
      </c>
      <c r="Q116" s="3" t="n">
        <v>0.0342</v>
      </c>
      <c r="R116" s="3" t="n">
        <v>0.46</v>
      </c>
      <c r="S116" s="3" t="str">
        <f aca="false">IF(R116 &gt;= 0.5, "Positive", "Negative")</f>
        <v>Negative</v>
      </c>
      <c r="T116" s="2" t="n">
        <v>157.596</v>
      </c>
      <c r="U116" s="0" t="s">
        <v>31</v>
      </c>
    </row>
    <row r="117" customFormat="false" ht="14.25" hidden="false" customHeight="false" outlineLevel="0" collapsed="false">
      <c r="A117" s="0" t="n">
        <v>463</v>
      </c>
      <c r="B117" s="0" t="str">
        <f aca="false">_xlfn.xlookup(A117, artists!A$2:A$836, artists!B$2:B$836)</f>
        <v>Justin Bieber</v>
      </c>
      <c r="C117" s="1" t="s">
        <v>158</v>
      </c>
      <c r="D117" s="2" t="n">
        <v>214240</v>
      </c>
      <c r="E117" s="2" t="n">
        <f aca="false">D117/1000</f>
        <v>214.24</v>
      </c>
      <c r="F117" s="10" t="b">
        <f aca="false">FALSE()</f>
        <v>0</v>
      </c>
      <c r="G117" s="0" t="n">
        <v>13</v>
      </c>
      <c r="H117" s="0" t="n">
        <f aca="false">_xlfn.xlookup(G117, years!A$2:A$836, years!B$2:B$836)</f>
        <v>2010</v>
      </c>
      <c r="I117" s="2" t="n">
        <v>81</v>
      </c>
      <c r="J117" s="0" t="n">
        <v>0.728</v>
      </c>
      <c r="K117" s="0" t="n">
        <v>0.859</v>
      </c>
      <c r="L117" s="3" t="str">
        <f aca="false">IF(K117&gt;0.66,"High",IF(K117&gt;0.33&amp;K117&lt;=0.66,"Medium","Low"))</f>
        <v>High</v>
      </c>
      <c r="M117" s="0" t="n">
        <v>-5.237</v>
      </c>
      <c r="N117" s="3" t="n">
        <v>0.137</v>
      </c>
      <c r="O117" s="3" t="n">
        <v>0.0401</v>
      </c>
      <c r="P117" s="4" t="n">
        <v>0</v>
      </c>
      <c r="Q117" s="3" t="n">
        <v>0.111</v>
      </c>
      <c r="R117" s="3" t="n">
        <v>0.535</v>
      </c>
      <c r="S117" s="3" t="str">
        <f aca="false">IF(R117 &gt;= 0.5, "Positive", "Negative")</f>
        <v>Positive</v>
      </c>
      <c r="T117" s="2" t="n">
        <v>65.043</v>
      </c>
      <c r="U117" s="0" t="s">
        <v>39</v>
      </c>
    </row>
    <row r="118" customFormat="false" ht="14.25" hidden="false" customHeight="false" outlineLevel="0" collapsed="false">
      <c r="A118" s="0" t="n">
        <v>40</v>
      </c>
      <c r="B118" s="0" t="str">
        <f aca="false">_xlfn.xlookup(A118, artists!A$2:A$836, artists!B$2:B$836)</f>
        <v>Bow Wow</v>
      </c>
      <c r="C118" s="1" t="s">
        <v>159</v>
      </c>
      <c r="D118" s="2" t="n">
        <v>205840</v>
      </c>
      <c r="E118" s="2" t="n">
        <f aca="false">D118/1000</f>
        <v>205.84</v>
      </c>
      <c r="F118" s="10" t="b">
        <f aca="false">FALSE()</f>
        <v>0</v>
      </c>
      <c r="G118" s="0" t="n">
        <v>8</v>
      </c>
      <c r="H118" s="0" t="n">
        <f aca="false">_xlfn.xlookup(G118, years!A$2:A$836, years!B$2:B$836)</f>
        <v>2005</v>
      </c>
      <c r="I118" s="2" t="n">
        <v>66</v>
      </c>
      <c r="J118" s="0" t="n">
        <v>0.714</v>
      </c>
      <c r="K118" s="0" t="n">
        <v>0.6</v>
      </c>
      <c r="L118" s="3" t="str">
        <f aca="false">IF(K118&gt;0.66,"High",IF(K118&gt;0.33&amp;K118&lt;=0.66,"Medium","Low"))</f>
        <v>Low</v>
      </c>
      <c r="M118" s="0" t="n">
        <v>-8.365</v>
      </c>
      <c r="N118" s="3" t="n">
        <v>0.0876</v>
      </c>
      <c r="O118" s="3" t="n">
        <v>0.0465</v>
      </c>
      <c r="P118" s="4" t="n">
        <v>0</v>
      </c>
      <c r="Q118" s="3" t="n">
        <v>0.0646</v>
      </c>
      <c r="R118" s="3" t="n">
        <v>0.504</v>
      </c>
      <c r="S118" s="3" t="str">
        <f aca="false">IF(R118 &gt;= 0.5, "Positive", "Negative")</f>
        <v>Positive</v>
      </c>
      <c r="T118" s="2" t="n">
        <v>82.017</v>
      </c>
      <c r="U118" s="0" t="s">
        <v>31</v>
      </c>
    </row>
    <row r="119" customFormat="false" ht="14.25" hidden="false" customHeight="false" outlineLevel="0" collapsed="false">
      <c r="A119" s="0" t="n">
        <v>40</v>
      </c>
      <c r="B119" s="0" t="str">
        <f aca="false">_xlfn.xlookup(A119, artists!A$2:A$836, artists!B$2:B$836)</f>
        <v>Bow Wow</v>
      </c>
      <c r="C119" s="1" t="s">
        <v>160</v>
      </c>
      <c r="D119" s="2" t="n">
        <v>248493</v>
      </c>
      <c r="E119" s="2" t="n">
        <f aca="false">D119/1000</f>
        <v>248.493</v>
      </c>
      <c r="F119" s="10" t="b">
        <f aca="false">FALSE()</f>
        <v>0</v>
      </c>
      <c r="G119" s="0" t="n">
        <v>8</v>
      </c>
      <c r="H119" s="0" t="n">
        <f aca="false">_xlfn.xlookup(G119, years!A$2:A$836, years!B$2:B$836)</f>
        <v>2005</v>
      </c>
      <c r="I119" s="2" t="n">
        <v>62</v>
      </c>
      <c r="J119" s="0" t="n">
        <v>0.815</v>
      </c>
      <c r="K119" s="0" t="n">
        <v>0.662</v>
      </c>
      <c r="L119" s="3" t="str">
        <f aca="false">IF(K119&gt;0.66,"High",IF(K119&gt;0.33&amp;K119&lt;=0.66,"Medium","Low"))</f>
        <v>High</v>
      </c>
      <c r="M119" s="0" t="n">
        <v>-8.244</v>
      </c>
      <c r="N119" s="3" t="n">
        <v>0.199</v>
      </c>
      <c r="O119" s="3" t="n">
        <v>0.0915</v>
      </c>
      <c r="P119" s="4" t="n">
        <v>0.000409</v>
      </c>
      <c r="Q119" s="3" t="n">
        <v>0.0898</v>
      </c>
      <c r="R119" s="3" t="n">
        <v>0.611</v>
      </c>
      <c r="S119" s="3" t="str">
        <f aca="false">IF(R119 &gt;= 0.5, "Positive", "Negative")</f>
        <v>Positive</v>
      </c>
      <c r="T119" s="2" t="n">
        <v>151.518</v>
      </c>
      <c r="U119" s="0" t="s">
        <v>31</v>
      </c>
    </row>
    <row r="120" customFormat="false" ht="14.25" hidden="false" customHeight="false" outlineLevel="0" collapsed="false">
      <c r="A120" s="0" t="n">
        <v>317</v>
      </c>
      <c r="B120" s="0" t="str">
        <f aca="false">_xlfn.xlookup(A120, artists!A$2:A$836, artists!B$2:B$836)</f>
        <v>Amy Winehouse</v>
      </c>
      <c r="C120" s="1" t="s">
        <v>161</v>
      </c>
      <c r="D120" s="2" t="n">
        <v>241293</v>
      </c>
      <c r="E120" s="2" t="n">
        <f aca="false">D120/1000</f>
        <v>241.293</v>
      </c>
      <c r="F120" s="10" t="b">
        <f aca="false">TRUE()</f>
        <v>1</v>
      </c>
      <c r="G120" s="0" t="n">
        <v>9</v>
      </c>
      <c r="H120" s="0" t="n">
        <f aca="false">_xlfn.xlookup(G120, years!A$2:A$836, years!B$2:B$836)</f>
        <v>2006</v>
      </c>
      <c r="I120" s="2" t="n">
        <v>76</v>
      </c>
      <c r="J120" s="0" t="n">
        <v>0.403</v>
      </c>
      <c r="K120" s="0" t="n">
        <v>0.422</v>
      </c>
      <c r="L120" s="3" t="str">
        <f aca="false">IF(K120&gt;0.66,"High",IF(K120&gt;0.33&amp;K120&lt;=0.66,"Medium","Low"))</f>
        <v>Low</v>
      </c>
      <c r="M120" s="0" t="n">
        <v>-13.964</v>
      </c>
      <c r="N120" s="3" t="n">
        <v>0.0373</v>
      </c>
      <c r="O120" s="3" t="n">
        <v>0.134</v>
      </c>
      <c r="P120" s="4" t="n">
        <v>2.05E-005</v>
      </c>
      <c r="Q120" s="3" t="n">
        <v>0.0861</v>
      </c>
      <c r="R120" s="3" t="n">
        <v>0.378</v>
      </c>
      <c r="S120" s="3" t="str">
        <f aca="false">IF(R120 &gt;= 0.5, "Positive", "Negative")</f>
        <v>Negative</v>
      </c>
      <c r="T120" s="2" t="n">
        <v>122.728</v>
      </c>
      <c r="U120" s="0" t="s">
        <v>128</v>
      </c>
    </row>
    <row r="121" customFormat="false" ht="14.25" hidden="false" customHeight="false" outlineLevel="0" collapsed="false">
      <c r="A121" s="0" t="n">
        <v>439</v>
      </c>
      <c r="B121" s="0" t="str">
        <f aca="false">_xlfn.xlookup(A121, artists!A$2:A$836, artists!B$2:B$836)</f>
        <v>Taylor Swift</v>
      </c>
      <c r="C121" s="1" t="s">
        <v>162</v>
      </c>
      <c r="D121" s="2" t="n">
        <v>293026</v>
      </c>
      <c r="E121" s="2" t="n">
        <f aca="false">D121/1000</f>
        <v>293.026</v>
      </c>
      <c r="F121" s="10" t="b">
        <f aca="false">FALSE()</f>
        <v>0</v>
      </c>
      <c r="G121" s="0" t="n">
        <v>13</v>
      </c>
      <c r="H121" s="0" t="n">
        <f aca="false">_xlfn.xlookup(G121, years!A$2:A$836, years!B$2:B$836)</f>
        <v>2010</v>
      </c>
      <c r="I121" s="2" t="n">
        <v>65</v>
      </c>
      <c r="J121" s="0" t="n">
        <v>0.529</v>
      </c>
      <c r="K121" s="0" t="n">
        <v>0.67</v>
      </c>
      <c r="L121" s="3" t="str">
        <f aca="false">IF(K121&gt;0.66,"High",IF(K121&gt;0.33&amp;K121&lt;=0.66,"Medium","Low"))</f>
        <v>High</v>
      </c>
      <c r="M121" s="0" t="n">
        <v>-4.663</v>
      </c>
      <c r="N121" s="3" t="n">
        <v>0.0303</v>
      </c>
      <c r="O121" s="3" t="n">
        <v>0.117</v>
      </c>
      <c r="P121" s="4" t="n">
        <v>0</v>
      </c>
      <c r="Q121" s="3" t="n">
        <v>0.334</v>
      </c>
      <c r="R121" s="3" t="n">
        <v>0.286</v>
      </c>
      <c r="S121" s="3" t="str">
        <f aca="false">IF(R121 &gt;= 0.5, "Positive", "Negative")</f>
        <v>Negative</v>
      </c>
      <c r="T121" s="2" t="n">
        <v>141.893</v>
      </c>
      <c r="U121" s="0" t="s">
        <v>39</v>
      </c>
    </row>
    <row r="122" customFormat="false" ht="14.25" hidden="false" customHeight="false" outlineLevel="0" collapsed="false">
      <c r="A122" s="0" t="n">
        <v>590</v>
      </c>
      <c r="B122" s="0" t="str">
        <f aca="false">_xlfn.xlookup(A122, artists!A$2:A$836, artists!B$2:B$836)</f>
        <v>Wale</v>
      </c>
      <c r="C122" s="1" t="s">
        <v>163</v>
      </c>
      <c r="D122" s="2" t="n">
        <v>238826</v>
      </c>
      <c r="E122" s="2" t="n">
        <f aca="false">D122/1000</f>
        <v>238.826</v>
      </c>
      <c r="F122" s="10" t="b">
        <f aca="false">TRUE()</f>
        <v>1</v>
      </c>
      <c r="G122" s="0" t="n">
        <v>16</v>
      </c>
      <c r="H122" s="0" t="n">
        <f aca="false">_xlfn.xlookup(G122, years!A$2:A$836, years!B$2:B$836)</f>
        <v>2013</v>
      </c>
      <c r="I122" s="2" t="n">
        <v>61</v>
      </c>
      <c r="J122" s="0" t="n">
        <v>0.807</v>
      </c>
      <c r="K122" s="0" t="n">
        <v>0.702</v>
      </c>
      <c r="L122" s="3" t="str">
        <f aca="false">IF(K122&gt;0.66,"High",IF(K122&gt;0.33&amp;K122&lt;=0.66,"Medium","Low"))</f>
        <v>High</v>
      </c>
      <c r="M122" s="0" t="n">
        <v>-6.594</v>
      </c>
      <c r="N122" s="3" t="n">
        <v>0.0748</v>
      </c>
      <c r="O122" s="3" t="n">
        <v>0.307</v>
      </c>
      <c r="P122" s="4" t="n">
        <v>0</v>
      </c>
      <c r="Q122" s="3" t="n">
        <v>0.111</v>
      </c>
      <c r="R122" s="3" t="n">
        <v>0.447</v>
      </c>
      <c r="S122" s="3" t="str">
        <f aca="false">IF(R122 &gt;= 0.5, "Positive", "Negative")</f>
        <v>Negative</v>
      </c>
      <c r="T122" s="2" t="n">
        <v>114.038</v>
      </c>
      <c r="U122" s="0" t="s">
        <v>31</v>
      </c>
    </row>
    <row r="123" customFormat="false" ht="14.25" hidden="false" customHeight="false" outlineLevel="0" collapsed="false">
      <c r="A123" s="0" t="n">
        <v>438</v>
      </c>
      <c r="B123" s="0" t="str">
        <f aca="false">_xlfn.xlookup(A123, artists!A$2:A$836, artists!B$2:B$836)</f>
        <v>David Guetta</v>
      </c>
      <c r="C123" s="1" t="s">
        <v>164</v>
      </c>
      <c r="D123" s="2" t="n">
        <v>170625</v>
      </c>
      <c r="E123" s="2" t="n">
        <f aca="false">D123/1000</f>
        <v>170.625</v>
      </c>
      <c r="F123" s="10" t="b">
        <f aca="false">FALSE()</f>
        <v>0</v>
      </c>
      <c r="G123" s="0" t="n">
        <v>17</v>
      </c>
      <c r="H123" s="0" t="n">
        <f aca="false">_xlfn.xlookup(G123, years!A$2:A$836, years!B$2:B$836)</f>
        <v>2014</v>
      </c>
      <c r="I123" s="2" t="n">
        <v>45</v>
      </c>
      <c r="J123" s="0" t="n">
        <v>0.614</v>
      </c>
      <c r="K123" s="0" t="n">
        <v>0.972</v>
      </c>
      <c r="L123" s="3" t="str">
        <f aca="false">IF(K123&gt;0.66,"High",IF(K123&gt;0.33&amp;K123&lt;=0.66,"Medium","Low"))</f>
        <v>High</v>
      </c>
      <c r="M123" s="0" t="n">
        <v>-3.927</v>
      </c>
      <c r="N123" s="3" t="n">
        <v>0.088</v>
      </c>
      <c r="O123" s="3" t="n">
        <v>0.00125</v>
      </c>
      <c r="P123" s="4" t="n">
        <v>0.0186</v>
      </c>
      <c r="Q123" s="3" t="n">
        <v>0.328</v>
      </c>
      <c r="R123" s="3" t="n">
        <v>0.411</v>
      </c>
      <c r="S123" s="3" t="str">
        <f aca="false">IF(R123 &gt;= 0.5, "Positive", "Negative")</f>
        <v>Negative</v>
      </c>
      <c r="T123" s="2" t="n">
        <v>127.966</v>
      </c>
      <c r="U123" s="0" t="s">
        <v>53</v>
      </c>
    </row>
    <row r="124" customFormat="false" ht="14.25" hidden="false" customHeight="false" outlineLevel="0" collapsed="false">
      <c r="A124" s="0" t="n">
        <v>687</v>
      </c>
      <c r="B124" s="0" t="str">
        <f aca="false">_xlfn.xlookup(A124, artists!A$2:A$836, artists!B$2:B$836)</f>
        <v>G-Eazy</v>
      </c>
      <c r="C124" s="1" t="s">
        <v>165</v>
      </c>
      <c r="D124" s="2" t="n">
        <v>251466</v>
      </c>
      <c r="E124" s="2" t="n">
        <f aca="false">D124/1000</f>
        <v>251.466</v>
      </c>
      <c r="F124" s="10" t="b">
        <f aca="false">TRUE()</f>
        <v>1</v>
      </c>
      <c r="G124" s="0" t="n">
        <v>18</v>
      </c>
      <c r="H124" s="0" t="n">
        <f aca="false">_xlfn.xlookup(G124, years!A$2:A$836, years!B$2:B$836)</f>
        <v>2015</v>
      </c>
      <c r="I124" s="2" t="n">
        <v>77</v>
      </c>
      <c r="J124" s="0" t="n">
        <v>0.756</v>
      </c>
      <c r="K124" s="0" t="n">
        <v>0.674</v>
      </c>
      <c r="L124" s="3" t="str">
        <f aca="false">IF(K124&gt;0.66,"High",IF(K124&gt;0.33&amp;K124&lt;=0.66,"Medium","Low"))</f>
        <v>High</v>
      </c>
      <c r="M124" s="0" t="n">
        <v>-6.518</v>
      </c>
      <c r="N124" s="3" t="n">
        <v>0.0959</v>
      </c>
      <c r="O124" s="3" t="n">
        <v>0.0184</v>
      </c>
      <c r="P124" s="4" t="n">
        <v>0</v>
      </c>
      <c r="Q124" s="3" t="n">
        <v>0.158</v>
      </c>
      <c r="R124" s="3" t="n">
        <v>0.389</v>
      </c>
      <c r="S124" s="3" t="str">
        <f aca="false">IF(R124 &gt;= 0.5, "Positive", "Negative")</f>
        <v>Negative</v>
      </c>
      <c r="T124" s="2" t="n">
        <v>111.995</v>
      </c>
      <c r="U124" s="0" t="s">
        <v>24</v>
      </c>
    </row>
    <row r="125" customFormat="false" ht="14.25" hidden="false" customHeight="false" outlineLevel="0" collapsed="false">
      <c r="A125" s="0" t="n">
        <v>786</v>
      </c>
      <c r="B125" s="0" t="str">
        <f aca="false">_xlfn.xlookup(A125, artists!A$2:A$836, artists!B$2:B$836)</f>
        <v>Halsey</v>
      </c>
      <c r="C125" s="1" t="s">
        <v>166</v>
      </c>
      <c r="D125" s="2" t="n">
        <v>181279</v>
      </c>
      <c r="E125" s="2" t="n">
        <f aca="false">D125/1000</f>
        <v>181.279</v>
      </c>
      <c r="F125" s="10" t="b">
        <f aca="false">FALSE()</f>
        <v>0</v>
      </c>
      <c r="G125" s="0" t="n">
        <v>20</v>
      </c>
      <c r="H125" s="0" t="n">
        <f aca="false">_xlfn.xlookup(G125, years!A$2:A$836, years!B$2:B$836)</f>
        <v>2017</v>
      </c>
      <c r="I125" s="2" t="n">
        <v>72</v>
      </c>
      <c r="J125" s="0" t="n">
        <v>0.675</v>
      </c>
      <c r="K125" s="0" t="n">
        <v>0.751</v>
      </c>
      <c r="L125" s="3" t="str">
        <f aca="false">IF(K125&gt;0.66,"High",IF(K125&gt;0.33&amp;K125&lt;=0.66,"Medium","Low"))</f>
        <v>High</v>
      </c>
      <c r="M125" s="0" t="n">
        <v>-3.539</v>
      </c>
      <c r="N125" s="3" t="n">
        <v>0.0296</v>
      </c>
      <c r="O125" s="3" t="n">
        <v>0.0604</v>
      </c>
      <c r="P125" s="4" t="n">
        <v>0</v>
      </c>
      <c r="Q125" s="3" t="n">
        <v>0.0893</v>
      </c>
      <c r="R125" s="3" t="n">
        <v>0.612</v>
      </c>
      <c r="S125" s="3" t="str">
        <f aca="false">IF(R125 &gt;= 0.5, "Positive", "Negative")</f>
        <v>Positive</v>
      </c>
      <c r="T125" s="2" t="n">
        <v>118.384</v>
      </c>
      <c r="U125" s="0" t="s">
        <v>22</v>
      </c>
    </row>
    <row r="126" customFormat="false" ht="14.25" hidden="false" customHeight="false" outlineLevel="0" collapsed="false">
      <c r="A126" s="0" t="n">
        <v>439</v>
      </c>
      <c r="B126" s="0" t="str">
        <f aca="false">_xlfn.xlookup(A126, artists!A$2:A$836, artists!B$2:B$836)</f>
        <v>Taylor Swift</v>
      </c>
      <c r="C126" s="1" t="s">
        <v>167</v>
      </c>
      <c r="D126" s="2" t="n">
        <v>211933</v>
      </c>
      <c r="E126" s="2" t="n">
        <f aca="false">D126/1000</f>
        <v>211.933</v>
      </c>
      <c r="F126" s="10" t="b">
        <f aca="false">FALSE()</f>
        <v>0</v>
      </c>
      <c r="G126" s="0" t="n">
        <v>17</v>
      </c>
      <c r="H126" s="0" t="n">
        <f aca="false">_xlfn.xlookup(G126, years!A$2:A$836, years!B$2:B$836)</f>
        <v>2014</v>
      </c>
      <c r="I126" s="2" t="n">
        <v>54</v>
      </c>
      <c r="J126" s="0" t="n">
        <v>0.646</v>
      </c>
      <c r="K126" s="0" t="n">
        <v>0.794</v>
      </c>
      <c r="L126" s="3" t="str">
        <f aca="false">IF(K126&gt;0.66,"High",IF(K126&gt;0.33&amp;K126&lt;=0.66,"Medium","Low"))</f>
        <v>High</v>
      </c>
      <c r="M126" s="0" t="n">
        <v>-6.104</v>
      </c>
      <c r="N126" s="3" t="n">
        <v>0.19</v>
      </c>
      <c r="O126" s="3" t="n">
        <v>0.0885</v>
      </c>
      <c r="P126" s="4" t="n">
        <v>6.16E-006</v>
      </c>
      <c r="Q126" s="3" t="n">
        <v>0.201</v>
      </c>
      <c r="R126" s="3" t="n">
        <v>0.287</v>
      </c>
      <c r="S126" s="3" t="str">
        <f aca="false">IF(R126 &gt;= 0.5, "Positive", "Negative")</f>
        <v>Negative</v>
      </c>
      <c r="T126" s="2" t="n">
        <v>170.216</v>
      </c>
      <c r="U126" s="0" t="s">
        <v>39</v>
      </c>
    </row>
    <row r="127" customFormat="false" ht="14.25" hidden="false" customHeight="false" outlineLevel="0" collapsed="false">
      <c r="A127" s="0" t="n">
        <v>439</v>
      </c>
      <c r="B127" s="0" t="str">
        <f aca="false">_xlfn.xlookup(A127, artists!A$2:A$836, artists!B$2:B$836)</f>
        <v>Taylor Swift</v>
      </c>
      <c r="C127" s="1" t="s">
        <v>167</v>
      </c>
      <c r="D127" s="2" t="n">
        <v>200106</v>
      </c>
      <c r="E127" s="2" t="n">
        <f aca="false">D127/1000</f>
        <v>200.106</v>
      </c>
      <c r="F127" s="10" t="b">
        <f aca="false">FALSE()</f>
        <v>0</v>
      </c>
      <c r="G127" s="0" t="n">
        <v>18</v>
      </c>
      <c r="H127" s="0" t="n">
        <f aca="false">_xlfn.xlookup(G127, years!A$2:A$836, years!B$2:B$836)</f>
        <v>2015</v>
      </c>
      <c r="I127" s="2" t="n">
        <v>70</v>
      </c>
      <c r="J127" s="0" t="n">
        <v>0.654</v>
      </c>
      <c r="K127" s="0" t="n">
        <v>0.655</v>
      </c>
      <c r="L127" s="3" t="str">
        <f aca="false">IF(K127&gt;0.66,"High",IF(K127&gt;0.33&amp;K127&lt;=0.66,"Medium","Low"))</f>
        <v>Low</v>
      </c>
      <c r="M127" s="0" t="n">
        <v>-7.388</v>
      </c>
      <c r="N127" s="3" t="n">
        <v>0.106</v>
      </c>
      <c r="O127" s="3" t="n">
        <v>0.0294</v>
      </c>
      <c r="P127" s="4" t="n">
        <v>0</v>
      </c>
      <c r="Q127" s="3" t="n">
        <v>0.139</v>
      </c>
      <c r="R127" s="3" t="n">
        <v>0.221</v>
      </c>
      <c r="S127" s="3" t="str">
        <f aca="false">IF(R127 &gt;= 0.5, "Positive", "Negative")</f>
        <v>Negative</v>
      </c>
      <c r="T127" s="2" t="n">
        <v>170.16</v>
      </c>
      <c r="U127" s="0" t="s">
        <v>39</v>
      </c>
    </row>
    <row r="128" customFormat="false" ht="14.25" hidden="false" customHeight="false" outlineLevel="0" collapsed="false">
      <c r="A128" s="0" t="n">
        <v>426</v>
      </c>
      <c r="B128" s="0" t="str">
        <f aca="false">_xlfn.xlookup(A128, artists!A$2:A$836, artists!B$2:B$836)</f>
        <v>Alexandra Burke</v>
      </c>
      <c r="C128" s="1" t="s">
        <v>168</v>
      </c>
      <c r="D128" s="2" t="n">
        <v>206480</v>
      </c>
      <c r="E128" s="2" t="n">
        <f aca="false">D128/1000</f>
        <v>206.48</v>
      </c>
      <c r="F128" s="10" t="b">
        <f aca="false">FALSE()</f>
        <v>0</v>
      </c>
      <c r="G128" s="0" t="n">
        <v>12</v>
      </c>
      <c r="H128" s="0" t="n">
        <f aca="false">_xlfn.xlookup(G128, years!A$2:A$836, years!B$2:B$836)</f>
        <v>2009</v>
      </c>
      <c r="I128" s="2" t="n">
        <v>57</v>
      </c>
      <c r="J128" s="0" t="n">
        <v>0.67</v>
      </c>
      <c r="K128" s="0" t="n">
        <v>0.866</v>
      </c>
      <c r="L128" s="3" t="str">
        <f aca="false">IF(K128&gt;0.66,"High",IF(K128&gt;0.33&amp;K128&lt;=0.66,"Medium","Low"))</f>
        <v>High</v>
      </c>
      <c r="M128" s="0" t="n">
        <v>-3.684</v>
      </c>
      <c r="N128" s="3" t="n">
        <v>0.0538</v>
      </c>
      <c r="O128" s="3" t="n">
        <v>0.0115</v>
      </c>
      <c r="P128" s="4" t="n">
        <v>0</v>
      </c>
      <c r="Q128" s="3" t="n">
        <v>0.358</v>
      </c>
      <c r="R128" s="3" t="n">
        <v>0.636</v>
      </c>
      <c r="S128" s="3" t="str">
        <f aca="false">IF(R128 &gt;= 0.5, "Positive", "Negative")</f>
        <v>Positive</v>
      </c>
      <c r="T128" s="2" t="n">
        <v>140.029</v>
      </c>
      <c r="U128" s="0" t="s">
        <v>39</v>
      </c>
    </row>
    <row r="129" customFormat="false" ht="14.25" hidden="false" customHeight="false" outlineLevel="0" collapsed="false">
      <c r="A129" s="0" t="n">
        <v>286</v>
      </c>
      <c r="B129" s="0" t="str">
        <f aca="false">_xlfn.xlookup(A129, artists!A$2:A$836, artists!B$2:B$836)</f>
        <v>Daniel Powter</v>
      </c>
      <c r="C129" s="1" t="s">
        <v>169</v>
      </c>
      <c r="D129" s="2" t="n">
        <v>233640</v>
      </c>
      <c r="E129" s="2" t="n">
        <f aca="false">D129/1000</f>
        <v>233.64</v>
      </c>
      <c r="F129" s="10" t="b">
        <f aca="false">FALSE()</f>
        <v>0</v>
      </c>
      <c r="G129" s="0" t="n">
        <v>8</v>
      </c>
      <c r="H129" s="0" t="n">
        <f aca="false">_xlfn.xlookup(G129, years!A$2:A$836, years!B$2:B$836)</f>
        <v>2005</v>
      </c>
      <c r="I129" s="2" t="n">
        <v>74</v>
      </c>
      <c r="J129" s="0" t="n">
        <v>0.599</v>
      </c>
      <c r="K129" s="0" t="n">
        <v>0.785</v>
      </c>
      <c r="L129" s="3" t="str">
        <f aca="false">IF(K129&gt;0.66,"High",IF(K129&gt;0.33&amp;K129&lt;=0.66,"Medium","Low"))</f>
        <v>High</v>
      </c>
      <c r="M129" s="0" t="n">
        <v>-4.013</v>
      </c>
      <c r="N129" s="3" t="n">
        <v>0.0309</v>
      </c>
      <c r="O129" s="3" t="n">
        <v>0.448</v>
      </c>
      <c r="P129" s="4" t="n">
        <v>0.00336</v>
      </c>
      <c r="Q129" s="3" t="n">
        <v>0.151</v>
      </c>
      <c r="R129" s="3" t="n">
        <v>0.52</v>
      </c>
      <c r="S129" s="3" t="str">
        <f aca="false">IF(R129 &gt;= 0.5, "Positive", "Negative")</f>
        <v>Positive</v>
      </c>
      <c r="T129" s="2" t="n">
        <v>140.046</v>
      </c>
      <c r="U129" s="0" t="s">
        <v>39</v>
      </c>
    </row>
    <row r="130" customFormat="false" ht="14.25" hidden="false" customHeight="false" outlineLevel="0" collapsed="false">
      <c r="A130" s="0" t="n">
        <v>376</v>
      </c>
      <c r="B130" s="0" t="str">
        <f aca="false">_xlfn.xlookup(A130, artists!A$2:A$836, artists!B$2:B$836)</f>
        <v>Baby Boy Da Prince</v>
      </c>
      <c r="C130" s="1" t="s">
        <v>170</v>
      </c>
      <c r="D130" s="2" t="n">
        <v>324906</v>
      </c>
      <c r="E130" s="2" t="n">
        <f aca="false">D130/1000</f>
        <v>324.906</v>
      </c>
      <c r="F130" s="10" t="b">
        <f aca="false">TRUE()</f>
        <v>1</v>
      </c>
      <c r="G130" s="0" t="n">
        <v>9</v>
      </c>
      <c r="H130" s="0" t="n">
        <f aca="false">_xlfn.xlookup(G130, years!A$2:A$836, years!B$2:B$836)</f>
        <v>2006</v>
      </c>
      <c r="I130" s="2" t="n">
        <v>59</v>
      </c>
      <c r="J130" s="0" t="n">
        <v>0.88</v>
      </c>
      <c r="K130" s="0" t="n">
        <v>0.438</v>
      </c>
      <c r="L130" s="3" t="str">
        <f aca="false">IF(K130&gt;0.66,"High",IF(K130&gt;0.33&amp;K130&lt;=0.66,"Medium","Low"))</f>
        <v>Low</v>
      </c>
      <c r="M130" s="0" t="n">
        <v>-7.562</v>
      </c>
      <c r="N130" s="3" t="n">
        <v>0.248</v>
      </c>
      <c r="O130" s="3" t="n">
        <v>0.0147</v>
      </c>
      <c r="P130" s="4" t="n">
        <v>0</v>
      </c>
      <c r="Q130" s="3" t="n">
        <v>0.0907</v>
      </c>
      <c r="R130" s="3" t="n">
        <v>0.714</v>
      </c>
      <c r="S130" s="3" t="str">
        <f aca="false">IF(R130 &gt;= 0.5, "Positive", "Negative")</f>
        <v>Positive</v>
      </c>
      <c r="T130" s="2" t="n">
        <v>90.02</v>
      </c>
      <c r="U130" s="0" t="s">
        <v>24</v>
      </c>
    </row>
    <row r="131" customFormat="false" ht="14.25" hidden="false" customHeight="false" outlineLevel="0" collapsed="false">
      <c r="A131" s="0" t="n">
        <v>437</v>
      </c>
      <c r="B131" s="0" t="str">
        <f aca="false">_xlfn.xlookup(A131, artists!A$2:A$836, artists!B$2:B$836)</f>
        <v>Lady Gaga</v>
      </c>
      <c r="C131" s="1" t="s">
        <v>171</v>
      </c>
      <c r="D131" s="2" t="n">
        <v>294573</v>
      </c>
      <c r="E131" s="2" t="n">
        <f aca="false">D131/1000</f>
        <v>294.573</v>
      </c>
      <c r="F131" s="10" t="b">
        <f aca="false">TRUE()</f>
        <v>1</v>
      </c>
      <c r="G131" s="0" t="n">
        <v>12</v>
      </c>
      <c r="H131" s="0" t="n">
        <f aca="false">_xlfn.xlookup(G131, years!A$2:A$836, years!B$2:B$836)</f>
        <v>2009</v>
      </c>
      <c r="I131" s="2" t="n">
        <v>80</v>
      </c>
      <c r="J131" s="0" t="n">
        <v>0.696</v>
      </c>
      <c r="K131" s="0" t="n">
        <v>0.921</v>
      </c>
      <c r="L131" s="3" t="str">
        <f aca="false">IF(K131&gt;0.66,"High",IF(K131&gt;0.33&amp;K131&lt;=0.66,"Medium","Low"))</f>
        <v>High</v>
      </c>
      <c r="M131" s="0" t="n">
        <v>-3.755</v>
      </c>
      <c r="N131" s="3" t="n">
        <v>0.0363</v>
      </c>
      <c r="O131" s="3" t="n">
        <v>0.00314</v>
      </c>
      <c r="P131" s="4" t="n">
        <v>5.24E-005</v>
      </c>
      <c r="Q131" s="3" t="n">
        <v>0.0842</v>
      </c>
      <c r="R131" s="3" t="n">
        <v>0.714</v>
      </c>
      <c r="S131" s="3" t="str">
        <f aca="false">IF(R131 &gt;= 0.5, "Positive", "Negative")</f>
        <v>Positive</v>
      </c>
      <c r="T131" s="2" t="n">
        <v>119.001</v>
      </c>
      <c r="U131" s="0" t="s">
        <v>39</v>
      </c>
    </row>
    <row r="132" customFormat="false" ht="14.25" hidden="false" customHeight="false" outlineLevel="0" collapsed="false">
      <c r="A132" s="0" t="n">
        <v>445</v>
      </c>
      <c r="B132" s="0" t="str">
        <f aca="false">_xlfn.xlookup(A132, artists!A$2:A$836, artists!B$2:B$836)</f>
        <v>Jeremih</v>
      </c>
      <c r="C132" s="1" t="s">
        <v>172</v>
      </c>
      <c r="D132" s="2" t="n">
        <v>238320</v>
      </c>
      <c r="E132" s="2" t="n">
        <f aca="false">D132/1000</f>
        <v>238.32</v>
      </c>
      <c r="F132" s="10" t="b">
        <f aca="false">FALSE()</f>
        <v>0</v>
      </c>
      <c r="G132" s="0" t="n">
        <v>18</v>
      </c>
      <c r="H132" s="0" t="n">
        <f aca="false">_xlfn.xlookup(G132, years!A$2:A$836, years!B$2:B$836)</f>
        <v>2015</v>
      </c>
      <c r="I132" s="2" t="n">
        <v>77</v>
      </c>
      <c r="J132" s="0" t="n">
        <v>0.418</v>
      </c>
      <c r="K132" s="0" t="n">
        <v>0.724</v>
      </c>
      <c r="L132" s="3" t="str">
        <f aca="false">IF(K132&gt;0.66,"High",IF(K132&gt;0.33&amp;K132&lt;=0.66,"Medium","Low"))</f>
        <v>High</v>
      </c>
      <c r="M132" s="0" t="n">
        <v>-3.724</v>
      </c>
      <c r="N132" s="3" t="n">
        <v>0.0964</v>
      </c>
      <c r="O132" s="3" t="n">
        <v>0.213</v>
      </c>
      <c r="P132" s="4" t="n">
        <v>0</v>
      </c>
      <c r="Q132" s="3" t="n">
        <v>0.112</v>
      </c>
      <c r="R132" s="3" t="n">
        <v>0.604</v>
      </c>
      <c r="S132" s="3" t="str">
        <f aca="false">IF(R132 &gt;= 0.5, "Positive", "Negative")</f>
        <v>Positive</v>
      </c>
      <c r="T132" s="2" t="n">
        <v>78.521</v>
      </c>
      <c r="U132" s="0" t="s">
        <v>31</v>
      </c>
    </row>
    <row r="133" customFormat="false" ht="14.25" hidden="false" customHeight="false" outlineLevel="0" collapsed="false">
      <c r="A133" s="0" t="n">
        <v>73</v>
      </c>
      <c r="B133" s="0" t="str">
        <f aca="false">_xlfn.xlookup(A133, artists!A$2:A$836, artists!B$2:B$836)</f>
        <v>Erykah Badu</v>
      </c>
      <c r="C133" s="1" t="s">
        <v>173</v>
      </c>
      <c r="D133" s="2" t="n">
        <v>348893</v>
      </c>
      <c r="E133" s="2" t="n">
        <f aca="false">D133/1000</f>
        <v>348.893</v>
      </c>
      <c r="F133" s="10" t="b">
        <f aca="false">FALSE()</f>
        <v>0</v>
      </c>
      <c r="G133" s="0" t="n">
        <v>3</v>
      </c>
      <c r="H133" s="0" t="n">
        <f aca="false">_xlfn.xlookup(G133, years!A$2:A$836, years!B$2:B$836)</f>
        <v>2000</v>
      </c>
      <c r="I133" s="2" t="n">
        <v>54</v>
      </c>
      <c r="J133" s="0" t="n">
        <v>0.724</v>
      </c>
      <c r="K133" s="0" t="n">
        <v>0.416</v>
      </c>
      <c r="L133" s="3" t="str">
        <f aca="false">IF(K133&gt;0.66,"High",IF(K133&gt;0.33&amp;K133&lt;=0.66,"Medium","Low"))</f>
        <v>Low</v>
      </c>
      <c r="M133" s="0" t="n">
        <v>-8.964</v>
      </c>
      <c r="N133" s="3" t="n">
        <v>0.0841</v>
      </c>
      <c r="O133" s="3" t="n">
        <v>0.365</v>
      </c>
      <c r="P133" s="4" t="n">
        <v>0</v>
      </c>
      <c r="Q133" s="3" t="n">
        <v>0.0969</v>
      </c>
      <c r="R133" s="3" t="n">
        <v>0.578</v>
      </c>
      <c r="S133" s="3" t="str">
        <f aca="false">IF(R133 &gt;= 0.5, "Positive", "Negative")</f>
        <v>Positive</v>
      </c>
      <c r="T133" s="2" t="n">
        <v>151.181</v>
      </c>
      <c r="U133" s="0" t="s">
        <v>174</v>
      </c>
    </row>
    <row r="134" customFormat="false" ht="14.25" hidden="false" customHeight="false" outlineLevel="0" collapsed="false">
      <c r="A134" s="0" t="n">
        <v>38</v>
      </c>
      <c r="B134" s="0" t="str">
        <f aca="false">_xlfn.xlookup(A134, artists!A$2:A$836, artists!B$2:B$836)</f>
        <v>Enrique Iglesias</v>
      </c>
      <c r="C134" s="1" t="s">
        <v>175</v>
      </c>
      <c r="D134" s="2" t="n">
        <v>243386</v>
      </c>
      <c r="E134" s="2" t="n">
        <f aca="false">D134/1000</f>
        <v>243.386</v>
      </c>
      <c r="F134" s="10" t="b">
        <f aca="false">FALSE()</f>
        <v>0</v>
      </c>
      <c r="G134" s="0" t="n">
        <v>17</v>
      </c>
      <c r="H134" s="0" t="n">
        <f aca="false">_xlfn.xlookup(G134, years!A$2:A$836, years!B$2:B$836)</f>
        <v>2014</v>
      </c>
      <c r="I134" s="2" t="n">
        <v>66</v>
      </c>
      <c r="J134" s="0" t="n">
        <v>0.718</v>
      </c>
      <c r="K134" s="0" t="n">
        <v>0.792</v>
      </c>
      <c r="L134" s="3" t="str">
        <f aca="false">IF(K134&gt;0.66,"High",IF(K134&gt;0.33&amp;K134&lt;=0.66,"Medium","Low"))</f>
        <v>High</v>
      </c>
      <c r="M134" s="0" t="n">
        <v>-3.519</v>
      </c>
      <c r="N134" s="3" t="n">
        <v>0.105</v>
      </c>
      <c r="O134" s="3" t="n">
        <v>0.0467</v>
      </c>
      <c r="P134" s="4" t="n">
        <v>3.65E-006</v>
      </c>
      <c r="Q134" s="3" t="n">
        <v>0.0399</v>
      </c>
      <c r="R134" s="3" t="n">
        <v>0.96</v>
      </c>
      <c r="S134" s="3" t="str">
        <f aca="false">IF(R134 &gt;= 0.5, "Positive", "Negative")</f>
        <v>Positive</v>
      </c>
      <c r="T134" s="2" t="n">
        <v>90.949</v>
      </c>
      <c r="U134" s="0" t="s">
        <v>75</v>
      </c>
    </row>
    <row r="135" customFormat="false" ht="14.25" hidden="false" customHeight="false" outlineLevel="0" collapsed="false">
      <c r="A135" s="0" t="n">
        <v>245</v>
      </c>
      <c r="B135" s="0" t="str">
        <f aca="false">_xlfn.xlookup(A135, artists!A$2:A$836, artists!B$2:B$836)</f>
        <v>Akon</v>
      </c>
      <c r="C135" s="1" t="s">
        <v>176</v>
      </c>
      <c r="D135" s="2" t="n">
        <v>238493</v>
      </c>
      <c r="E135" s="2" t="n">
        <f aca="false">D135/1000</f>
        <v>238.493</v>
      </c>
      <c r="F135" s="10" t="b">
        <f aca="false">FALSE()</f>
        <v>0</v>
      </c>
      <c r="G135" s="0" t="n">
        <v>7</v>
      </c>
      <c r="H135" s="0" t="n">
        <f aca="false">_xlfn.xlookup(G135, years!A$2:A$836, years!B$2:B$836)</f>
        <v>2004</v>
      </c>
      <c r="I135" s="2" t="n">
        <v>28</v>
      </c>
      <c r="J135" s="0" t="n">
        <v>0.878</v>
      </c>
      <c r="K135" s="0" t="n">
        <v>0.699</v>
      </c>
      <c r="L135" s="3" t="str">
        <f aca="false">IF(K135&gt;0.66,"High",IF(K135&gt;0.33&amp;K135&lt;=0.66,"Medium","Low"))</f>
        <v>High</v>
      </c>
      <c r="M135" s="0" t="n">
        <v>-5.897</v>
      </c>
      <c r="N135" s="3" t="n">
        <v>0.132</v>
      </c>
      <c r="O135" s="3" t="n">
        <v>0.0345</v>
      </c>
      <c r="P135" s="4" t="n">
        <v>3.37E-006</v>
      </c>
      <c r="Q135" s="3" t="n">
        <v>0.755</v>
      </c>
      <c r="R135" s="3" t="n">
        <v>0.666</v>
      </c>
      <c r="S135" s="3" t="str">
        <f aca="false">IF(R135 &gt;= 0.5, "Positive", "Negative")</f>
        <v>Positive</v>
      </c>
      <c r="T135" s="2" t="n">
        <v>104.838</v>
      </c>
      <c r="U135" s="0" t="s">
        <v>39</v>
      </c>
    </row>
    <row r="136" customFormat="false" ht="14.25" hidden="false" customHeight="false" outlineLevel="0" collapsed="false">
      <c r="A136" s="0" t="n">
        <v>515</v>
      </c>
      <c r="B136" s="0" t="str">
        <f aca="false">_xlfn.xlookup(A136, artists!A$2:A$836, artists!B$2:B$836)</f>
        <v>Jessie J</v>
      </c>
      <c r="C136" s="1" t="s">
        <v>177</v>
      </c>
      <c r="D136" s="2" t="n">
        <v>199386</v>
      </c>
      <c r="E136" s="2" t="n">
        <f aca="false">D136/1000</f>
        <v>199.386</v>
      </c>
      <c r="F136" s="10" t="b">
        <f aca="false">FALSE()</f>
        <v>0</v>
      </c>
      <c r="G136" s="0" t="n">
        <v>17</v>
      </c>
      <c r="H136" s="0" t="n">
        <f aca="false">_xlfn.xlookup(G136, years!A$2:A$836, years!B$2:B$836)</f>
        <v>2014</v>
      </c>
      <c r="I136" s="2" t="n">
        <v>77</v>
      </c>
      <c r="J136" s="0" t="n">
        <v>0.706</v>
      </c>
      <c r="K136" s="0" t="n">
        <v>0.786</v>
      </c>
      <c r="L136" s="3" t="str">
        <f aca="false">IF(K136&gt;0.66,"High",IF(K136&gt;0.33&amp;K136&lt;=0.66,"Medium","Low"))</f>
        <v>High</v>
      </c>
      <c r="M136" s="0" t="n">
        <v>-3.417</v>
      </c>
      <c r="N136" s="3" t="n">
        <v>0.091</v>
      </c>
      <c r="O136" s="3" t="n">
        <v>0.26</v>
      </c>
      <c r="P136" s="4" t="n">
        <v>0</v>
      </c>
      <c r="Q136" s="3" t="n">
        <v>0.38</v>
      </c>
      <c r="R136" s="3" t="n">
        <v>0.751</v>
      </c>
      <c r="S136" s="3" t="str">
        <f aca="false">IF(R136 &gt;= 0.5, "Positive", "Negative")</f>
        <v>Positive</v>
      </c>
      <c r="T136" s="2" t="n">
        <v>150.028</v>
      </c>
      <c r="U136" s="0" t="s">
        <v>24</v>
      </c>
    </row>
    <row r="137" customFormat="false" ht="14.25" hidden="false" customHeight="false" outlineLevel="0" collapsed="false">
      <c r="A137" s="0" t="n">
        <v>438</v>
      </c>
      <c r="B137" s="0" t="str">
        <f aca="false">_xlfn.xlookup(A137, artists!A$2:A$836, artists!B$2:B$836)</f>
        <v>David Guetta</v>
      </c>
      <c r="C137" s="1" t="s">
        <v>178</v>
      </c>
      <c r="D137" s="2" t="n">
        <v>193333</v>
      </c>
      <c r="E137" s="2" t="n">
        <f aca="false">D137/1000</f>
        <v>193.333</v>
      </c>
      <c r="F137" s="10" t="b">
        <f aca="false">FALSE()</f>
        <v>0</v>
      </c>
      <c r="G137" s="0" t="n">
        <v>18</v>
      </c>
      <c r="H137" s="0" t="n">
        <f aca="false">_xlfn.xlookup(G137, years!A$2:A$836, years!B$2:B$836)</f>
        <v>2015</v>
      </c>
      <c r="I137" s="2" t="n">
        <v>47</v>
      </c>
      <c r="J137" s="0" t="n">
        <v>0.599</v>
      </c>
      <c r="K137" s="0" t="n">
        <v>0.869</v>
      </c>
      <c r="L137" s="3" t="str">
        <f aca="false">IF(K137&gt;0.66,"High",IF(K137&gt;0.33&amp;K137&lt;=0.66,"Medium","Low"))</f>
        <v>High</v>
      </c>
      <c r="M137" s="0" t="n">
        <v>-3.697</v>
      </c>
      <c r="N137" s="3" t="n">
        <v>0.0789</v>
      </c>
      <c r="O137" s="3" t="n">
        <v>0.0525</v>
      </c>
      <c r="P137" s="4" t="n">
        <v>0.00719</v>
      </c>
      <c r="Q137" s="3" t="n">
        <v>0.103</v>
      </c>
      <c r="R137" s="3" t="n">
        <v>0.593</v>
      </c>
      <c r="S137" s="3" t="str">
        <f aca="false">IF(R137 &gt;= 0.5, "Positive", "Negative")</f>
        <v>Positive</v>
      </c>
      <c r="T137" s="2" t="n">
        <v>108.061</v>
      </c>
      <c r="U137" s="0" t="s">
        <v>53</v>
      </c>
    </row>
    <row r="138" customFormat="false" ht="14.25" hidden="false" customHeight="false" outlineLevel="0" collapsed="false">
      <c r="A138" s="0" t="n">
        <v>538</v>
      </c>
      <c r="B138" s="0" t="str">
        <f aca="false">_xlfn.xlookup(A138, artists!A$2:A$836, artists!B$2:B$836)</f>
        <v>Skrillex</v>
      </c>
      <c r="C138" s="1" t="s">
        <v>179</v>
      </c>
      <c r="D138" s="2" t="n">
        <v>215253</v>
      </c>
      <c r="E138" s="2" t="n">
        <f aca="false">D138/1000</f>
        <v>215.253</v>
      </c>
      <c r="F138" s="10" t="b">
        <f aca="false">TRUE()</f>
        <v>1</v>
      </c>
      <c r="G138" s="0" t="n">
        <v>14</v>
      </c>
      <c r="H138" s="0" t="n">
        <f aca="false">_xlfn.xlookup(G138, years!A$2:A$836, years!B$2:B$836)</f>
        <v>2011</v>
      </c>
      <c r="I138" s="2" t="n">
        <v>70</v>
      </c>
      <c r="J138" s="0" t="n">
        <v>0.716</v>
      </c>
      <c r="K138" s="0" t="n">
        <v>0.972</v>
      </c>
      <c r="L138" s="3" t="str">
        <f aca="false">IF(K138&gt;0.66,"High",IF(K138&gt;0.33&amp;K138&lt;=0.66,"Medium","Low"))</f>
        <v>High</v>
      </c>
      <c r="M138" s="0" t="n">
        <v>-2.302</v>
      </c>
      <c r="N138" s="3" t="n">
        <v>0.196</v>
      </c>
      <c r="O138" s="3" t="n">
        <v>0.0145</v>
      </c>
      <c r="P138" s="4" t="n">
        <v>3.22E-005</v>
      </c>
      <c r="Q138" s="3" t="n">
        <v>0.317</v>
      </c>
      <c r="R138" s="3" t="n">
        <v>0.576</v>
      </c>
      <c r="S138" s="3" t="str">
        <f aca="false">IF(R138 &gt;= 0.5, "Positive", "Negative")</f>
        <v>Positive</v>
      </c>
      <c r="T138" s="2" t="n">
        <v>110.026</v>
      </c>
      <c r="U138" s="0" t="s">
        <v>53</v>
      </c>
    </row>
    <row r="139" customFormat="false" ht="14.25" hidden="false" customHeight="false" outlineLevel="0" collapsed="false">
      <c r="A139" s="0" t="n">
        <v>725</v>
      </c>
      <c r="B139" s="0" t="str">
        <f aca="false">_xlfn.xlookup(A139, artists!A$2:A$836, artists!B$2:B$836)</f>
        <v>21 Savage</v>
      </c>
      <c r="C139" s="1" t="s">
        <v>180</v>
      </c>
      <c r="D139" s="2" t="n">
        <v>220306</v>
      </c>
      <c r="E139" s="2" t="n">
        <f aca="false">D139/1000</f>
        <v>220.306</v>
      </c>
      <c r="F139" s="10" t="b">
        <f aca="false">TRUE()</f>
        <v>1</v>
      </c>
      <c r="G139" s="0" t="n">
        <v>20</v>
      </c>
      <c r="H139" s="0" t="n">
        <f aca="false">_xlfn.xlookup(G139, years!A$2:A$836, years!B$2:B$836)</f>
        <v>2017</v>
      </c>
      <c r="I139" s="2" t="n">
        <v>74</v>
      </c>
      <c r="J139" s="0" t="n">
        <v>0.884</v>
      </c>
      <c r="K139" s="0" t="n">
        <v>0.347</v>
      </c>
      <c r="L139" s="3" t="str">
        <f aca="false">IF(K139&gt;0.66,"High",IF(K139&gt;0.33&amp;K139&lt;=0.66,"Medium","Low"))</f>
        <v>Low</v>
      </c>
      <c r="M139" s="0" t="n">
        <v>-8.227</v>
      </c>
      <c r="N139" s="3" t="n">
        <v>0.35</v>
      </c>
      <c r="O139" s="3" t="n">
        <v>0.015</v>
      </c>
      <c r="P139" s="4" t="n">
        <v>7E-006</v>
      </c>
      <c r="Q139" s="3" t="n">
        <v>0.0871</v>
      </c>
      <c r="R139" s="3" t="n">
        <v>0.376</v>
      </c>
      <c r="S139" s="3" t="str">
        <f aca="false">IF(R139 &gt;= 0.5, "Positive", "Negative")</f>
        <v>Negative</v>
      </c>
      <c r="T139" s="2" t="n">
        <v>75.016</v>
      </c>
      <c r="U139" s="0" t="s">
        <v>29</v>
      </c>
    </row>
    <row r="140" customFormat="false" ht="14.25" hidden="false" customHeight="false" outlineLevel="0" collapsed="false">
      <c r="A140" s="0" t="n">
        <v>475</v>
      </c>
      <c r="B140" s="0" t="str">
        <f aca="false">_xlfn.xlookup(A140, artists!A$2:A$836, artists!B$2:B$836)</f>
        <v>Duck Sauce</v>
      </c>
      <c r="C140" s="1" t="s">
        <v>181</v>
      </c>
      <c r="D140" s="2" t="n">
        <v>196533</v>
      </c>
      <c r="E140" s="2" t="n">
        <f aca="false">D140/1000</f>
        <v>196.533</v>
      </c>
      <c r="F140" s="10" t="b">
        <f aca="false">FALSE()</f>
        <v>0</v>
      </c>
      <c r="G140" s="0" t="n">
        <v>13</v>
      </c>
      <c r="H140" s="0" t="n">
        <f aca="false">_xlfn.xlookup(G140, years!A$2:A$836, years!B$2:B$836)</f>
        <v>2010</v>
      </c>
      <c r="I140" s="2" t="n">
        <v>46</v>
      </c>
      <c r="J140" s="0" t="n">
        <v>0.769</v>
      </c>
      <c r="K140" s="0" t="n">
        <v>0.922</v>
      </c>
      <c r="L140" s="3" t="str">
        <f aca="false">IF(K140&gt;0.66,"High",IF(K140&gt;0.33&amp;K140&lt;=0.66,"Medium","Low"))</f>
        <v>High</v>
      </c>
      <c r="M140" s="0" t="n">
        <v>-1.966</v>
      </c>
      <c r="N140" s="3" t="n">
        <v>0.108</v>
      </c>
      <c r="O140" s="3" t="n">
        <v>0.000939</v>
      </c>
      <c r="P140" s="4" t="n">
        <v>0.197</v>
      </c>
      <c r="Q140" s="3" t="n">
        <v>0.233</v>
      </c>
      <c r="R140" s="3" t="n">
        <v>0.506</v>
      </c>
      <c r="S140" s="3" t="str">
        <f aca="false">IF(R140 &gt;= 0.5, "Positive", "Negative")</f>
        <v>Positive</v>
      </c>
      <c r="T140" s="2" t="n">
        <v>127.965</v>
      </c>
      <c r="U140" s="0" t="s">
        <v>48</v>
      </c>
    </row>
    <row r="141" customFormat="false" ht="14.25" hidden="false" customHeight="false" outlineLevel="0" collapsed="false">
      <c r="A141" s="0" t="n">
        <v>310</v>
      </c>
      <c r="B141" s="0" t="str">
        <f aca="false">_xlfn.xlookup(A141, artists!A$2:A$836, artists!B$2:B$836)</f>
        <v>T-Pain</v>
      </c>
      <c r="C141" s="1" t="s">
        <v>182</v>
      </c>
      <c r="D141" s="2" t="n">
        <v>238800</v>
      </c>
      <c r="E141" s="2" t="n">
        <f aca="false">D141/1000</f>
        <v>238.8</v>
      </c>
      <c r="F141" s="10" t="b">
        <f aca="false">TRUE()</f>
        <v>1</v>
      </c>
      <c r="G141" s="0" t="n">
        <v>10</v>
      </c>
      <c r="H141" s="0" t="n">
        <f aca="false">_xlfn.xlookup(G141, years!A$2:A$836, years!B$2:B$836)</f>
        <v>2007</v>
      </c>
      <c r="I141" s="2" t="n">
        <v>3</v>
      </c>
      <c r="J141" s="0" t="n">
        <v>0.675</v>
      </c>
      <c r="K141" s="0" t="n">
        <v>0.394</v>
      </c>
      <c r="L141" s="3" t="str">
        <f aca="false">IF(K141&gt;0.66,"High",IF(K141&gt;0.33&amp;K141&lt;=0.66,"Medium","Low"))</f>
        <v>Low</v>
      </c>
      <c r="M141" s="0" t="n">
        <v>-8.539</v>
      </c>
      <c r="N141" s="3" t="n">
        <v>0.133</v>
      </c>
      <c r="O141" s="3" t="n">
        <v>0.0611</v>
      </c>
      <c r="P141" s="4" t="n">
        <v>0</v>
      </c>
      <c r="Q141" s="3" t="n">
        <v>0.214</v>
      </c>
      <c r="R141" s="3" t="n">
        <v>0.405</v>
      </c>
      <c r="S141" s="3" t="str">
        <f aca="false">IF(R141 &gt;= 0.5, "Positive", "Negative")</f>
        <v>Negative</v>
      </c>
      <c r="T141" s="2" t="n">
        <v>104.987</v>
      </c>
      <c r="U141" s="0" t="s">
        <v>31</v>
      </c>
    </row>
    <row r="142" customFormat="false" ht="14.25" hidden="false" customHeight="false" outlineLevel="0" collapsed="false">
      <c r="A142" s="0" t="n">
        <v>558</v>
      </c>
      <c r="B142" s="0" t="str">
        <f aca="false">_xlfn.xlookup(A142, artists!A$2:A$836, artists!B$2:B$836)</f>
        <v>Guy Sebastian</v>
      </c>
      <c r="C142" s="1" t="s">
        <v>183</v>
      </c>
      <c r="D142" s="2" t="n">
        <v>250080</v>
      </c>
      <c r="E142" s="2" t="n">
        <f aca="false">D142/1000</f>
        <v>250.08</v>
      </c>
      <c r="F142" s="10" t="b">
        <f aca="false">FALSE()</f>
        <v>0</v>
      </c>
      <c r="G142" s="0" t="n">
        <v>15</v>
      </c>
      <c r="H142" s="0" t="n">
        <f aca="false">_xlfn.xlookup(G142, years!A$2:A$836, years!B$2:B$836)</f>
        <v>2012</v>
      </c>
      <c r="I142" s="2" t="n">
        <v>0</v>
      </c>
      <c r="J142" s="0" t="n">
        <v>0.61</v>
      </c>
      <c r="K142" s="0" t="n">
        <v>0.863</v>
      </c>
      <c r="L142" s="3" t="str">
        <f aca="false">IF(K142&gt;0.66,"High",IF(K142&gt;0.33&amp;K142&lt;=0.66,"Medium","Low"))</f>
        <v>High</v>
      </c>
      <c r="M142" s="0" t="n">
        <v>-2.632</v>
      </c>
      <c r="N142" s="3" t="n">
        <v>0.206</v>
      </c>
      <c r="O142" s="3" t="n">
        <v>0.186</v>
      </c>
      <c r="P142" s="4" t="n">
        <v>0</v>
      </c>
      <c r="Q142" s="3" t="n">
        <v>0.097</v>
      </c>
      <c r="R142" s="3" t="n">
        <v>0.508</v>
      </c>
      <c r="S142" s="3" t="str">
        <f aca="false">IF(R142 &gt;= 0.5, "Positive", "Negative")</f>
        <v>Positive</v>
      </c>
      <c r="T142" s="2" t="n">
        <v>83.993</v>
      </c>
      <c r="U142" s="0" t="s">
        <v>39</v>
      </c>
    </row>
    <row r="143" customFormat="false" ht="14.25" hidden="false" customHeight="false" outlineLevel="0" collapsed="false">
      <c r="A143" s="0" t="n">
        <v>427</v>
      </c>
      <c r="B143" s="0" t="str">
        <f aca="false">_xlfn.xlookup(A143, artists!A$2:A$836, artists!B$2:B$836)</f>
        <v>Jordin Sparks</v>
      </c>
      <c r="C143" s="1" t="s">
        <v>184</v>
      </c>
      <c r="D143" s="2" t="n">
        <v>241920</v>
      </c>
      <c r="E143" s="2" t="n">
        <f aca="false">D143/1000</f>
        <v>241.92</v>
      </c>
      <c r="F143" s="10" t="b">
        <f aca="false">FALSE()</f>
        <v>0</v>
      </c>
      <c r="G143" s="0" t="n">
        <v>12</v>
      </c>
      <c r="H143" s="0" t="n">
        <f aca="false">_xlfn.xlookup(G143, years!A$2:A$836, years!B$2:B$836)</f>
        <v>2009</v>
      </c>
      <c r="I143" s="2" t="n">
        <v>57</v>
      </c>
      <c r="J143" s="0" t="n">
        <v>0.613</v>
      </c>
      <c r="K143" s="0" t="n">
        <v>0.634</v>
      </c>
      <c r="L143" s="3" t="str">
        <f aca="false">IF(K143&gt;0.66,"High",IF(K143&gt;0.33&amp;K143&lt;=0.66,"Medium","Low"))</f>
        <v>Low</v>
      </c>
      <c r="M143" s="0" t="n">
        <v>-3.472</v>
      </c>
      <c r="N143" s="3" t="n">
        <v>0.0339</v>
      </c>
      <c r="O143" s="3" t="n">
        <v>0.0178</v>
      </c>
      <c r="P143" s="4" t="n">
        <v>0</v>
      </c>
      <c r="Q143" s="3" t="n">
        <v>0.0639</v>
      </c>
      <c r="R143" s="3" t="n">
        <v>0.37</v>
      </c>
      <c r="S143" s="3" t="str">
        <f aca="false">IF(R143 &gt;= 0.5, "Positive", "Negative")</f>
        <v>Negative</v>
      </c>
      <c r="T143" s="2" t="n">
        <v>144.953</v>
      </c>
      <c r="U143" s="0" t="s">
        <v>33</v>
      </c>
    </row>
    <row r="144" customFormat="false" ht="14.25" hidden="false" customHeight="false" outlineLevel="0" collapsed="false">
      <c r="A144" s="0" t="n">
        <v>776</v>
      </c>
      <c r="B144" s="0" t="str">
        <f aca="false">_xlfn.xlookup(A144, artists!A$2:A$836, artists!B$2:B$836)</f>
        <v>Dean Lewis</v>
      </c>
      <c r="C144" s="1" t="s">
        <v>185</v>
      </c>
      <c r="D144" s="2" t="n">
        <v>196373</v>
      </c>
      <c r="E144" s="2" t="n">
        <f aca="false">D144/1000</f>
        <v>196.373</v>
      </c>
      <c r="F144" s="10" t="b">
        <f aca="false">TRUE()</f>
        <v>1</v>
      </c>
      <c r="G144" s="0" t="n">
        <v>21</v>
      </c>
      <c r="H144" s="0" t="n">
        <f aca="false">_xlfn.xlookup(G144, years!A$2:A$836, years!B$2:B$836)</f>
        <v>2018</v>
      </c>
      <c r="I144" s="2" t="n">
        <v>79</v>
      </c>
      <c r="J144" s="0" t="n">
        <v>0.553</v>
      </c>
      <c r="K144" s="0" t="n">
        <v>0.586</v>
      </c>
      <c r="L144" s="3" t="str">
        <f aca="false">IF(K144&gt;0.66,"High",IF(K144&gt;0.33&amp;K144&lt;=0.66,"Medium","Low"))</f>
        <v>Low</v>
      </c>
      <c r="M144" s="0" t="n">
        <v>-6.319</v>
      </c>
      <c r="N144" s="3" t="n">
        <v>0.0362</v>
      </c>
      <c r="O144" s="3" t="n">
        <v>0.697</v>
      </c>
      <c r="P144" s="4" t="n">
        <v>0</v>
      </c>
      <c r="Q144" s="3" t="n">
        <v>0.0813</v>
      </c>
      <c r="R144" s="3" t="n">
        <v>0.443</v>
      </c>
      <c r="S144" s="3" t="str">
        <f aca="false">IF(R144 &gt;= 0.5, "Positive", "Negative")</f>
        <v>Negative</v>
      </c>
      <c r="T144" s="2" t="n">
        <v>126.684</v>
      </c>
      <c r="U144" s="0" t="s">
        <v>39</v>
      </c>
    </row>
    <row r="145" customFormat="false" ht="14.25" hidden="false" customHeight="false" outlineLevel="0" collapsed="false">
      <c r="A145" s="0" t="n">
        <v>211</v>
      </c>
      <c r="B145" s="0" t="str">
        <f aca="false">_xlfn.xlookup(A145, artists!A$2:A$836, artists!B$2:B$836)</f>
        <v>Fatman Scoop</v>
      </c>
      <c r="C145" s="1" t="s">
        <v>186</v>
      </c>
      <c r="D145" s="2" t="n">
        <v>164506</v>
      </c>
      <c r="E145" s="2" t="n">
        <f aca="false">D145/1000</f>
        <v>164.506</v>
      </c>
      <c r="F145" s="10" t="b">
        <f aca="false">TRUE()</f>
        <v>1</v>
      </c>
      <c r="G145" s="0" t="n">
        <v>12</v>
      </c>
      <c r="H145" s="0" t="n">
        <f aca="false">_xlfn.xlookup(G145, years!A$2:A$836, years!B$2:B$836)</f>
        <v>2009</v>
      </c>
      <c r="I145" s="2" t="n">
        <v>49</v>
      </c>
      <c r="J145" s="0" t="n">
        <v>0.649</v>
      </c>
      <c r="K145" s="0" t="n">
        <v>0.713</v>
      </c>
      <c r="L145" s="3" t="str">
        <f aca="false">IF(K145&gt;0.66,"High",IF(K145&gt;0.33&amp;K145&lt;=0.66,"Medium","Low"))</f>
        <v>High</v>
      </c>
      <c r="M145" s="0" t="n">
        <v>-6.488</v>
      </c>
      <c r="N145" s="3" t="n">
        <v>0.295</v>
      </c>
      <c r="O145" s="3" t="n">
        <v>0.000787</v>
      </c>
      <c r="P145" s="4" t="n">
        <v>0</v>
      </c>
      <c r="Q145" s="3" t="n">
        <v>0.318</v>
      </c>
      <c r="R145" s="3" t="n">
        <v>0.629</v>
      </c>
      <c r="S145" s="3" t="str">
        <f aca="false">IF(R145 &gt;= 0.5, "Positive", "Negative")</f>
        <v>Positive</v>
      </c>
      <c r="T145" s="2" t="n">
        <v>101.129</v>
      </c>
      <c r="U145" s="0" t="s">
        <v>29</v>
      </c>
    </row>
    <row r="146" customFormat="false" ht="14.25" hidden="false" customHeight="false" outlineLevel="0" collapsed="false">
      <c r="A146" s="0" t="n">
        <v>38</v>
      </c>
      <c r="B146" s="0" t="str">
        <f aca="false">_xlfn.xlookup(A146, artists!A$2:A$836, artists!B$2:B$836)</f>
        <v>Enrique Iglesias</v>
      </c>
      <c r="C146" s="1" t="s">
        <v>187</v>
      </c>
      <c r="D146" s="2" t="n">
        <v>219360</v>
      </c>
      <c r="E146" s="2" t="n">
        <f aca="false">D146/1000</f>
        <v>219.36</v>
      </c>
      <c r="F146" s="10" t="b">
        <f aca="false">FALSE()</f>
        <v>0</v>
      </c>
      <c r="G146" s="0" t="n">
        <v>2</v>
      </c>
      <c r="H146" s="0" t="n">
        <f aca="false">_xlfn.xlookup(G146, years!A$2:A$836, years!B$2:B$836)</f>
        <v>1999</v>
      </c>
      <c r="I146" s="2" t="n">
        <v>54</v>
      </c>
      <c r="J146" s="0" t="n">
        <v>0.683</v>
      </c>
      <c r="K146" s="0" t="n">
        <v>0.866</v>
      </c>
      <c r="L146" s="3" t="str">
        <f aca="false">IF(K146&gt;0.66,"High",IF(K146&gt;0.33&amp;K146&lt;=0.66,"Medium","Low"))</f>
        <v>High</v>
      </c>
      <c r="M146" s="0" t="n">
        <v>-5.436</v>
      </c>
      <c r="N146" s="3" t="n">
        <v>0.0329</v>
      </c>
      <c r="O146" s="3" t="n">
        <v>0.0395</v>
      </c>
      <c r="P146" s="4" t="n">
        <v>0.00161</v>
      </c>
      <c r="Q146" s="3" t="n">
        <v>0.0483</v>
      </c>
      <c r="R146" s="3" t="n">
        <v>0.542</v>
      </c>
      <c r="S146" s="3" t="str">
        <f aca="false">IF(R146 &gt;= 0.5, "Positive", "Negative")</f>
        <v>Positive</v>
      </c>
      <c r="T146" s="2" t="n">
        <v>121.996</v>
      </c>
      <c r="U146" s="0" t="s">
        <v>75</v>
      </c>
    </row>
    <row r="147" customFormat="false" ht="14.25" hidden="false" customHeight="false" outlineLevel="0" collapsed="false">
      <c r="A147" s="0" t="n">
        <v>89</v>
      </c>
      <c r="B147" s="0" t="str">
        <f aca="false">_xlfn.xlookup(A147, artists!A$2:A$836, artists!B$2:B$836)</f>
        <v>Mary J. Blige</v>
      </c>
      <c r="C147" s="1" t="s">
        <v>188</v>
      </c>
      <c r="D147" s="2" t="n">
        <v>246333</v>
      </c>
      <c r="E147" s="2" t="n">
        <f aca="false">D147/1000</f>
        <v>246.333</v>
      </c>
      <c r="F147" s="10" t="b">
        <f aca="false">TRUE()</f>
        <v>1</v>
      </c>
      <c r="G147" s="0" t="n">
        <v>8</v>
      </c>
      <c r="H147" s="0" t="n">
        <f aca="false">_xlfn.xlookup(G147, years!A$2:A$836, years!B$2:B$836)</f>
        <v>2005</v>
      </c>
      <c r="I147" s="2" t="n">
        <v>69</v>
      </c>
      <c r="J147" s="0" t="n">
        <v>0.726</v>
      </c>
      <c r="K147" s="0" t="n">
        <v>0.7</v>
      </c>
      <c r="L147" s="3" t="str">
        <f aca="false">IF(K147&gt;0.66,"High",IF(K147&gt;0.33&amp;K147&lt;=0.66,"Medium","Low"))</f>
        <v>High</v>
      </c>
      <c r="M147" s="0" t="n">
        <v>-5.881</v>
      </c>
      <c r="N147" s="3" t="n">
        <v>0.0998</v>
      </c>
      <c r="O147" s="3" t="n">
        <v>0.0717</v>
      </c>
      <c r="P147" s="4" t="n">
        <v>0</v>
      </c>
      <c r="Q147" s="3" t="n">
        <v>0.262</v>
      </c>
      <c r="R147" s="3" t="n">
        <v>0.673</v>
      </c>
      <c r="S147" s="3" t="str">
        <f aca="false">IF(R147 &gt;= 0.5, "Positive", "Negative")</f>
        <v>Positive</v>
      </c>
      <c r="T147" s="2" t="n">
        <v>146.559</v>
      </c>
      <c r="U147" s="0" t="s">
        <v>33</v>
      </c>
    </row>
    <row r="148" customFormat="false" ht="14.25" hidden="false" customHeight="false" outlineLevel="0" collapsed="false">
      <c r="A148" s="0" t="n">
        <v>452</v>
      </c>
      <c r="B148" s="0" t="str">
        <f aca="false">_xlfn.xlookup(A148, artists!A$2:A$836, artists!B$2:B$836)</f>
        <v>JLS</v>
      </c>
      <c r="C148" s="1" t="s">
        <v>189</v>
      </c>
      <c r="D148" s="2" t="n">
        <v>196640</v>
      </c>
      <c r="E148" s="2" t="n">
        <f aca="false">D148/1000</f>
        <v>196.64</v>
      </c>
      <c r="F148" s="10" t="b">
        <f aca="false">FALSE()</f>
        <v>0</v>
      </c>
      <c r="G148" s="0" t="n">
        <v>12</v>
      </c>
      <c r="H148" s="0" t="n">
        <f aca="false">_xlfn.xlookup(G148, years!A$2:A$836, years!B$2:B$836)</f>
        <v>2009</v>
      </c>
      <c r="I148" s="2" t="n">
        <v>0</v>
      </c>
      <c r="J148" s="0" t="n">
        <v>0.894</v>
      </c>
      <c r="K148" s="0" t="n">
        <v>0.93</v>
      </c>
      <c r="L148" s="3" t="str">
        <f aca="false">IF(K148&gt;0.66,"High",IF(K148&gt;0.33&amp;K148&lt;=0.66,"Medium","Low"))</f>
        <v>High</v>
      </c>
      <c r="M148" s="0" t="n">
        <v>-4.577</v>
      </c>
      <c r="N148" s="3" t="n">
        <v>0.0712</v>
      </c>
      <c r="O148" s="3" t="n">
        <v>0.0355</v>
      </c>
      <c r="P148" s="4" t="n">
        <v>0</v>
      </c>
      <c r="Q148" s="3" t="n">
        <v>0.0759</v>
      </c>
      <c r="R148" s="3" t="n">
        <v>0.968</v>
      </c>
      <c r="S148" s="3" t="str">
        <f aca="false">IF(R148 &gt;= 0.5, "Positive", "Negative")</f>
        <v>Positive</v>
      </c>
      <c r="T148" s="2" t="n">
        <v>120.02</v>
      </c>
      <c r="U148" s="0" t="s">
        <v>39</v>
      </c>
    </row>
    <row r="149" customFormat="false" ht="14.25" hidden="false" customHeight="false" outlineLevel="0" collapsed="false">
      <c r="A149" s="0" t="n">
        <v>216</v>
      </c>
      <c r="B149" s="0" t="str">
        <f aca="false">_xlfn.xlookup(A149, artists!A$2:A$836, artists!B$2:B$836)</f>
        <v>Snoop Dogg</v>
      </c>
      <c r="C149" s="1" t="s">
        <v>190</v>
      </c>
      <c r="D149" s="2" t="n">
        <v>299146</v>
      </c>
      <c r="E149" s="2" t="n">
        <f aca="false">D149/1000</f>
        <v>299.146</v>
      </c>
      <c r="F149" s="10" t="b">
        <f aca="false">TRUE()</f>
        <v>1</v>
      </c>
      <c r="G149" s="0" t="n">
        <v>8</v>
      </c>
      <c r="H149" s="0" t="n">
        <f aca="false">_xlfn.xlookup(G149, years!A$2:A$836, years!B$2:B$836)</f>
        <v>2005</v>
      </c>
      <c r="I149" s="2" t="n">
        <v>67</v>
      </c>
      <c r="J149" s="0" t="n">
        <v>0.893</v>
      </c>
      <c r="K149" s="0" t="n">
        <v>0.74</v>
      </c>
      <c r="L149" s="3" t="str">
        <f aca="false">IF(K149&gt;0.66,"High",IF(K149&gt;0.33&amp;K149&lt;=0.66,"Medium","Low"))</f>
        <v>High</v>
      </c>
      <c r="M149" s="0" t="n">
        <v>-4.936</v>
      </c>
      <c r="N149" s="3" t="n">
        <v>0.132</v>
      </c>
      <c r="O149" s="3" t="n">
        <v>0.299</v>
      </c>
      <c r="P149" s="4" t="n">
        <v>0</v>
      </c>
      <c r="Q149" s="3" t="n">
        <v>0.0881</v>
      </c>
      <c r="R149" s="3" t="n">
        <v>0.963</v>
      </c>
      <c r="S149" s="3" t="str">
        <f aca="false">IF(R149 &gt;= 0.5, "Positive", "Negative")</f>
        <v>Positive</v>
      </c>
      <c r="T149" s="2" t="n">
        <v>101.025</v>
      </c>
      <c r="U149" s="0" t="s">
        <v>24</v>
      </c>
    </row>
    <row r="150" customFormat="false" ht="14.25" hidden="false" customHeight="false" outlineLevel="0" collapsed="false">
      <c r="A150" s="0" t="n">
        <v>245</v>
      </c>
      <c r="B150" s="0" t="str">
        <f aca="false">_xlfn.xlookup(A150, artists!A$2:A$836, artists!B$2:B$836)</f>
        <v>Akon</v>
      </c>
      <c r="C150" s="1" t="s">
        <v>190</v>
      </c>
      <c r="D150" s="2" t="n">
        <v>312986</v>
      </c>
      <c r="E150" s="2" t="n">
        <f aca="false">D150/1000</f>
        <v>312.986</v>
      </c>
      <c r="F150" s="10" t="b">
        <f aca="false">FALSE()</f>
        <v>0</v>
      </c>
      <c r="G150" s="0" t="n">
        <v>11</v>
      </c>
      <c r="H150" s="0" t="n">
        <f aca="false">_xlfn.xlookup(G150, years!A$2:A$836, years!B$2:B$836)</f>
        <v>2008</v>
      </c>
      <c r="I150" s="2" t="n">
        <v>65</v>
      </c>
      <c r="J150" s="0" t="n">
        <v>0.74</v>
      </c>
      <c r="K150" s="0" t="n">
        <v>0.945</v>
      </c>
      <c r="L150" s="3" t="str">
        <f aca="false">IF(K150&gt;0.66,"High",IF(K150&gt;0.33&amp;K150&lt;=0.66,"Medium","Low"))</f>
        <v>High</v>
      </c>
      <c r="M150" s="0" t="n">
        <v>-4.442</v>
      </c>
      <c r="N150" s="3" t="n">
        <v>0.0889</v>
      </c>
      <c r="O150" s="3" t="n">
        <v>0.123</v>
      </c>
      <c r="P150" s="4" t="n">
        <v>0</v>
      </c>
      <c r="Q150" s="3" t="n">
        <v>0.112</v>
      </c>
      <c r="R150" s="3" t="n">
        <v>0.629</v>
      </c>
      <c r="S150" s="3" t="str">
        <f aca="false">IF(R150 &gt;= 0.5, "Positive", "Negative")</f>
        <v>Positive</v>
      </c>
      <c r="T150" s="2" t="n">
        <v>130.015</v>
      </c>
      <c r="U150" s="0" t="s">
        <v>39</v>
      </c>
    </row>
    <row r="151" customFormat="false" ht="14.25" hidden="false" customHeight="false" outlineLevel="0" collapsed="false">
      <c r="A151" s="0" t="n">
        <v>387</v>
      </c>
      <c r="B151" s="0" t="str">
        <f aca="false">_xlfn.xlookup(A151, artists!A$2:A$836, artists!B$2:B$836)</f>
        <v>Sean Kingston</v>
      </c>
      <c r="C151" s="1" t="s">
        <v>191</v>
      </c>
      <c r="D151" s="2" t="n">
        <v>225373</v>
      </c>
      <c r="E151" s="2" t="n">
        <f aca="false">D151/1000</f>
        <v>225.373</v>
      </c>
      <c r="F151" s="10" t="b">
        <f aca="false">FALSE()</f>
        <v>0</v>
      </c>
      <c r="G151" s="0" t="n">
        <v>10</v>
      </c>
      <c r="H151" s="0" t="n">
        <f aca="false">_xlfn.xlookup(G151, years!A$2:A$836, years!B$2:B$836)</f>
        <v>2007</v>
      </c>
      <c r="I151" s="2" t="n">
        <v>78</v>
      </c>
      <c r="J151" s="0" t="n">
        <v>0.762</v>
      </c>
      <c r="K151" s="0" t="n">
        <v>0.661</v>
      </c>
      <c r="L151" s="3" t="str">
        <f aca="false">IF(K151&gt;0.66,"High",IF(K151&gt;0.33&amp;K151&lt;=0.66,"Medium","Low"))</f>
        <v>High</v>
      </c>
      <c r="M151" s="0" t="n">
        <v>-6.075</v>
      </c>
      <c r="N151" s="3" t="n">
        <v>0.0687</v>
      </c>
      <c r="O151" s="3" t="n">
        <v>0.15</v>
      </c>
      <c r="P151" s="4" t="n">
        <v>0</v>
      </c>
      <c r="Q151" s="3" t="n">
        <v>0.256</v>
      </c>
      <c r="R151" s="3" t="n">
        <v>0.769</v>
      </c>
      <c r="S151" s="3" t="str">
        <f aca="false">IF(R151 &gt;= 0.5, "Positive", "Negative")</f>
        <v>Positive</v>
      </c>
      <c r="T151" s="2" t="n">
        <v>130.009</v>
      </c>
      <c r="U151" s="0" t="s">
        <v>31</v>
      </c>
    </row>
    <row r="152" customFormat="false" ht="14.25" hidden="false" customHeight="false" outlineLevel="0" collapsed="false">
      <c r="A152" s="0" t="n">
        <v>192</v>
      </c>
      <c r="B152" s="0" t="str">
        <f aca="false">_xlfn.xlookup(A152, artists!A$2:A$836, artists!B$2:B$836)</f>
        <v>Beyoncé</v>
      </c>
      <c r="C152" s="1" t="s">
        <v>192</v>
      </c>
      <c r="D152" s="2" t="n">
        <v>199853</v>
      </c>
      <c r="E152" s="2" t="n">
        <f aca="false">D152/1000</f>
        <v>199.853</v>
      </c>
      <c r="F152" s="10" t="b">
        <f aca="false">FALSE()</f>
        <v>0</v>
      </c>
      <c r="G152" s="0" t="n">
        <v>10</v>
      </c>
      <c r="H152" s="0" t="n">
        <f aca="false">_xlfn.xlookup(G152, years!A$2:A$836, years!B$2:B$836)</f>
        <v>2007</v>
      </c>
      <c r="I152" s="2" t="n">
        <v>64</v>
      </c>
      <c r="J152" s="0" t="n">
        <v>0.764</v>
      </c>
      <c r="K152" s="0" t="n">
        <v>0.751</v>
      </c>
      <c r="L152" s="3" t="str">
        <f aca="false">IF(K152&gt;0.66,"High",IF(K152&gt;0.33&amp;K152&lt;=0.66,"Medium","Low"))</f>
        <v>High</v>
      </c>
      <c r="M152" s="0" t="n">
        <v>-3.74</v>
      </c>
      <c r="N152" s="3" t="n">
        <v>0.0703</v>
      </c>
      <c r="O152" s="3" t="n">
        <v>0.00554</v>
      </c>
      <c r="P152" s="4" t="n">
        <v>0.000237</v>
      </c>
      <c r="Q152" s="3" t="n">
        <v>0.164</v>
      </c>
      <c r="R152" s="3" t="n">
        <v>0.418</v>
      </c>
      <c r="S152" s="3" t="str">
        <f aca="false">IF(R152 &gt;= 0.5, "Positive", "Negative")</f>
        <v>Negative</v>
      </c>
      <c r="T152" s="2" t="n">
        <v>91.977</v>
      </c>
      <c r="U152" s="0" t="s">
        <v>33</v>
      </c>
    </row>
    <row r="153" customFormat="false" ht="14.25" hidden="false" customHeight="false" outlineLevel="0" collapsed="false">
      <c r="A153" s="0" t="n">
        <v>343</v>
      </c>
      <c r="B153" s="0" t="str">
        <f aca="false">_xlfn.xlookup(A153, artists!A$2:A$836, artists!B$2:B$836)</f>
        <v>Ne-Yo</v>
      </c>
      <c r="C153" s="1" t="s">
        <v>193</v>
      </c>
      <c r="D153" s="2" t="n">
        <v>251573</v>
      </c>
      <c r="E153" s="2" t="n">
        <f aca="false">D153/1000</f>
        <v>251.573</v>
      </c>
      <c r="F153" s="10" t="b">
        <f aca="false">FALSE()</f>
        <v>0</v>
      </c>
      <c r="G153" s="0" t="n">
        <v>13</v>
      </c>
      <c r="H153" s="0" t="n">
        <f aca="false">_xlfn.xlookup(G153, years!A$2:A$836, years!B$2:B$836)</f>
        <v>2010</v>
      </c>
      <c r="I153" s="2" t="n">
        <v>57</v>
      </c>
      <c r="J153" s="0" t="n">
        <v>0.708</v>
      </c>
      <c r="K153" s="0" t="n">
        <v>0.771</v>
      </c>
      <c r="L153" s="3" t="str">
        <f aca="false">IF(K153&gt;0.66,"High",IF(K153&gt;0.33&amp;K153&lt;=0.66,"Medium","Low"))</f>
        <v>High</v>
      </c>
      <c r="M153" s="0" t="n">
        <v>-6.99</v>
      </c>
      <c r="N153" s="3" t="n">
        <v>0.131</v>
      </c>
      <c r="O153" s="3" t="n">
        <v>0.209</v>
      </c>
      <c r="P153" s="4" t="n">
        <v>5.32E-006</v>
      </c>
      <c r="Q153" s="3" t="n">
        <v>0.277</v>
      </c>
      <c r="R153" s="3" t="n">
        <v>0.494</v>
      </c>
      <c r="S153" s="3" t="str">
        <f aca="false">IF(R153 &gt;= 0.5, "Positive", "Negative")</f>
        <v>Negative</v>
      </c>
      <c r="T153" s="2" t="n">
        <v>128.013</v>
      </c>
      <c r="U153" s="0" t="s">
        <v>33</v>
      </c>
    </row>
    <row r="154" customFormat="false" ht="14.25" hidden="false" customHeight="false" outlineLevel="0" collapsed="false">
      <c r="A154" s="0" t="n">
        <v>291</v>
      </c>
      <c r="B154" s="0" t="str">
        <f aca="false">_xlfn.xlookup(A154, artists!A$2:A$836, artists!B$2:B$836)</f>
        <v>Chris Brown</v>
      </c>
      <c r="C154" s="1" t="s">
        <v>194</v>
      </c>
      <c r="D154" s="2" t="n">
        <v>225881</v>
      </c>
      <c r="E154" s="2" t="n">
        <f aca="false">D154/1000</f>
        <v>225.881</v>
      </c>
      <c r="F154" s="10" t="b">
        <f aca="false">FALSE()</f>
        <v>0</v>
      </c>
      <c r="G154" s="0" t="n">
        <v>22</v>
      </c>
      <c r="H154" s="0" t="n">
        <f aca="false">_xlfn.xlookup(G154, years!A$2:A$836, years!B$2:B$836)</f>
        <v>2019</v>
      </c>
      <c r="I154" s="2" t="n">
        <v>53</v>
      </c>
      <c r="J154" s="0" t="n">
        <v>0.415</v>
      </c>
      <c r="K154" s="0" t="n">
        <v>0.775</v>
      </c>
      <c r="L154" s="3" t="str">
        <f aca="false">IF(K154&gt;0.66,"High",IF(K154&gt;0.33&amp;K154&lt;=0.66,"Medium","Low"))</f>
        <v>High</v>
      </c>
      <c r="M154" s="0" t="n">
        <v>-6.366</v>
      </c>
      <c r="N154" s="3" t="n">
        <v>0.161</v>
      </c>
      <c r="O154" s="3" t="n">
        <v>0.0658</v>
      </c>
      <c r="P154" s="4" t="n">
        <v>0.00431</v>
      </c>
      <c r="Q154" s="3" t="n">
        <v>0.0843</v>
      </c>
      <c r="R154" s="3" t="n">
        <v>0.536</v>
      </c>
      <c r="S154" s="3" t="str">
        <f aca="false">IF(R154 &gt;= 0.5, "Positive", "Negative")</f>
        <v>Positive</v>
      </c>
      <c r="T154" s="2" t="n">
        <v>127.898</v>
      </c>
      <c r="U154" s="0" t="s">
        <v>31</v>
      </c>
    </row>
    <row r="155" customFormat="false" ht="14.25" hidden="false" customHeight="false" outlineLevel="0" collapsed="false">
      <c r="A155" s="0" t="n">
        <v>463</v>
      </c>
      <c r="B155" s="0" t="str">
        <f aca="false">_xlfn.xlookup(A155, artists!A$2:A$836, artists!B$2:B$836)</f>
        <v>Justin Bieber</v>
      </c>
      <c r="C155" s="1" t="s">
        <v>195</v>
      </c>
      <c r="D155" s="2" t="n">
        <v>227986</v>
      </c>
      <c r="E155" s="2" t="n">
        <f aca="false">D155/1000</f>
        <v>227.986</v>
      </c>
      <c r="F155" s="10" t="b">
        <f aca="false">FALSE()</f>
        <v>0</v>
      </c>
      <c r="G155" s="0" t="n">
        <v>15</v>
      </c>
      <c r="H155" s="0" t="n">
        <f aca="false">_xlfn.xlookup(G155, years!A$2:A$836, years!B$2:B$836)</f>
        <v>2012</v>
      </c>
      <c r="I155" s="2" t="n">
        <v>73</v>
      </c>
      <c r="J155" s="0" t="n">
        <v>0.602</v>
      </c>
      <c r="K155" s="0" t="n">
        <v>0.843</v>
      </c>
      <c r="L155" s="3" t="str">
        <f aca="false">IF(K155&gt;0.66,"High",IF(K155&gt;0.33&amp;K155&lt;=0.66,"Medium","Low"))</f>
        <v>High</v>
      </c>
      <c r="M155" s="0" t="n">
        <v>-4.831</v>
      </c>
      <c r="N155" s="3" t="n">
        <v>0.0593</v>
      </c>
      <c r="O155" s="3" t="n">
        <v>0.000688</v>
      </c>
      <c r="P155" s="4" t="n">
        <v>5.27E-005</v>
      </c>
      <c r="Q155" s="3" t="n">
        <v>0.0682</v>
      </c>
      <c r="R155" s="3" t="n">
        <v>0.526</v>
      </c>
      <c r="S155" s="3" t="str">
        <f aca="false">IF(R155 &gt;= 0.5, "Positive", "Negative")</f>
        <v>Positive</v>
      </c>
      <c r="T155" s="2" t="n">
        <v>128.003</v>
      </c>
      <c r="U155" s="0" t="s">
        <v>39</v>
      </c>
    </row>
    <row r="156" customFormat="false" ht="14.25" hidden="false" customHeight="false" outlineLevel="0" collapsed="false">
      <c r="A156" s="0" t="n">
        <v>122</v>
      </c>
      <c r="B156" s="0" t="str">
        <f aca="false">_xlfn.xlookup(A156, artists!A$2:A$836, artists!B$2:B$836)</f>
        <v>Afroman</v>
      </c>
      <c r="C156" s="1" t="s">
        <v>196</v>
      </c>
      <c r="D156" s="2" t="n">
        <v>197760</v>
      </c>
      <c r="E156" s="2" t="n">
        <f aca="false">D156/1000</f>
        <v>197.76</v>
      </c>
      <c r="F156" s="10" t="b">
        <f aca="false">TRUE()</f>
        <v>1</v>
      </c>
      <c r="G156" s="0" t="n">
        <v>4</v>
      </c>
      <c r="H156" s="0" t="n">
        <f aca="false">_xlfn.xlookup(G156, years!A$2:A$836, years!B$2:B$836)</f>
        <v>2001</v>
      </c>
      <c r="I156" s="2" t="n">
        <v>68</v>
      </c>
      <c r="J156" s="0" t="n">
        <v>0.802</v>
      </c>
      <c r="K156" s="0" t="n">
        <v>0.341</v>
      </c>
      <c r="L156" s="3" t="str">
        <f aca="false">IF(K156&gt;0.66,"High",IF(K156&gt;0.33&amp;K156&lt;=0.66,"Medium","Low"))</f>
        <v>Low</v>
      </c>
      <c r="M156" s="0" t="n">
        <v>-8.56</v>
      </c>
      <c r="N156" s="3" t="n">
        <v>0.488</v>
      </c>
      <c r="O156" s="3" t="n">
        <v>0.169</v>
      </c>
      <c r="P156" s="4" t="n">
        <v>0</v>
      </c>
      <c r="Q156" s="3" t="n">
        <v>0.0783</v>
      </c>
      <c r="R156" s="3" t="n">
        <v>0.849</v>
      </c>
      <c r="S156" s="3" t="str">
        <f aca="false">IF(R156 &gt;= 0.5, "Positive", "Negative")</f>
        <v>Positive</v>
      </c>
      <c r="T156" s="2" t="n">
        <v>166.01</v>
      </c>
      <c r="U156" s="0" t="s">
        <v>29</v>
      </c>
    </row>
    <row r="157" customFormat="false" ht="14.25" hidden="false" customHeight="false" outlineLevel="0" collapsed="false">
      <c r="A157" s="0" t="n">
        <v>230</v>
      </c>
      <c r="B157" s="0" t="str">
        <f aca="false">_xlfn.xlookup(A157, artists!A$2:A$836, artists!B$2:B$836)</f>
        <v>Kelly Clarkson</v>
      </c>
      <c r="C157" s="1" t="s">
        <v>197</v>
      </c>
      <c r="D157" s="2" t="n">
        <v>219493</v>
      </c>
      <c r="E157" s="2" t="n">
        <f aca="false">D157/1000</f>
        <v>219.493</v>
      </c>
      <c r="F157" s="10" t="b">
        <f aca="false">FALSE()</f>
        <v>0</v>
      </c>
      <c r="G157" s="0" t="n">
        <v>7</v>
      </c>
      <c r="H157" s="0" t="n">
        <f aca="false">_xlfn.xlookup(G157, years!A$2:A$836, years!B$2:B$836)</f>
        <v>2004</v>
      </c>
      <c r="I157" s="2" t="n">
        <v>71</v>
      </c>
      <c r="J157" s="0" t="n">
        <v>0.587</v>
      </c>
      <c r="K157" s="0" t="n">
        <v>0.583</v>
      </c>
      <c r="L157" s="3" t="str">
        <f aca="false">IF(K157&gt;0.66,"High",IF(K157&gt;0.33&amp;K157&lt;=0.66,"Medium","Low"))</f>
        <v>Low</v>
      </c>
      <c r="M157" s="0" t="n">
        <v>-5.284</v>
      </c>
      <c r="N157" s="3" t="n">
        <v>0.0313</v>
      </c>
      <c r="O157" s="3" t="n">
        <v>0.248</v>
      </c>
      <c r="P157" s="4" t="n">
        <v>0</v>
      </c>
      <c r="Q157" s="3" t="n">
        <v>0.124</v>
      </c>
      <c r="R157" s="3" t="n">
        <v>0.15</v>
      </c>
      <c r="S157" s="3" t="str">
        <f aca="false">IF(R157 &gt;= 0.5, "Positive", "Negative")</f>
        <v>Negative</v>
      </c>
      <c r="T157" s="2" t="n">
        <v>139.92</v>
      </c>
      <c r="U157" s="0" t="s">
        <v>33</v>
      </c>
    </row>
    <row r="158" customFormat="false" ht="14.25" hidden="false" customHeight="false" outlineLevel="0" collapsed="false">
      <c r="A158" s="0" t="n">
        <v>343</v>
      </c>
      <c r="B158" s="0" t="str">
        <f aca="false">_xlfn.xlookup(A158, artists!A$2:A$836, artists!B$2:B$836)</f>
        <v>Ne-Yo</v>
      </c>
      <c r="C158" s="1" t="s">
        <v>198</v>
      </c>
      <c r="D158" s="2" t="n">
        <v>266840</v>
      </c>
      <c r="E158" s="2" t="n">
        <f aca="false">D158/1000</f>
        <v>266.84</v>
      </c>
      <c r="F158" s="10" t="b">
        <f aca="false">FALSE()</f>
        <v>0</v>
      </c>
      <c r="G158" s="0" t="n">
        <v>10</v>
      </c>
      <c r="H158" s="0" t="n">
        <f aca="false">_xlfn.xlookup(G158, years!A$2:A$836, years!B$2:B$836)</f>
        <v>2007</v>
      </c>
      <c r="I158" s="2" t="n">
        <v>74</v>
      </c>
      <c r="J158" s="0" t="n">
        <v>0.81</v>
      </c>
      <c r="K158" s="0" t="n">
        <v>0.538</v>
      </c>
      <c r="L158" s="3" t="str">
        <f aca="false">IF(K158&gt;0.66,"High",IF(K158&gt;0.33&amp;K158&lt;=0.66,"Medium","Low"))</f>
        <v>Low</v>
      </c>
      <c r="M158" s="0" t="n">
        <v>-5.784</v>
      </c>
      <c r="N158" s="3" t="n">
        <v>0.0356</v>
      </c>
      <c r="O158" s="3" t="n">
        <v>0.528</v>
      </c>
      <c r="P158" s="4" t="n">
        <v>0</v>
      </c>
      <c r="Q158" s="3" t="n">
        <v>0.0951</v>
      </c>
      <c r="R158" s="3" t="n">
        <v>0.828</v>
      </c>
      <c r="S158" s="3" t="str">
        <f aca="false">IF(R158 &gt;= 0.5, "Positive", "Negative")</f>
        <v>Positive</v>
      </c>
      <c r="T158" s="2" t="n">
        <v>109.97</v>
      </c>
      <c r="U158" s="0" t="s">
        <v>33</v>
      </c>
    </row>
    <row r="159" customFormat="false" ht="14.25" hidden="false" customHeight="false" outlineLevel="0" collapsed="false">
      <c r="A159" s="0" t="n">
        <v>396</v>
      </c>
      <c r="B159" s="0" t="str">
        <f aca="false">_xlfn.xlookup(A159, artists!A$2:A$836, artists!B$2:B$836)</f>
        <v>J. Holiday</v>
      </c>
      <c r="C159" s="1" t="s">
        <v>199</v>
      </c>
      <c r="D159" s="2" t="n">
        <v>275106</v>
      </c>
      <c r="E159" s="2" t="n">
        <f aca="false">D159/1000</f>
        <v>275.106</v>
      </c>
      <c r="F159" s="10" t="b">
        <f aca="false">FALSE()</f>
        <v>0</v>
      </c>
      <c r="G159" s="0" t="n">
        <v>10</v>
      </c>
      <c r="H159" s="0" t="n">
        <f aca="false">_xlfn.xlookup(G159, years!A$2:A$836, years!B$2:B$836)</f>
        <v>2007</v>
      </c>
      <c r="I159" s="2" t="n">
        <v>64</v>
      </c>
      <c r="J159" s="0" t="n">
        <v>0.684</v>
      </c>
      <c r="K159" s="0" t="n">
        <v>0.606</v>
      </c>
      <c r="L159" s="3" t="str">
        <f aca="false">IF(K159&gt;0.66,"High",IF(K159&gt;0.33&amp;K159&lt;=0.66,"Medium","Low"))</f>
        <v>Low</v>
      </c>
      <c r="M159" s="0" t="n">
        <v>-7.268</v>
      </c>
      <c r="N159" s="3" t="n">
        <v>0.0504</v>
      </c>
      <c r="O159" s="3" t="n">
        <v>0.17</v>
      </c>
      <c r="P159" s="4" t="n">
        <v>0</v>
      </c>
      <c r="Q159" s="3" t="n">
        <v>0.058</v>
      </c>
      <c r="R159" s="3" t="n">
        <v>0.723</v>
      </c>
      <c r="S159" s="3" t="str">
        <f aca="false">IF(R159 &gt;= 0.5, "Positive", "Negative")</f>
        <v>Positive</v>
      </c>
      <c r="T159" s="2" t="n">
        <v>127.901</v>
      </c>
      <c r="U159" s="0" t="s">
        <v>41</v>
      </c>
    </row>
    <row r="160" customFormat="false" ht="14.25" hidden="false" customHeight="false" outlineLevel="0" collapsed="false">
      <c r="A160" s="0" t="n">
        <v>526</v>
      </c>
      <c r="B160" s="0" t="str">
        <f aca="false">_xlfn.xlookup(A160, artists!A$2:A$836, artists!B$2:B$836)</f>
        <v>Nicki Minaj</v>
      </c>
      <c r="C160" s="1" t="s">
        <v>200</v>
      </c>
      <c r="D160" s="2" t="n">
        <v>269946</v>
      </c>
      <c r="E160" s="2" t="n">
        <f aca="false">D160/1000</f>
        <v>269.946</v>
      </c>
      <c r="F160" s="10" t="b">
        <f aca="false">TRUE()</f>
        <v>1</v>
      </c>
      <c r="G160" s="0" t="n">
        <v>17</v>
      </c>
      <c r="H160" s="0" t="n">
        <f aca="false">_xlfn.xlookup(G160, years!A$2:A$836, years!B$2:B$836)</f>
        <v>2014</v>
      </c>
      <c r="I160" s="2" t="n">
        <v>53</v>
      </c>
      <c r="J160" s="0" t="n">
        <v>0.716</v>
      </c>
      <c r="K160" s="0" t="n">
        <v>0.67</v>
      </c>
      <c r="L160" s="3" t="str">
        <f aca="false">IF(K160&gt;0.66,"High",IF(K160&gt;0.33&amp;K160&lt;=0.66,"Medium","Low"))</f>
        <v>High</v>
      </c>
      <c r="M160" s="0" t="n">
        <v>-5.779</v>
      </c>
      <c r="N160" s="3" t="n">
        <v>0.194</v>
      </c>
      <c r="O160" s="3" t="n">
        <v>0.251</v>
      </c>
      <c r="P160" s="4" t="n">
        <v>0</v>
      </c>
      <c r="Q160" s="3" t="n">
        <v>0.109</v>
      </c>
      <c r="R160" s="3" t="n">
        <v>0.124</v>
      </c>
      <c r="S160" s="3" t="str">
        <f aca="false">IF(R160 &gt;= 0.5, "Positive", "Negative")</f>
        <v>Negative</v>
      </c>
      <c r="T160" s="2" t="n">
        <v>86.01</v>
      </c>
      <c r="U160" s="0" t="s">
        <v>24</v>
      </c>
    </row>
    <row r="161" customFormat="false" ht="14.25" hidden="false" customHeight="false" outlineLevel="0" collapsed="false">
      <c r="A161" s="0" t="n">
        <v>500</v>
      </c>
      <c r="B161" s="0" t="str">
        <f aca="false">_xlfn.xlookup(A161, artists!A$2:A$836, artists!B$2:B$836)</f>
        <v>Young Money</v>
      </c>
      <c r="C161" s="1" t="s">
        <v>201</v>
      </c>
      <c r="D161" s="2" t="n">
        <v>288133</v>
      </c>
      <c r="E161" s="2" t="n">
        <f aca="false">D161/1000</f>
        <v>288.133</v>
      </c>
      <c r="F161" s="10" t="b">
        <f aca="false">TRUE()</f>
        <v>1</v>
      </c>
      <c r="G161" s="0" t="n">
        <v>12</v>
      </c>
      <c r="H161" s="0" t="n">
        <f aca="false">_xlfn.xlookup(G161, years!A$2:A$836, years!B$2:B$836)</f>
        <v>2009</v>
      </c>
      <c r="I161" s="2" t="n">
        <v>71</v>
      </c>
      <c r="J161" s="0" t="n">
        <v>0.733</v>
      </c>
      <c r="K161" s="0" t="n">
        <v>0.664</v>
      </c>
      <c r="L161" s="3" t="str">
        <f aca="false">IF(K161&gt;0.66,"High",IF(K161&gt;0.33&amp;K161&lt;=0.66,"Medium","Low"))</f>
        <v>High</v>
      </c>
      <c r="M161" s="0" t="n">
        <v>-6.163</v>
      </c>
      <c r="N161" s="3" t="n">
        <v>0.295</v>
      </c>
      <c r="O161" s="3" t="n">
        <v>0.102</v>
      </c>
      <c r="P161" s="4" t="n">
        <v>0</v>
      </c>
      <c r="Q161" s="3" t="n">
        <v>0.191</v>
      </c>
      <c r="R161" s="3" t="n">
        <v>0.557</v>
      </c>
      <c r="S161" s="3" t="str">
        <f aca="false">IF(R161 &gt;= 0.5, "Positive", "Negative")</f>
        <v>Positive</v>
      </c>
      <c r="T161" s="2" t="n">
        <v>148.005</v>
      </c>
      <c r="U161" s="0" t="s">
        <v>24</v>
      </c>
    </row>
    <row r="162" customFormat="false" ht="14.25" hidden="false" customHeight="false" outlineLevel="0" collapsed="false">
      <c r="A162" s="0" t="n">
        <v>285</v>
      </c>
      <c r="B162" s="0" t="str">
        <f aca="false">_xlfn.xlookup(A162, artists!A$2:A$836, artists!B$2:B$836)</f>
        <v>The Pussycat Dolls</v>
      </c>
      <c r="C162" s="1" t="s">
        <v>202</v>
      </c>
      <c r="D162" s="2" t="n">
        <v>229360</v>
      </c>
      <c r="E162" s="2" t="n">
        <f aca="false">D162/1000</f>
        <v>229.36</v>
      </c>
      <c r="F162" s="10" t="b">
        <f aca="false">FALSE()</f>
        <v>0</v>
      </c>
      <c r="G162" s="0" t="n">
        <v>8</v>
      </c>
      <c r="H162" s="0" t="n">
        <f aca="false">_xlfn.xlookup(G162, years!A$2:A$836, years!B$2:B$836)</f>
        <v>2005</v>
      </c>
      <c r="I162" s="2" t="n">
        <v>57</v>
      </c>
      <c r="J162" s="0" t="n">
        <v>0.938</v>
      </c>
      <c r="K162" s="0" t="n">
        <v>0.735</v>
      </c>
      <c r="L162" s="3" t="str">
        <f aca="false">IF(K162&gt;0.66,"High",IF(K162&gt;0.33&amp;K162&lt;=0.66,"Medium","Low"))</f>
        <v>High</v>
      </c>
      <c r="M162" s="0" t="n">
        <v>-6.382</v>
      </c>
      <c r="N162" s="3" t="n">
        <v>0.0434</v>
      </c>
      <c r="O162" s="3" t="n">
        <v>0.00952</v>
      </c>
      <c r="P162" s="4" t="n">
        <v>0</v>
      </c>
      <c r="Q162" s="3" t="n">
        <v>0.0998</v>
      </c>
      <c r="R162" s="3" t="n">
        <v>0.55</v>
      </c>
      <c r="S162" s="3" t="str">
        <f aca="false">IF(R162 &gt;= 0.5, "Positive", "Negative")</f>
        <v>Positive</v>
      </c>
      <c r="T162" s="2" t="n">
        <v>103.7</v>
      </c>
      <c r="U162" s="0" t="s">
        <v>33</v>
      </c>
    </row>
    <row r="163" customFormat="false" ht="14.25" hidden="false" customHeight="false" outlineLevel="0" collapsed="false">
      <c r="A163" s="0" t="n">
        <v>388</v>
      </c>
      <c r="B163" s="0" t="str">
        <f aca="false">_xlfn.xlookup(A163, artists!A$2:A$836, artists!B$2:B$836)</f>
        <v>Carrie Underwood</v>
      </c>
      <c r="C163" s="1" t="s">
        <v>203</v>
      </c>
      <c r="D163" s="2" t="n">
        <v>199946</v>
      </c>
      <c r="E163" s="2" t="n">
        <f aca="false">D163/1000</f>
        <v>199.946</v>
      </c>
      <c r="F163" s="10" t="b">
        <f aca="false">FALSE()</f>
        <v>0</v>
      </c>
      <c r="G163" s="0" t="n">
        <v>8</v>
      </c>
      <c r="H163" s="0" t="n">
        <f aca="false">_xlfn.xlookup(G163, years!A$2:A$836, years!B$2:B$836)</f>
        <v>2005</v>
      </c>
      <c r="I163" s="2" t="n">
        <v>76</v>
      </c>
      <c r="J163" s="0" t="n">
        <v>0.519</v>
      </c>
      <c r="K163" s="0" t="n">
        <v>0.749</v>
      </c>
      <c r="L163" s="3" t="str">
        <f aca="false">IF(K163&gt;0.66,"High",IF(K163&gt;0.33&amp;K163&lt;=0.66,"Medium","Low"))</f>
        <v>High</v>
      </c>
      <c r="M163" s="0" t="n">
        <v>-3.318</v>
      </c>
      <c r="N163" s="3" t="n">
        <v>0.0405</v>
      </c>
      <c r="O163" s="3" t="n">
        <v>0.271</v>
      </c>
      <c r="P163" s="4" t="n">
        <v>0</v>
      </c>
      <c r="Q163" s="3" t="n">
        <v>0.119</v>
      </c>
      <c r="R163" s="3" t="n">
        <v>0.29</v>
      </c>
      <c r="S163" s="3" t="str">
        <f aca="false">IF(R163 &gt;= 0.5, "Positive", "Negative")</f>
        <v>Negative</v>
      </c>
      <c r="T163" s="2" t="n">
        <v>147.905</v>
      </c>
      <c r="U163" s="0" t="s">
        <v>204</v>
      </c>
    </row>
    <row r="164" customFormat="false" ht="14.25" hidden="false" customHeight="false" outlineLevel="0" collapsed="false">
      <c r="A164" s="0" t="n">
        <v>400</v>
      </c>
      <c r="B164" s="0" t="str">
        <f aca="false">_xlfn.xlookup(A164, artists!A$2:A$836, artists!B$2:B$836)</f>
        <v>Madcon</v>
      </c>
      <c r="C164" s="1" t="s">
        <v>205</v>
      </c>
      <c r="D164" s="2" t="n">
        <v>216146</v>
      </c>
      <c r="E164" s="2" t="n">
        <f aca="false">D164/1000</f>
        <v>216.146</v>
      </c>
      <c r="F164" s="10" t="b">
        <f aca="false">FALSE()</f>
        <v>0</v>
      </c>
      <c r="G164" s="0" t="n">
        <v>10</v>
      </c>
      <c r="H164" s="0" t="n">
        <f aca="false">_xlfn.xlookup(G164, years!A$2:A$836, years!B$2:B$836)</f>
        <v>2007</v>
      </c>
      <c r="I164" s="2" t="n">
        <v>70</v>
      </c>
      <c r="J164" s="0" t="n">
        <v>0.715</v>
      </c>
      <c r="K164" s="0" t="n">
        <v>0.8</v>
      </c>
      <c r="L164" s="3" t="str">
        <f aca="false">IF(K164&gt;0.66,"High",IF(K164&gt;0.33&amp;K164&lt;=0.66,"Medium","Low"))</f>
        <v>High</v>
      </c>
      <c r="M164" s="0" t="n">
        <v>-5.144</v>
      </c>
      <c r="N164" s="3" t="n">
        <v>0.057</v>
      </c>
      <c r="O164" s="3" t="n">
        <v>0.0271</v>
      </c>
      <c r="P164" s="4" t="n">
        <v>0</v>
      </c>
      <c r="Q164" s="3" t="n">
        <v>0.0648</v>
      </c>
      <c r="R164" s="3" t="n">
        <v>0.445</v>
      </c>
      <c r="S164" s="3" t="str">
        <f aca="false">IF(R164 &gt;= 0.5, "Positive", "Negative")</f>
        <v>Negative</v>
      </c>
      <c r="T164" s="2" t="n">
        <v>129.023</v>
      </c>
      <c r="U164" s="0" t="s">
        <v>24</v>
      </c>
    </row>
    <row r="165" customFormat="false" ht="14.25" hidden="false" customHeight="false" outlineLevel="0" collapsed="false">
      <c r="A165" s="0" t="n">
        <v>24</v>
      </c>
      <c r="B165" s="0" t="str">
        <f aca="false">_xlfn.xlookup(A165, artists!A$2:A$836, artists!B$2:B$836)</f>
        <v>Limp Bizkit</v>
      </c>
      <c r="C165" s="1" t="s">
        <v>206</v>
      </c>
      <c r="D165" s="2" t="n">
        <v>269973</v>
      </c>
      <c r="E165" s="2" t="n">
        <f aca="false">D165/1000</f>
        <v>269.973</v>
      </c>
      <c r="F165" s="10" t="b">
        <f aca="false">FALSE()</f>
        <v>0</v>
      </c>
      <c r="G165" s="0" t="n">
        <v>6</v>
      </c>
      <c r="H165" s="0" t="n">
        <f aca="false">_xlfn.xlookup(G165, years!A$2:A$836, years!B$2:B$836)</f>
        <v>2003</v>
      </c>
      <c r="I165" s="2" t="n">
        <v>70</v>
      </c>
      <c r="J165" s="0" t="n">
        <v>0.595</v>
      </c>
      <c r="K165" s="0" t="n">
        <v>0.489</v>
      </c>
      <c r="L165" s="3" t="str">
        <f aca="false">IF(K165&gt;0.66,"High",IF(K165&gt;0.33&amp;K165&lt;=0.66,"Medium","Low"))</f>
        <v>Low</v>
      </c>
      <c r="M165" s="0" t="n">
        <v>-6.66</v>
      </c>
      <c r="N165" s="3" t="n">
        <v>0.0271</v>
      </c>
      <c r="O165" s="3" t="n">
        <v>0.497</v>
      </c>
      <c r="P165" s="4" t="n">
        <v>0</v>
      </c>
      <c r="Q165" s="3" t="n">
        <v>0.119</v>
      </c>
      <c r="R165" s="3" t="n">
        <v>0.0902</v>
      </c>
      <c r="S165" s="3" t="str">
        <f aca="false">IF(R165 &gt;= 0.5, "Positive", "Negative")</f>
        <v>Negative</v>
      </c>
      <c r="T165" s="2" t="n">
        <v>120.315</v>
      </c>
      <c r="U165" s="0" t="s">
        <v>27</v>
      </c>
    </row>
    <row r="166" customFormat="false" ht="14.25" hidden="false" customHeight="false" outlineLevel="0" collapsed="false">
      <c r="A166" s="0" t="n">
        <v>230</v>
      </c>
      <c r="B166" s="0" t="str">
        <f aca="false">_xlfn.xlookup(A166, artists!A$2:A$836, artists!B$2:B$836)</f>
        <v>Kelly Clarkson</v>
      </c>
      <c r="C166" s="1" t="s">
        <v>207</v>
      </c>
      <c r="D166" s="2" t="n">
        <v>198973</v>
      </c>
      <c r="E166" s="2" t="n">
        <f aca="false">D166/1000</f>
        <v>198.973</v>
      </c>
      <c r="F166" s="10" t="b">
        <f aca="false">FALSE()</f>
        <v>0</v>
      </c>
      <c r="G166" s="0" t="n">
        <v>7</v>
      </c>
      <c r="H166" s="0" t="n">
        <f aca="false">_xlfn.xlookup(G166, years!A$2:A$836, years!B$2:B$836)</f>
        <v>2004</v>
      </c>
      <c r="I166" s="2" t="n">
        <v>59</v>
      </c>
      <c r="J166" s="0" t="n">
        <v>0.548</v>
      </c>
      <c r="K166" s="0" t="n">
        <v>0.889</v>
      </c>
      <c r="L166" s="3" t="str">
        <f aca="false">IF(K166&gt;0.66,"High",IF(K166&gt;0.33&amp;K166&lt;=0.66,"Medium","Low"))</f>
        <v>High</v>
      </c>
      <c r="M166" s="0" t="n">
        <v>-4.682</v>
      </c>
      <c r="N166" s="3" t="n">
        <v>0.0382</v>
      </c>
      <c r="O166" s="3" t="n">
        <v>0.00165</v>
      </c>
      <c r="P166" s="4" t="n">
        <v>0.00109</v>
      </c>
      <c r="Q166" s="3" t="n">
        <v>0.197</v>
      </c>
      <c r="R166" s="3" t="n">
        <v>0.425</v>
      </c>
      <c r="S166" s="3" t="str">
        <f aca="false">IF(R166 &gt;= 0.5, "Positive", "Negative")</f>
        <v>Negative</v>
      </c>
      <c r="T166" s="2" t="n">
        <v>90.048</v>
      </c>
      <c r="U166" s="0" t="s">
        <v>33</v>
      </c>
    </row>
    <row r="167" customFormat="false" ht="14.25" hidden="false" customHeight="false" outlineLevel="0" collapsed="false">
      <c r="A167" s="0" t="n">
        <v>560</v>
      </c>
      <c r="B167" s="0" t="str">
        <f aca="false">_xlfn.xlookup(A167, artists!A$2:A$836, artists!B$2:B$836)</f>
        <v>One Direction</v>
      </c>
      <c r="C167" s="1" t="s">
        <v>208</v>
      </c>
      <c r="D167" s="2" t="n">
        <v>230333</v>
      </c>
      <c r="E167" s="2" t="n">
        <f aca="false">D167/1000</f>
        <v>230.333</v>
      </c>
      <c r="F167" s="10" t="b">
        <f aca="false">FALSE()</f>
        <v>0</v>
      </c>
      <c r="G167" s="0" t="n">
        <v>18</v>
      </c>
      <c r="H167" s="0" t="n">
        <f aca="false">_xlfn.xlookup(G167, years!A$2:A$836, years!B$2:B$836)</f>
        <v>2015</v>
      </c>
      <c r="I167" s="2" t="n">
        <v>77</v>
      </c>
      <c r="J167" s="0" t="n">
        <v>0.647</v>
      </c>
      <c r="K167" s="0" t="n">
        <v>0.823</v>
      </c>
      <c r="L167" s="3" t="str">
        <f aca="false">IF(K167&gt;0.66,"High",IF(K167&gt;0.33&amp;K167&lt;=0.66,"Medium","Low"))</f>
        <v>High</v>
      </c>
      <c r="M167" s="0" t="n">
        <v>-5.231</v>
      </c>
      <c r="N167" s="3" t="n">
        <v>0.0762</v>
      </c>
      <c r="O167" s="3" t="n">
        <v>0.0598</v>
      </c>
      <c r="P167" s="4" t="n">
        <v>0</v>
      </c>
      <c r="Q167" s="3" t="n">
        <v>0.119</v>
      </c>
      <c r="R167" s="3" t="n">
        <v>0.396</v>
      </c>
      <c r="S167" s="3" t="str">
        <f aca="false">IF(R167 &gt;= 0.5, "Positive", "Negative")</f>
        <v>Negative</v>
      </c>
      <c r="T167" s="2" t="n">
        <v>99.933</v>
      </c>
      <c r="U167" s="0" t="s">
        <v>39</v>
      </c>
    </row>
    <row r="168" customFormat="false" ht="14.25" hidden="false" customHeight="false" outlineLevel="0" collapsed="false">
      <c r="A168" s="0" t="n">
        <v>75</v>
      </c>
      <c r="B168" s="0" t="str">
        <f aca="false">_xlfn.xlookup(A168, artists!A$2:A$836, artists!B$2:B$836)</f>
        <v>Matchbox Twenty</v>
      </c>
      <c r="C168" s="1" t="s">
        <v>209</v>
      </c>
      <c r="D168" s="2" t="n">
        <v>256133</v>
      </c>
      <c r="E168" s="2" t="n">
        <f aca="false">D168/1000</f>
        <v>256.133</v>
      </c>
      <c r="F168" s="10" t="b">
        <f aca="false">FALSE()</f>
        <v>0</v>
      </c>
      <c r="G168" s="0" t="n">
        <v>3</v>
      </c>
      <c r="H168" s="0" t="n">
        <f aca="false">_xlfn.xlookup(G168, years!A$2:A$836, years!B$2:B$836)</f>
        <v>2000</v>
      </c>
      <c r="I168" s="2" t="n">
        <v>54</v>
      </c>
      <c r="J168" s="0" t="n">
        <v>0.518</v>
      </c>
      <c r="K168" s="0" t="n">
        <v>0.83</v>
      </c>
      <c r="L168" s="3" t="str">
        <f aca="false">IF(K168&gt;0.66,"High",IF(K168&gt;0.33&amp;K168&lt;=0.66,"Medium","Low"))</f>
        <v>High</v>
      </c>
      <c r="M168" s="0" t="n">
        <v>-6.814</v>
      </c>
      <c r="N168" s="3" t="n">
        <v>0.0386</v>
      </c>
      <c r="O168" s="3" t="n">
        <v>0.0404</v>
      </c>
      <c r="P168" s="4" t="n">
        <v>3.85E-006</v>
      </c>
      <c r="Q168" s="3" t="n">
        <v>0.375</v>
      </c>
      <c r="R168" s="3" t="n">
        <v>0.527</v>
      </c>
      <c r="S168" s="3" t="str">
        <f aca="false">IF(R168 &gt;= 0.5, "Positive", "Negative")</f>
        <v>Positive</v>
      </c>
      <c r="T168" s="2" t="n">
        <v>95.468</v>
      </c>
      <c r="U168" s="0" t="s">
        <v>210</v>
      </c>
    </row>
    <row r="169" customFormat="false" ht="14.25" hidden="false" customHeight="false" outlineLevel="0" collapsed="false">
      <c r="A169" s="0" t="n">
        <v>7</v>
      </c>
      <c r="B169" s="0" t="str">
        <f aca="false">_xlfn.xlookup(A169, artists!A$2:A$836, artists!B$2:B$836)</f>
        <v>Eminem</v>
      </c>
      <c r="C169" s="1" t="s">
        <v>211</v>
      </c>
      <c r="D169" s="2" t="n">
        <v>238746</v>
      </c>
      <c r="E169" s="2" t="n">
        <f aca="false">D169/1000</f>
        <v>238.746</v>
      </c>
      <c r="F169" s="10" t="b">
        <f aca="false">TRUE()</f>
        <v>1</v>
      </c>
      <c r="G169" s="0" t="n">
        <v>16</v>
      </c>
      <c r="H169" s="0" t="n">
        <f aca="false">_xlfn.xlookup(G169, years!A$2:A$836, years!B$2:B$836)</f>
        <v>2013</v>
      </c>
      <c r="I169" s="2" t="n">
        <v>66</v>
      </c>
      <c r="J169" s="0" t="n">
        <v>0.739</v>
      </c>
      <c r="K169" s="0" t="n">
        <v>0.872</v>
      </c>
      <c r="L169" s="3" t="str">
        <f aca="false">IF(K169&gt;0.66,"High",IF(K169&gt;0.33&amp;K169&lt;=0.66,"Medium","Low"))</f>
        <v>High</v>
      </c>
      <c r="M169" s="0" t="n">
        <v>-4.059</v>
      </c>
      <c r="N169" s="3" t="n">
        <v>0.333</v>
      </c>
      <c r="O169" s="3" t="n">
        <v>0.0217</v>
      </c>
      <c r="P169" s="4" t="n">
        <v>0</v>
      </c>
      <c r="Q169" s="3" t="n">
        <v>0.26</v>
      </c>
      <c r="R169" s="3" t="n">
        <v>0.684</v>
      </c>
      <c r="S169" s="3" t="str">
        <f aca="false">IF(R169 &gt;= 0.5, "Positive", "Negative")</f>
        <v>Positive</v>
      </c>
      <c r="T169" s="2" t="n">
        <v>95.084</v>
      </c>
      <c r="U169" s="0" t="s">
        <v>29</v>
      </c>
    </row>
    <row r="170" customFormat="false" ht="14.25" hidden="false" customHeight="false" outlineLevel="0" collapsed="false">
      <c r="A170" s="0" t="n">
        <v>455</v>
      </c>
      <c r="B170" s="0" t="str">
        <f aca="false">_xlfn.xlookup(A170, artists!A$2:A$836, artists!B$2:B$836)</f>
        <v>Drake</v>
      </c>
      <c r="C170" s="1" t="s">
        <v>212</v>
      </c>
      <c r="D170" s="2" t="n">
        <v>258760</v>
      </c>
      <c r="E170" s="2" t="n">
        <f aca="false">D170/1000</f>
        <v>258.76</v>
      </c>
      <c r="F170" s="10" t="b">
        <f aca="false">TRUE()</f>
        <v>1</v>
      </c>
      <c r="G170" s="0" t="n">
        <v>13</v>
      </c>
      <c r="H170" s="0" t="n">
        <f aca="false">_xlfn.xlookup(G170, years!A$2:A$836, years!B$2:B$836)</f>
        <v>2010</v>
      </c>
      <c r="I170" s="2" t="n">
        <v>54</v>
      </c>
      <c r="J170" s="0" t="n">
        <v>0.431</v>
      </c>
      <c r="K170" s="0" t="n">
        <v>0.894</v>
      </c>
      <c r="L170" s="3" t="str">
        <f aca="false">IF(K170&gt;0.66,"High",IF(K170&gt;0.33&amp;K170&lt;=0.66,"Medium","Low"))</f>
        <v>High</v>
      </c>
      <c r="M170" s="0" t="n">
        <v>-2.673</v>
      </c>
      <c r="N170" s="3" t="n">
        <v>0.33</v>
      </c>
      <c r="O170" s="3" t="n">
        <v>0.0951</v>
      </c>
      <c r="P170" s="4" t="n">
        <v>0</v>
      </c>
      <c r="Q170" s="3" t="n">
        <v>0.188</v>
      </c>
      <c r="R170" s="3" t="n">
        <v>0.605</v>
      </c>
      <c r="S170" s="3" t="str">
        <f aca="false">IF(R170 &gt;= 0.5, "Positive", "Negative")</f>
        <v>Positive</v>
      </c>
      <c r="T170" s="2" t="n">
        <v>162.161</v>
      </c>
      <c r="U170" s="0" t="s">
        <v>31</v>
      </c>
    </row>
    <row r="171" customFormat="false" ht="14.25" hidden="false" customHeight="false" outlineLevel="0" collapsed="false">
      <c r="A171" s="0" t="n">
        <v>316</v>
      </c>
      <c r="B171" s="0" t="str">
        <f aca="false">_xlfn.xlookup(A171, artists!A$2:A$836, artists!B$2:B$836)</f>
        <v>Foo Fighters</v>
      </c>
      <c r="C171" s="1" t="s">
        <v>213</v>
      </c>
      <c r="D171" s="2" t="n">
        <v>255626</v>
      </c>
      <c r="E171" s="2" t="n">
        <f aca="false">D171/1000</f>
        <v>255.626</v>
      </c>
      <c r="F171" s="10" t="b">
        <f aca="false">FALSE()</f>
        <v>0</v>
      </c>
      <c r="G171" s="0" t="n">
        <v>8</v>
      </c>
      <c r="H171" s="0" t="n">
        <f aca="false">_xlfn.xlookup(G171, years!A$2:A$836, years!B$2:B$836)</f>
        <v>2005</v>
      </c>
      <c r="I171" s="2" t="n">
        <v>76</v>
      </c>
      <c r="J171" s="0" t="n">
        <v>0.366</v>
      </c>
      <c r="K171" s="0" t="n">
        <v>0.94</v>
      </c>
      <c r="L171" s="3" t="str">
        <f aca="false">IF(K171&gt;0.66,"High",IF(K171&gt;0.33&amp;K171&lt;=0.66,"Medium","Low"))</f>
        <v>High</v>
      </c>
      <c r="M171" s="0" t="n">
        <v>-5.119</v>
      </c>
      <c r="N171" s="3" t="n">
        <v>0.0696</v>
      </c>
      <c r="O171" s="3" t="n">
        <v>0.000769</v>
      </c>
      <c r="P171" s="4" t="n">
        <v>9.42E-005</v>
      </c>
      <c r="Q171" s="3" t="n">
        <v>0.188</v>
      </c>
      <c r="R171" s="3" t="n">
        <v>0.369</v>
      </c>
      <c r="S171" s="3" t="str">
        <f aca="false">IF(R171 &gt;= 0.5, "Positive", "Negative")</f>
        <v>Negative</v>
      </c>
      <c r="T171" s="2" t="n">
        <v>130.198</v>
      </c>
      <c r="U171" s="0" t="s">
        <v>81</v>
      </c>
    </row>
    <row r="172" customFormat="false" ht="14.25" hidden="false" customHeight="false" outlineLevel="0" collapsed="false">
      <c r="A172" s="0" t="n">
        <v>560</v>
      </c>
      <c r="B172" s="0" t="str">
        <f aca="false">_xlfn.xlookup(A172, artists!A$2:A$836, artists!B$2:B$836)</f>
        <v>One Direction</v>
      </c>
      <c r="C172" s="1" t="s">
        <v>214</v>
      </c>
      <c r="D172" s="2" t="n">
        <v>200106</v>
      </c>
      <c r="E172" s="2" t="n">
        <f aca="false">D172/1000</f>
        <v>200.106</v>
      </c>
      <c r="F172" s="10" t="b">
        <f aca="false">FALSE()</f>
        <v>0</v>
      </c>
      <c r="G172" s="0" t="n">
        <v>16</v>
      </c>
      <c r="H172" s="0" t="n">
        <f aca="false">_xlfn.xlookup(G172, years!A$2:A$836, years!B$2:B$836)</f>
        <v>2013</v>
      </c>
      <c r="I172" s="2" t="n">
        <v>76</v>
      </c>
      <c r="J172" s="0" t="n">
        <v>0.652</v>
      </c>
      <c r="K172" s="0" t="n">
        <v>0.877</v>
      </c>
      <c r="L172" s="3" t="str">
        <f aca="false">IF(K172&gt;0.66,"High",IF(K172&gt;0.33&amp;K172&lt;=0.66,"Medium","Low"))</f>
        <v>High</v>
      </c>
      <c r="M172" s="0" t="n">
        <v>-2.986</v>
      </c>
      <c r="N172" s="3" t="n">
        <v>0.0465</v>
      </c>
      <c r="O172" s="3" t="n">
        <v>0.0227</v>
      </c>
      <c r="P172" s="4" t="n">
        <v>0</v>
      </c>
      <c r="Q172" s="3" t="n">
        <v>0.0789</v>
      </c>
      <c r="R172" s="3" t="n">
        <v>0.486</v>
      </c>
      <c r="S172" s="3" t="str">
        <f aca="false">IF(R172 &gt;= 0.5, "Positive", "Negative")</f>
        <v>Negative</v>
      </c>
      <c r="T172" s="2" t="n">
        <v>118.491</v>
      </c>
      <c r="U172" s="0" t="s">
        <v>39</v>
      </c>
    </row>
    <row r="173" customFormat="false" ht="14.25" hidden="false" customHeight="false" outlineLevel="0" collapsed="false">
      <c r="A173" s="0" t="n">
        <v>192</v>
      </c>
      <c r="B173" s="0" t="str">
        <f aca="false">_xlfn.xlookup(A173, artists!A$2:A$836, artists!B$2:B$836)</f>
        <v>Beyoncé</v>
      </c>
      <c r="C173" s="1" t="s">
        <v>215</v>
      </c>
      <c r="D173" s="2" t="n">
        <v>253746</v>
      </c>
      <c r="E173" s="2" t="n">
        <f aca="false">D173/1000</f>
        <v>253.746</v>
      </c>
      <c r="F173" s="10" t="b">
        <f aca="false">FALSE()</f>
        <v>0</v>
      </c>
      <c r="G173" s="0" t="n">
        <v>14</v>
      </c>
      <c r="H173" s="0" t="n">
        <f aca="false">_xlfn.xlookup(G173, years!A$2:A$836, years!B$2:B$836)</f>
        <v>2011</v>
      </c>
      <c r="I173" s="2" t="n">
        <v>69</v>
      </c>
      <c r="J173" s="0" t="n">
        <v>0.545</v>
      </c>
      <c r="K173" s="0" t="n">
        <v>0.649</v>
      </c>
      <c r="L173" s="3" t="str">
        <f aca="false">IF(K173&gt;0.66,"High",IF(K173&gt;0.33&amp;K173&lt;=0.66,"Medium","Low"))</f>
        <v>Low</v>
      </c>
      <c r="M173" s="0" t="n">
        <v>-4.062</v>
      </c>
      <c r="N173" s="3" t="n">
        <v>0.0324</v>
      </c>
      <c r="O173" s="3" t="n">
        <v>0.143</v>
      </c>
      <c r="P173" s="4" t="n">
        <v>1.57E-005</v>
      </c>
      <c r="Q173" s="3" t="n">
        <v>0.0894</v>
      </c>
      <c r="R173" s="3" t="n">
        <v>0.297</v>
      </c>
      <c r="S173" s="3" t="str">
        <f aca="false">IF(R173 &gt;= 0.5, "Positive", "Negative")</f>
        <v>Negative</v>
      </c>
      <c r="T173" s="2" t="n">
        <v>99.099</v>
      </c>
      <c r="U173" s="0" t="s">
        <v>33</v>
      </c>
    </row>
    <row r="174" customFormat="false" ht="14.25" hidden="false" customHeight="false" outlineLevel="0" collapsed="false">
      <c r="A174" s="0" t="n">
        <v>792</v>
      </c>
      <c r="B174" s="0" t="str">
        <f aca="false">_xlfn.xlookup(A174, artists!A$2:A$836, artists!B$2:B$836)</f>
        <v>Khalid</v>
      </c>
      <c r="C174" s="1" t="s">
        <v>216</v>
      </c>
      <c r="D174" s="2" t="n">
        <v>229412</v>
      </c>
      <c r="E174" s="2" t="n">
        <f aca="false">D174/1000</f>
        <v>229.412</v>
      </c>
      <c r="F174" s="10" t="b">
        <f aca="false">FALSE()</f>
        <v>0</v>
      </c>
      <c r="G174" s="0" t="n">
        <v>21</v>
      </c>
      <c r="H174" s="0" t="n">
        <f aca="false">_xlfn.xlookup(G174, years!A$2:A$836, years!B$2:B$836)</f>
        <v>2018</v>
      </c>
      <c r="I174" s="2" t="n">
        <v>70</v>
      </c>
      <c r="J174" s="0" t="n">
        <v>0.442</v>
      </c>
      <c r="K174" s="0" t="n">
        <v>0.585</v>
      </c>
      <c r="L174" s="3" t="str">
        <f aca="false">IF(K174&gt;0.66,"High",IF(K174&gt;0.33&amp;K174&lt;=0.66,"Medium","Low"))</f>
        <v>Low</v>
      </c>
      <c r="M174" s="0" t="n">
        <v>-10.332</v>
      </c>
      <c r="N174" s="3" t="n">
        <v>0.0964</v>
      </c>
      <c r="O174" s="3" t="n">
        <v>0.0984</v>
      </c>
      <c r="P174" s="4" t="n">
        <v>0.391</v>
      </c>
      <c r="Q174" s="3" t="n">
        <v>0.14</v>
      </c>
      <c r="R174" s="3" t="n">
        <v>0.116</v>
      </c>
      <c r="S174" s="3" t="str">
        <f aca="false">IF(R174 &gt;= 0.5, "Positive", "Negative")</f>
        <v>Negative</v>
      </c>
      <c r="T174" s="2" t="n">
        <v>97.565</v>
      </c>
      <c r="U174" s="0" t="s">
        <v>33</v>
      </c>
    </row>
    <row r="175" customFormat="false" ht="14.25" hidden="false" customHeight="false" outlineLevel="0" collapsed="false">
      <c r="A175" s="0" t="n">
        <v>337</v>
      </c>
      <c r="B175" s="0" t="str">
        <f aca="false">_xlfn.xlookup(A175, artists!A$2:A$836, artists!B$2:B$836)</f>
        <v>Leona Lewis</v>
      </c>
      <c r="C175" s="1" t="s">
        <v>217</v>
      </c>
      <c r="D175" s="2" t="n">
        <v>234173</v>
      </c>
      <c r="E175" s="2" t="n">
        <f aca="false">D175/1000</f>
        <v>234.173</v>
      </c>
      <c r="F175" s="10" t="b">
        <f aca="false">FALSE()</f>
        <v>0</v>
      </c>
      <c r="G175" s="0" t="n">
        <v>10</v>
      </c>
      <c r="H175" s="0" t="n">
        <f aca="false">_xlfn.xlookup(G175, years!A$2:A$836, years!B$2:B$836)</f>
        <v>2007</v>
      </c>
      <c r="I175" s="2" t="n">
        <v>67</v>
      </c>
      <c r="J175" s="0" t="n">
        <v>0.584</v>
      </c>
      <c r="K175" s="0" t="n">
        <v>0.7</v>
      </c>
      <c r="L175" s="3" t="str">
        <f aca="false">IF(K175&gt;0.66,"High",IF(K175&gt;0.33&amp;K175&lt;=0.66,"Medium","Low"))</f>
        <v>High</v>
      </c>
      <c r="M175" s="0" t="n">
        <v>-4.251</v>
      </c>
      <c r="N175" s="3" t="n">
        <v>0.0506</v>
      </c>
      <c r="O175" s="3" t="n">
        <v>0.512</v>
      </c>
      <c r="P175" s="4" t="n">
        <v>2.43E-005</v>
      </c>
      <c r="Q175" s="3" t="n">
        <v>0.13</v>
      </c>
      <c r="R175" s="3" t="n">
        <v>0.549</v>
      </c>
      <c r="S175" s="3" t="str">
        <f aca="false">IF(R175 &gt;= 0.5, "Positive", "Negative")</f>
        <v>Positive</v>
      </c>
      <c r="T175" s="2" t="n">
        <v>163.953</v>
      </c>
      <c r="U175" s="0" t="s">
        <v>33</v>
      </c>
    </row>
    <row r="176" customFormat="false" ht="14.25" hidden="false" customHeight="false" outlineLevel="0" collapsed="false">
      <c r="A176" s="0" t="n">
        <v>746</v>
      </c>
      <c r="B176" s="0" t="str">
        <f aca="false">_xlfn.xlookup(A176, artists!A$2:A$836, artists!B$2:B$836)</f>
        <v>Post Malone</v>
      </c>
      <c r="C176" s="1" t="s">
        <v>218</v>
      </c>
      <c r="D176" s="2" t="n">
        <v>231266</v>
      </c>
      <c r="E176" s="2" t="n">
        <f aca="false">D176/1000</f>
        <v>231.266</v>
      </c>
      <c r="F176" s="10" t="b">
        <f aca="false">TRUE()</f>
        <v>1</v>
      </c>
      <c r="G176" s="0" t="n">
        <v>21</v>
      </c>
      <c r="H176" s="0" t="n">
        <f aca="false">_xlfn.xlookup(G176, years!A$2:A$836, years!B$2:B$836)</f>
        <v>2018</v>
      </c>
      <c r="I176" s="2" t="n">
        <v>80</v>
      </c>
      <c r="J176" s="0" t="n">
        <v>0.68</v>
      </c>
      <c r="K176" s="0" t="n">
        <v>0.578</v>
      </c>
      <c r="L176" s="3" t="str">
        <f aca="false">IF(K176&gt;0.66,"High",IF(K176&gt;0.33&amp;K176&lt;=0.66,"Medium","Low"))</f>
        <v>Low</v>
      </c>
      <c r="M176" s="0" t="n">
        <v>-5.804</v>
      </c>
      <c r="N176" s="3" t="n">
        <v>0.04</v>
      </c>
      <c r="O176" s="3" t="n">
        <v>0.331</v>
      </c>
      <c r="P176" s="4" t="n">
        <v>0</v>
      </c>
      <c r="Q176" s="3" t="n">
        <v>0.135</v>
      </c>
      <c r="R176" s="3" t="n">
        <v>0.341</v>
      </c>
      <c r="S176" s="3" t="str">
        <f aca="false">IF(R176 &gt;= 0.5, "Positive", "Negative")</f>
        <v>Negative</v>
      </c>
      <c r="T176" s="2" t="n">
        <v>145.038</v>
      </c>
      <c r="U176" s="0" t="s">
        <v>29</v>
      </c>
    </row>
    <row r="177" customFormat="false" ht="14.25" hidden="false" customHeight="false" outlineLevel="0" collapsed="false">
      <c r="A177" s="0" t="n">
        <v>18</v>
      </c>
      <c r="B177" s="0" t="str">
        <f aca="false">_xlfn.xlookup(A177, artists!A$2:A$836, artists!B$2:B$836)</f>
        <v>Alice Deejay</v>
      </c>
      <c r="C177" s="1" t="s">
        <v>219</v>
      </c>
      <c r="D177" s="2" t="n">
        <v>214883</v>
      </c>
      <c r="E177" s="2" t="n">
        <f aca="false">D177/1000</f>
        <v>214.883</v>
      </c>
      <c r="F177" s="10" t="b">
        <f aca="false">FALSE()</f>
        <v>0</v>
      </c>
      <c r="G177" s="0" t="n">
        <v>3</v>
      </c>
      <c r="H177" s="0" t="n">
        <f aca="false">_xlfn.xlookup(G177, years!A$2:A$836, years!B$2:B$836)</f>
        <v>2000</v>
      </c>
      <c r="I177" s="2" t="n">
        <v>73</v>
      </c>
      <c r="J177" s="0" t="n">
        <v>0.671</v>
      </c>
      <c r="K177" s="0" t="n">
        <v>0.88</v>
      </c>
      <c r="L177" s="3" t="str">
        <f aca="false">IF(K177&gt;0.66,"High",IF(K177&gt;0.33&amp;K177&lt;=0.66,"Medium","Low"))</f>
        <v>High</v>
      </c>
      <c r="M177" s="0" t="n">
        <v>-6.149</v>
      </c>
      <c r="N177" s="3" t="n">
        <v>0.0552</v>
      </c>
      <c r="O177" s="3" t="n">
        <v>0.00181</v>
      </c>
      <c r="P177" s="4" t="n">
        <v>0.691</v>
      </c>
      <c r="Q177" s="3" t="n">
        <v>0.285</v>
      </c>
      <c r="R177" s="3" t="n">
        <v>0.782</v>
      </c>
      <c r="S177" s="3" t="str">
        <f aca="false">IF(R177 &gt;= 0.5, "Positive", "Negative")</f>
        <v>Positive</v>
      </c>
      <c r="T177" s="2" t="n">
        <v>136.953</v>
      </c>
      <c r="U177" s="0" t="s">
        <v>39</v>
      </c>
    </row>
    <row r="178" customFormat="false" ht="14.25" hidden="false" customHeight="false" outlineLevel="0" collapsed="false">
      <c r="A178" s="0" t="n">
        <v>345</v>
      </c>
      <c r="B178" s="0" t="str">
        <f aca="false">_xlfn.xlookup(A178, artists!A$2:A$836, artists!B$2:B$836)</f>
        <v>Hinder</v>
      </c>
      <c r="C178" s="1" t="s">
        <v>220</v>
      </c>
      <c r="D178" s="2" t="n">
        <v>223533</v>
      </c>
      <c r="E178" s="2" t="n">
        <f aca="false">D178/1000</f>
        <v>223.533</v>
      </c>
      <c r="F178" s="10" t="b">
        <f aca="false">FALSE()</f>
        <v>0</v>
      </c>
      <c r="G178" s="0" t="n">
        <v>22</v>
      </c>
      <c r="H178" s="0" t="n">
        <f aca="false">_xlfn.xlookup(G178, years!A$2:A$836, years!B$2:B$836)</f>
        <v>2019</v>
      </c>
      <c r="I178" s="2" t="n">
        <v>30</v>
      </c>
      <c r="J178" s="0" t="n">
        <v>0.451</v>
      </c>
      <c r="K178" s="0" t="n">
        <v>0.682</v>
      </c>
      <c r="L178" s="3" t="str">
        <f aca="false">IF(K178&gt;0.66,"High",IF(K178&gt;0.33&amp;K178&lt;=0.66,"Medium","Low"))</f>
        <v>High</v>
      </c>
      <c r="M178" s="0" t="n">
        <v>-5.295</v>
      </c>
      <c r="N178" s="3" t="n">
        <v>0.029</v>
      </c>
      <c r="O178" s="3" t="n">
        <v>0.205</v>
      </c>
      <c r="P178" s="4" t="n">
        <v>0</v>
      </c>
      <c r="Q178" s="3" t="n">
        <v>0.175</v>
      </c>
      <c r="R178" s="3" t="n">
        <v>0.254</v>
      </c>
      <c r="S178" s="3" t="str">
        <f aca="false">IF(R178 &gt;= 0.5, "Positive", "Negative")</f>
        <v>Negative</v>
      </c>
      <c r="T178" s="2" t="n">
        <v>139.913</v>
      </c>
      <c r="U178" s="0" t="s">
        <v>221</v>
      </c>
    </row>
    <row r="179" customFormat="false" ht="14.25" hidden="false" customHeight="false" outlineLevel="0" collapsed="false">
      <c r="A179" s="0" t="n">
        <v>777</v>
      </c>
      <c r="B179" s="0" t="str">
        <f aca="false">_xlfn.xlookup(A179, artists!A$2:A$836, artists!B$2:B$836)</f>
        <v>YG</v>
      </c>
      <c r="C179" s="1" t="s">
        <v>222</v>
      </c>
      <c r="D179" s="2" t="n">
        <v>237240</v>
      </c>
      <c r="E179" s="2" t="n">
        <f aca="false">D179/1000</f>
        <v>237.24</v>
      </c>
      <c r="F179" s="10" t="b">
        <f aca="false">TRUE()</f>
        <v>1</v>
      </c>
      <c r="G179" s="0" t="n">
        <v>21</v>
      </c>
      <c r="H179" s="0" t="n">
        <f aca="false">_xlfn.xlookup(G179, years!A$2:A$836, years!B$2:B$836)</f>
        <v>2018</v>
      </c>
      <c r="I179" s="2" t="n">
        <v>68</v>
      </c>
      <c r="J179" s="0" t="n">
        <v>0.745</v>
      </c>
      <c r="K179" s="0" t="n">
        <v>0.346</v>
      </c>
      <c r="L179" s="3" t="str">
        <f aca="false">IF(K179&gt;0.66,"High",IF(K179&gt;0.33&amp;K179&lt;=0.66,"Medium","Low"))</f>
        <v>Low</v>
      </c>
      <c r="M179" s="0" t="n">
        <v>-7.709</v>
      </c>
      <c r="N179" s="3" t="n">
        <v>0.331</v>
      </c>
      <c r="O179" s="3" t="n">
        <v>0.00552</v>
      </c>
      <c r="P179" s="4" t="n">
        <v>0</v>
      </c>
      <c r="Q179" s="3" t="n">
        <v>0.0881</v>
      </c>
      <c r="R179" s="3" t="n">
        <v>0.112</v>
      </c>
      <c r="S179" s="3" t="str">
        <f aca="false">IF(R179 &gt;= 0.5, "Positive", "Negative")</f>
        <v>Negative</v>
      </c>
      <c r="T179" s="2" t="n">
        <v>203.911</v>
      </c>
      <c r="U179" s="0" t="s">
        <v>24</v>
      </c>
    </row>
    <row r="180" customFormat="false" ht="14.25" hidden="false" customHeight="false" outlineLevel="0" collapsed="false">
      <c r="A180" s="0" t="n">
        <v>332</v>
      </c>
      <c r="B180" s="0" t="str">
        <f aca="false">_xlfn.xlookup(A180, artists!A$2:A$836, artists!B$2:B$836)</f>
        <v>Fergie</v>
      </c>
      <c r="C180" s="1" t="s">
        <v>223</v>
      </c>
      <c r="D180" s="2" t="n">
        <v>268120</v>
      </c>
      <c r="E180" s="2" t="n">
        <f aca="false">D180/1000</f>
        <v>268.12</v>
      </c>
      <c r="F180" s="10" t="b">
        <f aca="false">FALSE()</f>
        <v>0</v>
      </c>
      <c r="G180" s="0" t="n">
        <v>9</v>
      </c>
      <c r="H180" s="0" t="n">
        <f aca="false">_xlfn.xlookup(G180, years!A$2:A$836, years!B$2:B$836)</f>
        <v>2006</v>
      </c>
      <c r="I180" s="2" t="n">
        <v>76</v>
      </c>
      <c r="J180" s="0" t="n">
        <v>0.708</v>
      </c>
      <c r="K180" s="0" t="n">
        <v>0.641</v>
      </c>
      <c r="L180" s="3" t="str">
        <f aca="false">IF(K180&gt;0.66,"High",IF(K180&gt;0.33&amp;K180&lt;=0.66,"Medium","Low"))</f>
        <v>Low</v>
      </c>
      <c r="M180" s="0" t="n">
        <v>-4.296</v>
      </c>
      <c r="N180" s="3" t="n">
        <v>0.0335</v>
      </c>
      <c r="O180" s="3" t="n">
        <v>0.205</v>
      </c>
      <c r="P180" s="4" t="n">
        <v>0</v>
      </c>
      <c r="Q180" s="3" t="n">
        <v>0.0945</v>
      </c>
      <c r="R180" s="3" t="n">
        <v>0.253</v>
      </c>
      <c r="S180" s="3" t="str">
        <f aca="false">IF(R180 &gt;= 0.5, "Positive", "Negative")</f>
        <v>Negative</v>
      </c>
      <c r="T180" s="2" t="n">
        <v>113.082</v>
      </c>
      <c r="U180" s="0" t="s">
        <v>33</v>
      </c>
    </row>
    <row r="181" customFormat="false" ht="14.25" hidden="false" customHeight="false" outlineLevel="0" collapsed="false">
      <c r="A181" s="0" t="n">
        <v>465</v>
      </c>
      <c r="B181" s="0" t="str">
        <f aca="false">_xlfn.xlookup(A181, artists!A$2:A$836, artists!B$2:B$836)</f>
        <v>Jason Aldean</v>
      </c>
      <c r="C181" s="1" t="s">
        <v>224</v>
      </c>
      <c r="D181" s="2" t="n">
        <v>204200</v>
      </c>
      <c r="E181" s="2" t="n">
        <f aca="false">D181/1000</f>
        <v>204.2</v>
      </c>
      <c r="F181" s="10" t="b">
        <f aca="false">FALSE()</f>
        <v>0</v>
      </c>
      <c r="G181" s="0" t="n">
        <v>12</v>
      </c>
      <c r="H181" s="0" t="n">
        <f aca="false">_xlfn.xlookup(G181, years!A$2:A$836, years!B$2:B$836)</f>
        <v>2009</v>
      </c>
      <c r="I181" s="2" t="n">
        <v>50</v>
      </c>
      <c r="J181" s="0" t="n">
        <v>0.616</v>
      </c>
      <c r="K181" s="0" t="n">
        <v>0.596</v>
      </c>
      <c r="L181" s="3" t="str">
        <f aca="false">IF(K181&gt;0.66,"High",IF(K181&gt;0.33&amp;K181&lt;=0.66,"Medium","Low"))</f>
        <v>Low</v>
      </c>
      <c r="M181" s="0" t="n">
        <v>-5.035</v>
      </c>
      <c r="N181" s="3" t="n">
        <v>0.0289</v>
      </c>
      <c r="O181" s="3" t="n">
        <v>0.654</v>
      </c>
      <c r="P181" s="4" t="n">
        <v>0</v>
      </c>
      <c r="Q181" s="3" t="n">
        <v>0.218</v>
      </c>
      <c r="R181" s="3" t="n">
        <v>0.58</v>
      </c>
      <c r="S181" s="3" t="str">
        <f aca="false">IF(R181 &gt;= 0.5, "Positive", "Negative")</f>
        <v>Positive</v>
      </c>
      <c r="T181" s="2" t="n">
        <v>137.077</v>
      </c>
      <c r="U181" s="0" t="s">
        <v>150</v>
      </c>
    </row>
    <row r="182" customFormat="false" ht="14.25" hidden="false" customHeight="false" outlineLevel="0" collapsed="false">
      <c r="A182" s="0" t="n">
        <v>35</v>
      </c>
      <c r="B182" s="0" t="str">
        <f aca="false">_xlfn.xlookup(A182, artists!A$2:A$836, artists!B$2:B$836)</f>
        <v>JAY-Z</v>
      </c>
      <c r="C182" s="1" t="s">
        <v>225</v>
      </c>
      <c r="D182" s="2" t="n">
        <v>283066</v>
      </c>
      <c r="E182" s="2" t="n">
        <f aca="false">D182/1000</f>
        <v>283.066</v>
      </c>
      <c r="F182" s="10" t="b">
        <f aca="false">TRUE()</f>
        <v>1</v>
      </c>
      <c r="G182" s="0" t="n">
        <v>2</v>
      </c>
      <c r="H182" s="0" t="n">
        <f aca="false">_xlfn.xlookup(G182, years!A$2:A$836, years!B$2:B$836)</f>
        <v>1999</v>
      </c>
      <c r="I182" s="2" t="n">
        <v>69</v>
      </c>
      <c r="J182" s="0" t="n">
        <v>0.88</v>
      </c>
      <c r="K182" s="0" t="n">
        <v>0.814</v>
      </c>
      <c r="L182" s="3" t="str">
        <f aca="false">IF(K182&gt;0.66,"High",IF(K182&gt;0.33&amp;K182&lt;=0.66,"Medium","Low"))</f>
        <v>High</v>
      </c>
      <c r="M182" s="0" t="n">
        <v>-6.307</v>
      </c>
      <c r="N182" s="3" t="n">
        <v>0.14</v>
      </c>
      <c r="O182" s="3" t="n">
        <v>0.168</v>
      </c>
      <c r="P182" s="4" t="n">
        <v>0.00672</v>
      </c>
      <c r="Q182" s="3" t="n">
        <v>0.0584</v>
      </c>
      <c r="R182" s="3" t="n">
        <v>0.942</v>
      </c>
      <c r="S182" s="3" t="str">
        <f aca="false">IF(R182 &gt;= 0.5, "Positive", "Negative")</f>
        <v>Positive</v>
      </c>
      <c r="T182" s="2" t="n">
        <v>138.083</v>
      </c>
      <c r="U182" s="0" t="s">
        <v>29</v>
      </c>
    </row>
    <row r="183" customFormat="false" ht="14.25" hidden="false" customHeight="false" outlineLevel="0" collapsed="false">
      <c r="A183" s="0" t="n">
        <v>193</v>
      </c>
      <c r="B183" s="0" t="str">
        <f aca="false">_xlfn.xlookup(A183, artists!A$2:A$836, artists!B$2:B$836)</f>
        <v>Counting Crows</v>
      </c>
      <c r="C183" s="1" t="s">
        <v>226</v>
      </c>
      <c r="D183" s="2" t="n">
        <v>225426</v>
      </c>
      <c r="E183" s="2" t="n">
        <f aca="false">D183/1000</f>
        <v>225.426</v>
      </c>
      <c r="F183" s="10" t="b">
        <f aca="false">FALSE()</f>
        <v>0</v>
      </c>
      <c r="G183" s="0" t="n">
        <v>6</v>
      </c>
      <c r="H183" s="0" t="n">
        <f aca="false">_xlfn.xlookup(G183, years!A$2:A$836, years!B$2:B$836)</f>
        <v>2003</v>
      </c>
      <c r="I183" s="2" t="n">
        <v>50</v>
      </c>
      <c r="J183" s="0" t="n">
        <v>0.669</v>
      </c>
      <c r="K183" s="0" t="n">
        <v>0.873</v>
      </c>
      <c r="L183" s="3" t="str">
        <f aca="false">IF(K183&gt;0.66,"High",IF(K183&gt;0.33&amp;K183&lt;=0.66,"Medium","Low"))</f>
        <v>High</v>
      </c>
      <c r="M183" s="0" t="n">
        <v>-4.315</v>
      </c>
      <c r="N183" s="3" t="n">
        <v>0.0494</v>
      </c>
      <c r="O183" s="3" t="n">
        <v>0.00204</v>
      </c>
      <c r="P183" s="4" t="n">
        <v>0</v>
      </c>
      <c r="Q183" s="3" t="n">
        <v>0.137</v>
      </c>
      <c r="R183" s="3" t="n">
        <v>0.827</v>
      </c>
      <c r="S183" s="3" t="str">
        <f aca="false">IF(R183 &gt;= 0.5, "Positive", "Negative")</f>
        <v>Positive</v>
      </c>
      <c r="T183" s="2" t="n">
        <v>88.029</v>
      </c>
      <c r="U183" s="0" t="s">
        <v>35</v>
      </c>
    </row>
    <row r="184" customFormat="false" ht="14.25" hidden="false" customHeight="false" outlineLevel="0" collapsed="false">
      <c r="A184" s="0" t="n">
        <v>502</v>
      </c>
      <c r="B184" s="0" t="str">
        <f aca="false">_xlfn.xlookup(A184, artists!A$2:A$836, artists!B$2:B$836)</f>
        <v>Travie McCoy</v>
      </c>
      <c r="C184" s="1" t="s">
        <v>227</v>
      </c>
      <c r="D184" s="2" t="n">
        <v>211160</v>
      </c>
      <c r="E184" s="2" t="n">
        <f aca="false">D184/1000</f>
        <v>211.16</v>
      </c>
      <c r="F184" s="10" t="b">
        <f aca="false">TRUE()</f>
        <v>1</v>
      </c>
      <c r="G184" s="0" t="n">
        <v>13</v>
      </c>
      <c r="H184" s="0" t="n">
        <f aca="false">_xlfn.xlookup(G184, years!A$2:A$836, years!B$2:B$836)</f>
        <v>2010</v>
      </c>
      <c r="I184" s="2" t="n">
        <v>72</v>
      </c>
      <c r="J184" s="0" t="n">
        <v>0.633</v>
      </c>
      <c r="K184" s="0" t="n">
        <v>0.673</v>
      </c>
      <c r="L184" s="3" t="str">
        <f aca="false">IF(K184&gt;0.66,"High",IF(K184&gt;0.33&amp;K184&lt;=0.66,"Medium","Low"))</f>
        <v>High</v>
      </c>
      <c r="M184" s="0" t="n">
        <v>-6.403</v>
      </c>
      <c r="N184" s="3" t="n">
        <v>0.258</v>
      </c>
      <c r="O184" s="3" t="n">
        <v>0.297</v>
      </c>
      <c r="P184" s="4" t="n">
        <v>0</v>
      </c>
      <c r="Q184" s="3" t="n">
        <v>0.206</v>
      </c>
      <c r="R184" s="3" t="n">
        <v>0.659</v>
      </c>
      <c r="S184" s="3" t="str">
        <f aca="false">IF(R184 &gt;= 0.5, "Positive", "Negative")</f>
        <v>Positive</v>
      </c>
      <c r="T184" s="2" t="n">
        <v>86.776</v>
      </c>
      <c r="U184" s="0" t="s">
        <v>24</v>
      </c>
    </row>
    <row r="185" customFormat="false" ht="14.25" hidden="false" customHeight="false" outlineLevel="0" collapsed="false">
      <c r="A185" s="0" t="n">
        <v>445</v>
      </c>
      <c r="B185" s="0" t="str">
        <f aca="false">_xlfn.xlookup(A185, artists!A$2:A$836, artists!B$2:B$836)</f>
        <v>Jeremih</v>
      </c>
      <c r="C185" s="1" t="s">
        <v>228</v>
      </c>
      <c r="D185" s="2" t="n">
        <v>226506</v>
      </c>
      <c r="E185" s="2" t="n">
        <f aca="false">D185/1000</f>
        <v>226.506</v>
      </c>
      <c r="F185" s="10" t="b">
        <f aca="false">FALSE()</f>
        <v>0</v>
      </c>
      <c r="G185" s="0" t="n">
        <v>12</v>
      </c>
      <c r="H185" s="0" t="n">
        <f aca="false">_xlfn.xlookup(G185, years!A$2:A$836, years!B$2:B$836)</f>
        <v>2009</v>
      </c>
      <c r="I185" s="2" t="n">
        <v>67</v>
      </c>
      <c r="J185" s="0" t="n">
        <v>0.677</v>
      </c>
      <c r="K185" s="0" t="n">
        <v>0.523</v>
      </c>
      <c r="L185" s="3" t="str">
        <f aca="false">IF(K185&gt;0.66,"High",IF(K185&gt;0.33&amp;K185&lt;=0.66,"Medium","Low"))</f>
        <v>Low</v>
      </c>
      <c r="M185" s="0" t="n">
        <v>-5.603</v>
      </c>
      <c r="N185" s="3" t="n">
        <v>0.0439</v>
      </c>
      <c r="O185" s="3" t="n">
        <v>0.295</v>
      </c>
      <c r="P185" s="4" t="n">
        <v>0</v>
      </c>
      <c r="Q185" s="3" t="n">
        <v>0.15</v>
      </c>
      <c r="R185" s="3" t="n">
        <v>0.446</v>
      </c>
      <c r="S185" s="3" t="str">
        <f aca="false">IF(R185 &gt;= 0.5, "Positive", "Negative")</f>
        <v>Negative</v>
      </c>
      <c r="T185" s="2" t="n">
        <v>60.019</v>
      </c>
      <c r="U185" s="0" t="s">
        <v>31</v>
      </c>
    </row>
    <row r="186" customFormat="false" ht="14.25" hidden="false" customHeight="false" outlineLevel="0" collapsed="false">
      <c r="A186" s="0" t="n">
        <v>180</v>
      </c>
      <c r="B186" s="0" t="str">
        <f aca="false">_xlfn.xlookup(A186, artists!A$2:A$836, artists!B$2:B$836)</f>
        <v>Coldplay</v>
      </c>
      <c r="C186" s="1" t="s">
        <v>229</v>
      </c>
      <c r="D186" s="2" t="n">
        <v>263786</v>
      </c>
      <c r="E186" s="2" t="n">
        <f aca="false">D186/1000</f>
        <v>263.786</v>
      </c>
      <c r="F186" s="10" t="b">
        <f aca="false">FALSE()</f>
        <v>0</v>
      </c>
      <c r="G186" s="0" t="n">
        <v>18</v>
      </c>
      <c r="H186" s="0" t="n">
        <f aca="false">_xlfn.xlookup(G186, years!A$2:A$836, years!B$2:B$836)</f>
        <v>2015</v>
      </c>
      <c r="I186" s="2" t="n">
        <v>76</v>
      </c>
      <c r="J186" s="0" t="n">
        <v>0.638</v>
      </c>
      <c r="K186" s="0" t="n">
        <v>0.924</v>
      </c>
      <c r="L186" s="3" t="str">
        <f aca="false">IF(K186&gt;0.66,"High",IF(K186&gt;0.33&amp;K186&lt;=0.66,"Medium","Low"))</f>
        <v>High</v>
      </c>
      <c r="M186" s="0" t="n">
        <v>-3.887</v>
      </c>
      <c r="N186" s="3" t="n">
        <v>0.036</v>
      </c>
      <c r="O186" s="3" t="n">
        <v>0.00205</v>
      </c>
      <c r="P186" s="4" t="n">
        <v>0.000175</v>
      </c>
      <c r="Q186" s="3" t="n">
        <v>0.149</v>
      </c>
      <c r="R186" s="3" t="n">
        <v>0.53</v>
      </c>
      <c r="S186" s="3" t="str">
        <f aca="false">IF(R186 &gt;= 0.5, "Positive", "Negative")</f>
        <v>Positive</v>
      </c>
      <c r="T186" s="2" t="n">
        <v>111.995</v>
      </c>
      <c r="U186" s="0" t="s">
        <v>35</v>
      </c>
    </row>
    <row r="187" customFormat="false" ht="14.25" hidden="false" customHeight="false" outlineLevel="0" collapsed="false">
      <c r="A187" s="0" t="n">
        <v>421</v>
      </c>
      <c r="B187" s="0" t="str">
        <f aca="false">_xlfn.xlookup(A187, artists!A$2:A$836, artists!B$2:B$836)</f>
        <v>Sam Sparro</v>
      </c>
      <c r="C187" s="1" t="s">
        <v>230</v>
      </c>
      <c r="D187" s="2" t="n">
        <v>212360</v>
      </c>
      <c r="E187" s="2" t="n">
        <f aca="false">D187/1000</f>
        <v>212.36</v>
      </c>
      <c r="F187" s="10" t="b">
        <f aca="false">FALSE()</f>
        <v>0</v>
      </c>
      <c r="G187" s="0" t="n">
        <v>11</v>
      </c>
      <c r="H187" s="0" t="n">
        <f aca="false">_xlfn.xlookup(G187, years!A$2:A$836, years!B$2:B$836)</f>
        <v>2008</v>
      </c>
      <c r="I187" s="2" t="n">
        <v>53</v>
      </c>
      <c r="J187" s="0" t="n">
        <v>0.383</v>
      </c>
      <c r="K187" s="0" t="n">
        <v>0.703</v>
      </c>
      <c r="L187" s="3" t="str">
        <f aca="false">IF(K187&gt;0.66,"High",IF(K187&gt;0.33&amp;K187&lt;=0.66,"Medium","Low"))</f>
        <v>High</v>
      </c>
      <c r="M187" s="0" t="n">
        <v>-5.65</v>
      </c>
      <c r="N187" s="3" t="n">
        <v>0.0763</v>
      </c>
      <c r="O187" s="3" t="n">
        <v>0.00116</v>
      </c>
      <c r="P187" s="4" t="n">
        <v>2.39E-005</v>
      </c>
      <c r="Q187" s="3" t="n">
        <v>0.112</v>
      </c>
      <c r="R187" s="3" t="n">
        <v>0.42</v>
      </c>
      <c r="S187" s="3" t="str">
        <f aca="false">IF(R187 &gt;= 0.5, "Positive", "Negative")</f>
        <v>Negative</v>
      </c>
      <c r="T187" s="2" t="n">
        <v>135.968</v>
      </c>
      <c r="U187" s="0" t="s">
        <v>22</v>
      </c>
    </row>
    <row r="188" customFormat="false" ht="14.25" hidden="false" customHeight="false" outlineLevel="0" collapsed="false">
      <c r="A188" s="0" t="n">
        <v>512</v>
      </c>
      <c r="B188" s="0" t="str">
        <f aca="false">_xlfn.xlookup(A188, artists!A$2:A$836, artists!B$2:B$836)</f>
        <v>Wiz Khalifa</v>
      </c>
      <c r="C188" s="1" t="s">
        <v>231</v>
      </c>
      <c r="D188" s="2" t="n">
        <v>217666</v>
      </c>
      <c r="E188" s="2" t="n">
        <f aca="false">D188/1000</f>
        <v>217.666</v>
      </c>
      <c r="F188" s="10" t="b">
        <f aca="false">TRUE()</f>
        <v>1</v>
      </c>
      <c r="G188" s="0" t="n">
        <v>14</v>
      </c>
      <c r="H188" s="0" t="n">
        <f aca="false">_xlfn.xlookup(G188, years!A$2:A$836, years!B$2:B$836)</f>
        <v>2011</v>
      </c>
      <c r="I188" s="2" t="n">
        <v>75</v>
      </c>
      <c r="J188" s="0" t="n">
        <v>0.684</v>
      </c>
      <c r="K188" s="0" t="n">
        <v>0.834</v>
      </c>
      <c r="L188" s="3" t="str">
        <f aca="false">IF(K188&gt;0.66,"High",IF(K188&gt;0.33&amp;K188&lt;=0.66,"Medium","Low"))</f>
        <v>High</v>
      </c>
      <c r="M188" s="0" t="n">
        <v>-4.524</v>
      </c>
      <c r="N188" s="3" t="n">
        <v>0.0675</v>
      </c>
      <c r="O188" s="3" t="n">
        <v>0.0646</v>
      </c>
      <c r="P188" s="4" t="n">
        <v>0</v>
      </c>
      <c r="Q188" s="3" t="n">
        <v>0.271</v>
      </c>
      <c r="R188" s="3" t="n">
        <v>0.538</v>
      </c>
      <c r="S188" s="3" t="str">
        <f aca="false">IF(R188 &gt;= 0.5, "Positive", "Negative")</f>
        <v>Positive</v>
      </c>
      <c r="T188" s="2" t="n">
        <v>164.02</v>
      </c>
      <c r="U188" s="0" t="s">
        <v>24</v>
      </c>
    </row>
    <row r="189" customFormat="false" ht="14.25" hidden="false" customHeight="false" outlineLevel="0" collapsed="false">
      <c r="A189" s="0" t="n">
        <v>646</v>
      </c>
      <c r="B189" s="0" t="str">
        <f aca="false">_xlfn.xlookup(A189, artists!A$2:A$836, artists!B$2:B$836)</f>
        <v>Rae Sremmurd</v>
      </c>
      <c r="C189" s="1" t="s">
        <v>232</v>
      </c>
      <c r="D189" s="2" t="n">
        <v>291893</v>
      </c>
      <c r="E189" s="2" t="n">
        <f aca="false">D189/1000</f>
        <v>291.893</v>
      </c>
      <c r="F189" s="10" t="b">
        <f aca="false">TRUE()</f>
        <v>1</v>
      </c>
      <c r="G189" s="0" t="n">
        <v>19</v>
      </c>
      <c r="H189" s="0" t="n">
        <f aca="false">_xlfn.xlookup(G189, years!A$2:A$836, years!B$2:B$836)</f>
        <v>2016</v>
      </c>
      <c r="I189" s="2" t="n">
        <v>75</v>
      </c>
      <c r="J189" s="0" t="n">
        <v>0.794</v>
      </c>
      <c r="K189" s="0" t="n">
        <v>0.632</v>
      </c>
      <c r="L189" s="3" t="str">
        <f aca="false">IF(K189&gt;0.66,"High",IF(K189&gt;0.33&amp;K189&lt;=0.66,"Medium","Low"))</f>
        <v>Low</v>
      </c>
      <c r="M189" s="0" t="n">
        <v>-6.163</v>
      </c>
      <c r="N189" s="3" t="n">
        <v>0.0649</v>
      </c>
      <c r="O189" s="3" t="n">
        <v>0.142</v>
      </c>
      <c r="P189" s="4" t="n">
        <v>0</v>
      </c>
      <c r="Q189" s="3" t="n">
        <v>0.128</v>
      </c>
      <c r="R189" s="3" t="n">
        <v>0.355</v>
      </c>
      <c r="S189" s="3" t="str">
        <f aca="false">IF(R189 &gt;= 0.5, "Positive", "Negative")</f>
        <v>Negative</v>
      </c>
      <c r="T189" s="2" t="n">
        <v>145.926</v>
      </c>
      <c r="U189" s="0" t="s">
        <v>24</v>
      </c>
    </row>
    <row r="190" customFormat="false" ht="14.25" hidden="false" customHeight="false" outlineLevel="0" collapsed="false">
      <c r="A190" s="0" t="n">
        <v>251</v>
      </c>
      <c r="B190" s="0" t="str">
        <f aca="false">_xlfn.xlookup(A190, artists!A$2:A$836, artists!B$2:B$836)</f>
        <v>Spiderbait</v>
      </c>
      <c r="C190" s="1" t="s">
        <v>233</v>
      </c>
      <c r="D190" s="2" t="n">
        <v>205973</v>
      </c>
      <c r="E190" s="2" t="n">
        <f aca="false">D190/1000</f>
        <v>205.973</v>
      </c>
      <c r="F190" s="10" t="b">
        <f aca="false">FALSE()</f>
        <v>0</v>
      </c>
      <c r="G190" s="0" t="n">
        <v>7</v>
      </c>
      <c r="H190" s="0" t="n">
        <f aca="false">_xlfn.xlookup(G190, years!A$2:A$836, years!B$2:B$836)</f>
        <v>2004</v>
      </c>
      <c r="I190" s="2" t="n">
        <v>63</v>
      </c>
      <c r="J190" s="0" t="n">
        <v>0.562</v>
      </c>
      <c r="K190" s="0" t="n">
        <v>0.865</v>
      </c>
      <c r="L190" s="3" t="str">
        <f aca="false">IF(K190&gt;0.66,"High",IF(K190&gt;0.33&amp;K190&lt;=0.66,"Medium","Low"))</f>
        <v>High</v>
      </c>
      <c r="M190" s="0" t="n">
        <v>-6.476</v>
      </c>
      <c r="N190" s="3" t="n">
        <v>0.0922</v>
      </c>
      <c r="O190" s="3" t="n">
        <v>2.06E-005</v>
      </c>
      <c r="P190" s="4" t="n">
        <v>0.591</v>
      </c>
      <c r="Q190" s="3" t="n">
        <v>0.219</v>
      </c>
      <c r="R190" s="3" t="n">
        <v>0.35</v>
      </c>
      <c r="S190" s="3" t="str">
        <f aca="false">IF(R190 &gt;= 0.5, "Positive", "Negative")</f>
        <v>Negative</v>
      </c>
      <c r="T190" s="2" t="n">
        <v>124.047</v>
      </c>
      <c r="U190" s="0" t="s">
        <v>43</v>
      </c>
    </row>
    <row r="191" customFormat="false" ht="14.25" hidden="false" customHeight="false" outlineLevel="0" collapsed="false">
      <c r="A191" s="0" t="n">
        <v>313</v>
      </c>
      <c r="B191" s="0" t="str">
        <f aca="false">_xlfn.xlookup(A191, artists!A$2:A$836, artists!B$2:B$836)</f>
        <v>KT Tunstall</v>
      </c>
      <c r="C191" s="1" t="s">
        <v>234</v>
      </c>
      <c r="D191" s="2" t="n">
        <v>172373</v>
      </c>
      <c r="E191" s="2" t="n">
        <f aca="false">D191/1000</f>
        <v>172.373</v>
      </c>
      <c r="F191" s="10" t="b">
        <f aca="false">FALSE()</f>
        <v>0</v>
      </c>
      <c r="G191" s="0" t="n">
        <v>8</v>
      </c>
      <c r="H191" s="0" t="n">
        <f aca="false">_xlfn.xlookup(G191, years!A$2:A$836, years!B$2:B$836)</f>
        <v>2005</v>
      </c>
      <c r="I191" s="2" t="n">
        <v>64</v>
      </c>
      <c r="J191" s="0" t="n">
        <v>0.748</v>
      </c>
      <c r="K191" s="0" t="n">
        <v>0.786</v>
      </c>
      <c r="L191" s="3" t="str">
        <f aca="false">IF(K191&gt;0.66,"High",IF(K191&gt;0.33&amp;K191&lt;=0.66,"Medium","Low"))</f>
        <v>High</v>
      </c>
      <c r="M191" s="0" t="n">
        <v>-7.788</v>
      </c>
      <c r="N191" s="3" t="n">
        <v>0.0641</v>
      </c>
      <c r="O191" s="3" t="n">
        <v>0.328</v>
      </c>
      <c r="P191" s="4" t="n">
        <v>0</v>
      </c>
      <c r="Q191" s="3" t="n">
        <v>0.34</v>
      </c>
      <c r="R191" s="3" t="n">
        <v>0.917</v>
      </c>
      <c r="S191" s="3" t="str">
        <f aca="false">IF(R191 &gt;= 0.5, "Positive", "Negative")</f>
        <v>Positive</v>
      </c>
      <c r="T191" s="2" t="n">
        <v>104.833</v>
      </c>
      <c r="U191" s="0" t="s">
        <v>235</v>
      </c>
    </row>
    <row r="192" customFormat="false" ht="14.25" hidden="false" customHeight="false" outlineLevel="0" collapsed="false">
      <c r="A192" s="0" t="n">
        <v>372</v>
      </c>
      <c r="B192" s="0" t="str">
        <f aca="false">_xlfn.xlookup(A192, artists!A$2:A$836, artists!B$2:B$836)</f>
        <v>Calvin Harris</v>
      </c>
      <c r="C192" s="1" t="s">
        <v>236</v>
      </c>
      <c r="D192" s="2" t="n">
        <v>212640</v>
      </c>
      <c r="E192" s="2" t="n">
        <f aca="false">D192/1000</f>
        <v>212.64</v>
      </c>
      <c r="F192" s="10" t="b">
        <f aca="false">FALSE()</f>
        <v>0</v>
      </c>
      <c r="G192" s="0" t="n">
        <v>18</v>
      </c>
      <c r="H192" s="0" t="n">
        <f aca="false">_xlfn.xlookup(G192, years!A$2:A$836, years!B$2:B$836)</f>
        <v>2015</v>
      </c>
      <c r="I192" s="2" t="n">
        <v>76</v>
      </c>
      <c r="J192" s="0" t="n">
        <v>0.738</v>
      </c>
      <c r="K192" s="0" t="n">
        <v>0.868</v>
      </c>
      <c r="L192" s="3" t="str">
        <f aca="false">IF(K192&gt;0.66,"High",IF(K192&gt;0.33&amp;K192&lt;=0.66,"Medium","Low"))</f>
        <v>High</v>
      </c>
      <c r="M192" s="0" t="n">
        <v>-4.373</v>
      </c>
      <c r="N192" s="3" t="n">
        <v>0.0731</v>
      </c>
      <c r="O192" s="3" t="n">
        <v>0.0392</v>
      </c>
      <c r="P192" s="4" t="n">
        <v>0.00169</v>
      </c>
      <c r="Q192" s="3" t="n">
        <v>0.388</v>
      </c>
      <c r="R192" s="3" t="n">
        <v>0.336</v>
      </c>
      <c r="S192" s="3" t="str">
        <f aca="false">IF(R192 &gt;= 0.5, "Positive", "Negative")</f>
        <v>Negative</v>
      </c>
      <c r="T192" s="2" t="n">
        <v>122.003</v>
      </c>
      <c r="U192" s="0" t="s">
        <v>53</v>
      </c>
    </row>
    <row r="193" customFormat="false" ht="14.25" hidden="false" customHeight="false" outlineLevel="0" collapsed="false">
      <c r="A193" s="0" t="n">
        <v>269</v>
      </c>
      <c r="B193" s="0" t="str">
        <f aca="false">_xlfn.xlookup(A193, artists!A$2:A$836, artists!B$2:B$836)</f>
        <v>Kanye West</v>
      </c>
      <c r="C193" s="1" t="s">
        <v>237</v>
      </c>
      <c r="D193" s="2" t="n">
        <v>188013</v>
      </c>
      <c r="E193" s="2" t="n">
        <f aca="false">D193/1000</f>
        <v>188.013</v>
      </c>
      <c r="F193" s="10" t="b">
        <f aca="false">TRUE()</f>
        <v>1</v>
      </c>
      <c r="G193" s="0" t="n">
        <v>16</v>
      </c>
      <c r="H193" s="0" t="n">
        <f aca="false">_xlfn.xlookup(G193, years!A$2:A$836, years!B$2:B$836)</f>
        <v>2013</v>
      </c>
      <c r="I193" s="2" t="n">
        <v>0</v>
      </c>
      <c r="J193" s="0" t="n">
        <v>0.578</v>
      </c>
      <c r="K193" s="0" t="n">
        <v>0.825</v>
      </c>
      <c r="L193" s="3" t="str">
        <f aca="false">IF(K193&gt;0.66,"High",IF(K193&gt;0.33&amp;K193&lt;=0.66,"Medium","Low"))</f>
        <v>High</v>
      </c>
      <c r="M193" s="0" t="n">
        <v>-6.107</v>
      </c>
      <c r="N193" s="3" t="n">
        <v>0.322</v>
      </c>
      <c r="O193" s="3" t="n">
        <v>0.000986</v>
      </c>
      <c r="P193" s="4" t="n">
        <v>0</v>
      </c>
      <c r="Q193" s="3" t="n">
        <v>0.176</v>
      </c>
      <c r="R193" s="3" t="n">
        <v>0.283</v>
      </c>
      <c r="S193" s="3" t="str">
        <f aca="false">IF(R193 &gt;= 0.5, "Positive", "Negative")</f>
        <v>Negative</v>
      </c>
      <c r="T193" s="2" t="n">
        <v>130.089</v>
      </c>
      <c r="U193" s="0" t="s">
        <v>29</v>
      </c>
    </row>
    <row r="194" customFormat="false" ht="14.25" hidden="false" customHeight="false" outlineLevel="0" collapsed="false">
      <c r="A194" s="0" t="n">
        <v>602</v>
      </c>
      <c r="B194" s="0" t="str">
        <f aca="false">_xlfn.xlookup(A194, artists!A$2:A$836, artists!B$2:B$836)</f>
        <v>Iggy Azalea</v>
      </c>
      <c r="C194" s="1" t="s">
        <v>238</v>
      </c>
      <c r="D194" s="2" t="n">
        <v>209423</v>
      </c>
      <c r="E194" s="2" t="n">
        <f aca="false">D194/1000</f>
        <v>209.423</v>
      </c>
      <c r="F194" s="10" t="b">
        <f aca="false">TRUE()</f>
        <v>1</v>
      </c>
      <c r="G194" s="0" t="n">
        <v>17</v>
      </c>
      <c r="H194" s="0" t="n">
        <f aca="false">_xlfn.xlookup(G194, years!A$2:A$836, years!B$2:B$836)</f>
        <v>2014</v>
      </c>
      <c r="I194" s="2" t="n">
        <v>67</v>
      </c>
      <c r="J194" s="0" t="n">
        <v>0.743</v>
      </c>
      <c r="K194" s="0" t="n">
        <v>0.72</v>
      </c>
      <c r="L194" s="3" t="str">
        <f aca="false">IF(K194&gt;0.66,"High",IF(K194&gt;0.33&amp;K194&lt;=0.66,"Medium","Low"))</f>
        <v>High</v>
      </c>
      <c r="M194" s="0" t="n">
        <v>-3.753</v>
      </c>
      <c r="N194" s="3" t="n">
        <v>0.124</v>
      </c>
      <c r="O194" s="3" t="n">
        <v>0.192</v>
      </c>
      <c r="P194" s="4" t="n">
        <v>0.000386</v>
      </c>
      <c r="Q194" s="3" t="n">
        <v>0.109</v>
      </c>
      <c r="R194" s="3" t="n">
        <v>0.519</v>
      </c>
      <c r="S194" s="3" t="str">
        <f aca="false">IF(R194 &gt;= 0.5, "Positive", "Negative")</f>
        <v>Positive</v>
      </c>
      <c r="T194" s="2" t="n">
        <v>163.99</v>
      </c>
      <c r="U194" s="0" t="s">
        <v>24</v>
      </c>
    </row>
    <row r="195" customFormat="false" ht="14.25" hidden="false" customHeight="false" outlineLevel="0" collapsed="false">
      <c r="A195" s="0" t="n">
        <v>471</v>
      </c>
      <c r="B195" s="0" t="str">
        <f aca="false">_xlfn.xlookup(A195, artists!A$2:A$836, artists!B$2:B$836)</f>
        <v>Kesha</v>
      </c>
      <c r="C195" s="1" t="s">
        <v>239</v>
      </c>
      <c r="D195" s="2" t="n">
        <v>172053</v>
      </c>
      <c r="E195" s="2" t="n">
        <f aca="false">D195/1000</f>
        <v>172.053</v>
      </c>
      <c r="F195" s="10" t="b">
        <f aca="false">TRUE()</f>
        <v>1</v>
      </c>
      <c r="G195" s="0" t="n">
        <v>13</v>
      </c>
      <c r="H195" s="0" t="n">
        <f aca="false">_xlfn.xlookup(G195, years!A$2:A$836, years!B$2:B$836)</f>
        <v>2010</v>
      </c>
      <c r="I195" s="2" t="n">
        <v>61</v>
      </c>
      <c r="J195" s="0" t="n">
        <v>0.752</v>
      </c>
      <c r="K195" s="0" t="n">
        <v>0.836</v>
      </c>
      <c r="L195" s="3" t="str">
        <f aca="false">IF(K195&gt;0.66,"High",IF(K195&gt;0.33&amp;K195&lt;=0.66,"Medium","Low"))</f>
        <v>High</v>
      </c>
      <c r="M195" s="0" t="n">
        <v>-3.173</v>
      </c>
      <c r="N195" s="3" t="n">
        <v>0.115</v>
      </c>
      <c r="O195" s="3" t="n">
        <v>0.0843</v>
      </c>
      <c r="P195" s="4" t="n">
        <v>0.000425</v>
      </c>
      <c r="Q195" s="3" t="n">
        <v>0.424</v>
      </c>
      <c r="R195" s="3" t="n">
        <v>0.519</v>
      </c>
      <c r="S195" s="3" t="str">
        <f aca="false">IF(R195 &gt;= 0.5, "Positive", "Negative")</f>
        <v>Positive</v>
      </c>
      <c r="T195" s="2" t="n">
        <v>120.003</v>
      </c>
      <c r="U195" s="0" t="s">
        <v>22</v>
      </c>
    </row>
    <row r="196" customFormat="false" ht="14.25" hidden="false" customHeight="false" outlineLevel="0" collapsed="false">
      <c r="A196" s="0" t="n">
        <v>372</v>
      </c>
      <c r="B196" s="0" t="str">
        <f aca="false">_xlfn.xlookup(A196, artists!A$2:A$836, artists!B$2:B$836)</f>
        <v>Calvin Harris</v>
      </c>
      <c r="C196" s="1" t="s">
        <v>240</v>
      </c>
      <c r="D196" s="2" t="n">
        <v>212960</v>
      </c>
      <c r="E196" s="2" t="n">
        <f aca="false">D196/1000</f>
        <v>212.96</v>
      </c>
      <c r="F196" s="10" t="b">
        <f aca="false">FALSE()</f>
        <v>0</v>
      </c>
      <c r="G196" s="0" t="n">
        <v>17</v>
      </c>
      <c r="H196" s="0" t="n">
        <f aca="false">_xlfn.xlookup(G196, years!A$2:A$836, years!B$2:B$836)</f>
        <v>2014</v>
      </c>
      <c r="I196" s="2" t="n">
        <v>75</v>
      </c>
      <c r="J196" s="0" t="n">
        <v>0.414</v>
      </c>
      <c r="K196" s="0" t="n">
        <v>0.857</v>
      </c>
      <c r="L196" s="3" t="str">
        <f aca="false">IF(K196&gt;0.66,"High",IF(K196&gt;0.33&amp;K196&lt;=0.66,"Medium","Low"))</f>
        <v>High</v>
      </c>
      <c r="M196" s="0" t="n">
        <v>-4.078</v>
      </c>
      <c r="N196" s="3" t="n">
        <v>0.0808</v>
      </c>
      <c r="O196" s="3" t="n">
        <v>0.0287</v>
      </c>
      <c r="P196" s="4" t="n">
        <v>0.00574</v>
      </c>
      <c r="Q196" s="3" t="n">
        <v>0.343</v>
      </c>
      <c r="R196" s="3" t="n">
        <v>0.348</v>
      </c>
      <c r="S196" s="3" t="str">
        <f aca="false">IF(R196 &gt;= 0.5, "Positive", "Negative")</f>
        <v>Negative</v>
      </c>
      <c r="T196" s="2" t="n">
        <v>128.024</v>
      </c>
      <c r="U196" s="0" t="s">
        <v>53</v>
      </c>
    </row>
    <row r="197" customFormat="false" ht="14.25" hidden="false" customHeight="false" outlineLevel="0" collapsed="false">
      <c r="A197" s="0" t="n">
        <v>464</v>
      </c>
      <c r="B197" s="0" t="str">
        <f aca="false">_xlfn.xlookup(A197, artists!A$2:A$836, artists!B$2:B$836)</f>
        <v>Jamie Foxx</v>
      </c>
      <c r="C197" s="1" t="s">
        <v>241</v>
      </c>
      <c r="D197" s="2" t="n">
        <v>289746</v>
      </c>
      <c r="E197" s="2" t="n">
        <f aca="false">D197/1000</f>
        <v>289.746</v>
      </c>
      <c r="F197" s="10" t="b">
        <f aca="false">TRUE()</f>
        <v>1</v>
      </c>
      <c r="G197" s="0" t="n">
        <v>11</v>
      </c>
      <c r="H197" s="0" t="n">
        <f aca="false">_xlfn.xlookup(G197, years!A$2:A$836, years!B$2:B$836)</f>
        <v>2008</v>
      </c>
      <c r="I197" s="2" t="n">
        <v>65</v>
      </c>
      <c r="J197" s="0" t="n">
        <v>0.673</v>
      </c>
      <c r="K197" s="0" t="n">
        <v>0.614</v>
      </c>
      <c r="L197" s="3" t="str">
        <f aca="false">IF(K197&gt;0.66,"High",IF(K197&gt;0.33&amp;K197&lt;=0.66,"Medium","Low"))</f>
        <v>Low</v>
      </c>
      <c r="M197" s="0" t="n">
        <v>-5.426</v>
      </c>
      <c r="N197" s="3" t="n">
        <v>0.103</v>
      </c>
      <c r="O197" s="3" t="n">
        <v>0.0782</v>
      </c>
      <c r="P197" s="4" t="n">
        <v>0</v>
      </c>
      <c r="Q197" s="3" t="n">
        <v>0.139</v>
      </c>
      <c r="R197" s="3" t="n">
        <v>0.362</v>
      </c>
      <c r="S197" s="3" t="str">
        <f aca="false">IF(R197 &gt;= 0.5, "Positive", "Negative")</f>
        <v>Negative</v>
      </c>
      <c r="T197" s="2" t="n">
        <v>176.052</v>
      </c>
      <c r="U197" s="0" t="s">
        <v>31</v>
      </c>
    </row>
    <row r="198" customFormat="false" ht="14.25" hidden="false" customHeight="false" outlineLevel="0" collapsed="false">
      <c r="A198" s="0" t="n">
        <v>439</v>
      </c>
      <c r="B198" s="0" t="str">
        <f aca="false">_xlfn.xlookup(A198, artists!A$2:A$836, artists!B$2:B$836)</f>
        <v>Taylor Swift</v>
      </c>
      <c r="C198" s="1" t="s">
        <v>242</v>
      </c>
      <c r="D198" s="2" t="n">
        <v>231826</v>
      </c>
      <c r="E198" s="2" t="n">
        <f aca="false">D198/1000</f>
        <v>231.826</v>
      </c>
      <c r="F198" s="10" t="b">
        <f aca="false">FALSE()</f>
        <v>0</v>
      </c>
      <c r="G198" s="0" t="n">
        <v>17</v>
      </c>
      <c r="H198" s="0" t="n">
        <f aca="false">_xlfn.xlookup(G198, years!A$2:A$836, years!B$2:B$836)</f>
        <v>2014</v>
      </c>
      <c r="I198" s="2" t="n">
        <v>82</v>
      </c>
      <c r="J198" s="0" t="n">
        <v>0.76</v>
      </c>
      <c r="K198" s="0" t="n">
        <v>0.703</v>
      </c>
      <c r="L198" s="3" t="str">
        <f aca="false">IF(K198&gt;0.66,"High",IF(K198&gt;0.33&amp;K198&lt;=0.66,"Medium","Low"))</f>
        <v>High</v>
      </c>
      <c r="M198" s="0" t="n">
        <v>-5.412</v>
      </c>
      <c r="N198" s="3" t="n">
        <v>0.054</v>
      </c>
      <c r="O198" s="3" t="n">
        <v>0.103</v>
      </c>
      <c r="P198" s="4" t="n">
        <v>0</v>
      </c>
      <c r="Q198" s="3" t="n">
        <v>0.0913</v>
      </c>
      <c r="R198" s="3" t="n">
        <v>0.57</v>
      </c>
      <c r="S198" s="3" t="str">
        <f aca="false">IF(R198 &gt;= 0.5, "Positive", "Negative")</f>
        <v>Positive</v>
      </c>
      <c r="T198" s="2" t="n">
        <v>95.997</v>
      </c>
      <c r="U198" s="0" t="s">
        <v>39</v>
      </c>
    </row>
    <row r="199" customFormat="false" ht="14.25" hidden="false" customHeight="false" outlineLevel="0" collapsed="false">
      <c r="A199" s="0" t="n">
        <v>20</v>
      </c>
      <c r="B199" s="0" t="str">
        <f aca="false">_xlfn.xlookup(A199, artists!A$2:A$836, artists!B$2:B$836)</f>
        <v>Linkin Park</v>
      </c>
      <c r="C199" s="1" t="s">
        <v>243</v>
      </c>
      <c r="D199" s="2" t="n">
        <v>166373</v>
      </c>
      <c r="E199" s="2" t="n">
        <f aca="false">D199/1000</f>
        <v>166.373</v>
      </c>
      <c r="F199" s="10" t="b">
        <f aca="false">TRUE()</f>
        <v>1</v>
      </c>
      <c r="G199" s="0" t="n">
        <v>10</v>
      </c>
      <c r="H199" s="0" t="n">
        <f aca="false">_xlfn.xlookup(G199, years!A$2:A$836, years!B$2:B$836)</f>
        <v>2007</v>
      </c>
      <c r="I199" s="2" t="n">
        <v>73</v>
      </c>
      <c r="J199" s="0" t="n">
        <v>0.529</v>
      </c>
      <c r="K199" s="0" t="n">
        <v>0.967</v>
      </c>
      <c r="L199" s="3" t="str">
        <f aca="false">IF(K199&gt;0.66,"High",IF(K199&gt;0.33&amp;K199&lt;=0.66,"Medium","Low"))</f>
        <v>High</v>
      </c>
      <c r="M199" s="0" t="n">
        <v>-3.647</v>
      </c>
      <c r="N199" s="3" t="n">
        <v>0.0508</v>
      </c>
      <c r="O199" s="3" t="n">
        <v>0.114</v>
      </c>
      <c r="P199" s="4" t="n">
        <v>0</v>
      </c>
      <c r="Q199" s="3" t="n">
        <v>0.61</v>
      </c>
      <c r="R199" s="3" t="n">
        <v>0.596</v>
      </c>
      <c r="S199" s="3" t="str">
        <f aca="false">IF(R199 &gt;= 0.5, "Positive", "Negative")</f>
        <v>Positive</v>
      </c>
      <c r="T199" s="2" t="n">
        <v>140.127</v>
      </c>
      <c r="U199" s="0" t="s">
        <v>81</v>
      </c>
    </row>
    <row r="200" customFormat="false" ht="14.25" hidden="false" customHeight="false" outlineLevel="0" collapsed="false">
      <c r="A200" s="0" t="n">
        <v>337</v>
      </c>
      <c r="B200" s="0" t="str">
        <f aca="false">_xlfn.xlookup(A200, artists!A$2:A$836, artists!B$2:B$836)</f>
        <v>Leona Lewis</v>
      </c>
      <c r="C200" s="1" t="s">
        <v>244</v>
      </c>
      <c r="D200" s="2" t="n">
        <v>262466</v>
      </c>
      <c r="E200" s="2" t="n">
        <f aca="false">D200/1000</f>
        <v>262.466</v>
      </c>
      <c r="F200" s="10" t="b">
        <f aca="false">FALSE()</f>
        <v>0</v>
      </c>
      <c r="G200" s="0" t="n">
        <v>10</v>
      </c>
      <c r="H200" s="0" t="n">
        <f aca="false">_xlfn.xlookup(G200, years!A$2:A$836, years!B$2:B$836)</f>
        <v>2007</v>
      </c>
      <c r="I200" s="2" t="n">
        <v>75</v>
      </c>
      <c r="J200" s="0" t="n">
        <v>0.638</v>
      </c>
      <c r="K200" s="0" t="n">
        <v>0.656</v>
      </c>
      <c r="L200" s="3" t="str">
        <f aca="false">IF(K200&gt;0.66,"High",IF(K200&gt;0.33&amp;K200&lt;=0.66,"Medium","Low"))</f>
        <v>Low</v>
      </c>
      <c r="M200" s="0" t="n">
        <v>-5.886</v>
      </c>
      <c r="N200" s="3" t="n">
        <v>0.0357</v>
      </c>
      <c r="O200" s="3" t="n">
        <v>0.188</v>
      </c>
      <c r="P200" s="4" t="n">
        <v>0</v>
      </c>
      <c r="Q200" s="3" t="n">
        <v>0.146</v>
      </c>
      <c r="R200" s="3" t="n">
        <v>0.225</v>
      </c>
      <c r="S200" s="3" t="str">
        <f aca="false">IF(R200 &gt;= 0.5, "Positive", "Negative")</f>
        <v>Negative</v>
      </c>
      <c r="T200" s="2" t="n">
        <v>104.036</v>
      </c>
      <c r="U200" s="0" t="s">
        <v>33</v>
      </c>
    </row>
    <row r="201" customFormat="false" ht="14.25" hidden="false" customHeight="false" outlineLevel="0" collapsed="false">
      <c r="A201" s="0" t="n">
        <v>523</v>
      </c>
      <c r="B201" s="0" t="str">
        <f aca="false">_xlfn.xlookup(A201, artists!A$2:A$836, artists!B$2:B$836)</f>
        <v>Chase &amp; Status</v>
      </c>
      <c r="C201" s="1" t="s">
        <v>245</v>
      </c>
      <c r="D201" s="2" t="n">
        <v>233666</v>
      </c>
      <c r="E201" s="2" t="n">
        <f aca="false">D201/1000</f>
        <v>233.666</v>
      </c>
      <c r="F201" s="10" t="b">
        <f aca="false">FALSE()</f>
        <v>0</v>
      </c>
      <c r="G201" s="0" t="n">
        <v>14</v>
      </c>
      <c r="H201" s="0" t="n">
        <f aca="false">_xlfn.xlookup(G201, years!A$2:A$836, years!B$2:B$836)</f>
        <v>2011</v>
      </c>
      <c r="I201" s="2" t="n">
        <v>60</v>
      </c>
      <c r="J201" s="0" t="n">
        <v>0.45</v>
      </c>
      <c r="K201" s="0" t="n">
        <v>0.846</v>
      </c>
      <c r="L201" s="3" t="str">
        <f aca="false">IF(K201&gt;0.66,"High",IF(K201&gt;0.33&amp;K201&lt;=0.66,"Medium","Low"))</f>
        <v>High</v>
      </c>
      <c r="M201" s="0" t="n">
        <v>-4.712</v>
      </c>
      <c r="N201" s="3" t="n">
        <v>0.0472</v>
      </c>
      <c r="O201" s="3" t="n">
        <v>0.00523</v>
      </c>
      <c r="P201" s="4" t="n">
        <v>0</v>
      </c>
      <c r="Q201" s="3" t="n">
        <v>0.228</v>
      </c>
      <c r="R201" s="3" t="n">
        <v>0.402</v>
      </c>
      <c r="S201" s="3" t="str">
        <f aca="false">IF(R201 &gt;= 0.5, "Positive", "Negative")</f>
        <v>Negative</v>
      </c>
      <c r="T201" s="2" t="n">
        <v>140.042</v>
      </c>
      <c r="U201" s="0" t="s">
        <v>48</v>
      </c>
    </row>
    <row r="202" customFormat="false" ht="14.25" hidden="false" customHeight="false" outlineLevel="0" collapsed="false">
      <c r="A202" s="0" t="n">
        <v>471</v>
      </c>
      <c r="B202" s="0" t="str">
        <f aca="false">_xlfn.xlookup(A202, artists!A$2:A$836, artists!B$2:B$836)</f>
        <v>Kesha</v>
      </c>
      <c r="C202" s="1" t="s">
        <v>246</v>
      </c>
      <c r="D202" s="2" t="n">
        <v>219973</v>
      </c>
      <c r="E202" s="2" t="n">
        <f aca="false">D202/1000</f>
        <v>219.973</v>
      </c>
      <c r="F202" s="10" t="b">
        <f aca="false">FALSE()</f>
        <v>0</v>
      </c>
      <c r="G202" s="0" t="n">
        <v>13</v>
      </c>
      <c r="H202" s="0" t="n">
        <f aca="false">_xlfn.xlookup(G202, years!A$2:A$836, years!B$2:B$836)</f>
        <v>2010</v>
      </c>
      <c r="I202" s="2" t="n">
        <v>69</v>
      </c>
      <c r="J202" s="0" t="n">
        <v>0.753</v>
      </c>
      <c r="K202" s="0" t="n">
        <v>0.729</v>
      </c>
      <c r="L202" s="3" t="str">
        <f aca="false">IF(K202&gt;0.66,"High",IF(K202&gt;0.33&amp;K202&lt;=0.66,"Medium","Low"))</f>
        <v>High</v>
      </c>
      <c r="M202" s="0" t="n">
        <v>-3.862</v>
      </c>
      <c r="N202" s="3" t="n">
        <v>0.0392</v>
      </c>
      <c r="O202" s="3" t="n">
        <v>0.00334</v>
      </c>
      <c r="P202" s="4" t="n">
        <v>5.66E-005</v>
      </c>
      <c r="Q202" s="3" t="n">
        <v>0.073</v>
      </c>
      <c r="R202" s="3" t="n">
        <v>0.812</v>
      </c>
      <c r="S202" s="3" t="str">
        <f aca="false">IF(R202 &gt;= 0.5, "Positive", "Negative")</f>
        <v>Positive</v>
      </c>
      <c r="T202" s="2" t="n">
        <v>120.013</v>
      </c>
      <c r="U202" s="0" t="s">
        <v>22</v>
      </c>
    </row>
    <row r="203" customFormat="false" ht="14.25" hidden="false" customHeight="false" outlineLevel="0" collapsed="false">
      <c r="A203" s="0" t="n">
        <v>388</v>
      </c>
      <c r="B203" s="0" t="str">
        <f aca="false">_xlfn.xlookup(A203, artists!A$2:A$836, artists!B$2:B$836)</f>
        <v>Carrie Underwood</v>
      </c>
      <c r="C203" s="1" t="s">
        <v>247</v>
      </c>
      <c r="D203" s="2" t="n">
        <v>240133</v>
      </c>
      <c r="E203" s="2" t="n">
        <f aca="false">D203/1000</f>
        <v>240.133</v>
      </c>
      <c r="F203" s="10" t="b">
        <f aca="false">FALSE()</f>
        <v>0</v>
      </c>
      <c r="G203" s="0" t="n">
        <v>15</v>
      </c>
      <c r="H203" s="0" t="n">
        <f aca="false">_xlfn.xlookup(G203, years!A$2:A$836, years!B$2:B$836)</f>
        <v>2012</v>
      </c>
      <c r="I203" s="2" t="n">
        <v>63</v>
      </c>
      <c r="J203" s="0" t="n">
        <v>0.531</v>
      </c>
      <c r="K203" s="0" t="n">
        <v>0.843</v>
      </c>
      <c r="L203" s="3" t="str">
        <f aca="false">IF(K203&gt;0.66,"High",IF(K203&gt;0.33&amp;K203&lt;=0.66,"Medium","Low"))</f>
        <v>High</v>
      </c>
      <c r="M203" s="0" t="n">
        <v>-2.569</v>
      </c>
      <c r="N203" s="3" t="n">
        <v>0.0429</v>
      </c>
      <c r="O203" s="3" t="n">
        <v>0.0909</v>
      </c>
      <c r="P203" s="4" t="n">
        <v>0</v>
      </c>
      <c r="Q203" s="3" t="n">
        <v>0.0283</v>
      </c>
      <c r="R203" s="3" t="n">
        <v>0.392</v>
      </c>
      <c r="S203" s="3" t="str">
        <f aca="false">IF(R203 &gt;= 0.5, "Positive", "Negative")</f>
        <v>Negative</v>
      </c>
      <c r="T203" s="2" t="n">
        <v>136.991</v>
      </c>
      <c r="U203" s="0" t="s">
        <v>204</v>
      </c>
    </row>
    <row r="204" customFormat="false" ht="14.25" hidden="false" customHeight="false" outlineLevel="0" collapsed="false">
      <c r="A204" s="0" t="n">
        <v>570</v>
      </c>
      <c r="B204" s="0" t="str">
        <f aca="false">_xlfn.xlookup(A204, artists!A$2:A$836, artists!B$2:B$836)</f>
        <v>Robin Thicke</v>
      </c>
      <c r="C204" s="1" t="s">
        <v>248</v>
      </c>
      <c r="D204" s="2" t="n">
        <v>263053</v>
      </c>
      <c r="E204" s="2" t="n">
        <f aca="false">D204/1000</f>
        <v>263.053</v>
      </c>
      <c r="F204" s="10" t="b">
        <f aca="false">FALSE()</f>
        <v>0</v>
      </c>
      <c r="G204" s="0" t="n">
        <v>16</v>
      </c>
      <c r="H204" s="0" t="n">
        <f aca="false">_xlfn.xlookup(G204, years!A$2:A$836, years!B$2:B$836)</f>
        <v>2013</v>
      </c>
      <c r="I204" s="2" t="n">
        <v>55</v>
      </c>
      <c r="J204" s="0" t="n">
        <v>0.861</v>
      </c>
      <c r="K204" s="0" t="n">
        <v>0.504</v>
      </c>
      <c r="L204" s="3" t="str">
        <f aca="false">IF(K204&gt;0.66,"High",IF(K204&gt;0.33&amp;K204&lt;=0.66,"Medium","Low"))</f>
        <v>Low</v>
      </c>
      <c r="M204" s="0" t="n">
        <v>-7.707</v>
      </c>
      <c r="N204" s="3" t="n">
        <v>0.0489</v>
      </c>
      <c r="O204" s="3" t="n">
        <v>0.00412</v>
      </c>
      <c r="P204" s="4" t="n">
        <v>1.78E-005</v>
      </c>
      <c r="Q204" s="3" t="n">
        <v>0.0783</v>
      </c>
      <c r="R204" s="3" t="n">
        <v>0.881</v>
      </c>
      <c r="S204" s="3" t="str">
        <f aca="false">IF(R204 &gt;= 0.5, "Positive", "Negative")</f>
        <v>Positive</v>
      </c>
      <c r="T204" s="2" t="n">
        <v>120</v>
      </c>
      <c r="U204" s="0" t="s">
        <v>33</v>
      </c>
    </row>
    <row r="205" customFormat="false" ht="14.25" hidden="false" customHeight="false" outlineLevel="0" collapsed="false">
      <c r="A205" s="0" t="n">
        <v>187</v>
      </c>
      <c r="B205" s="0" t="str">
        <f aca="false">_xlfn.xlookup(A205, artists!A$2:A$836, artists!B$2:B$836)</f>
        <v>Puddle Of Mudd</v>
      </c>
      <c r="C205" s="1" t="s">
        <v>249</v>
      </c>
      <c r="D205" s="2" t="n">
        <v>303920</v>
      </c>
      <c r="E205" s="2" t="n">
        <f aca="false">D205/1000</f>
        <v>303.92</v>
      </c>
      <c r="F205" s="10" t="b">
        <f aca="false">FALSE()</f>
        <v>0</v>
      </c>
      <c r="G205" s="0" t="n">
        <v>4</v>
      </c>
      <c r="H205" s="0" t="n">
        <f aca="false">_xlfn.xlookup(G205, years!A$2:A$836, years!B$2:B$836)</f>
        <v>2001</v>
      </c>
      <c r="I205" s="2" t="n">
        <v>64</v>
      </c>
      <c r="J205" s="0" t="n">
        <v>0.432</v>
      </c>
      <c r="K205" s="0" t="n">
        <v>0.936</v>
      </c>
      <c r="L205" s="3" t="str">
        <f aca="false">IF(K205&gt;0.66,"High",IF(K205&gt;0.33&amp;K205&lt;=0.66,"Medium","Low"))</f>
        <v>High</v>
      </c>
      <c r="M205" s="0" t="n">
        <v>-4.537</v>
      </c>
      <c r="N205" s="3" t="n">
        <v>0.0562</v>
      </c>
      <c r="O205" s="3" t="n">
        <v>0.00691</v>
      </c>
      <c r="P205" s="4" t="n">
        <v>0</v>
      </c>
      <c r="Q205" s="3" t="n">
        <v>0.14</v>
      </c>
      <c r="R205" s="3" t="n">
        <v>0.499</v>
      </c>
      <c r="S205" s="3" t="str">
        <f aca="false">IF(R205 &gt;= 0.5, "Positive", "Negative")</f>
        <v>Negative</v>
      </c>
      <c r="T205" s="2" t="n">
        <v>157.469</v>
      </c>
      <c r="U205" s="0" t="s">
        <v>81</v>
      </c>
    </row>
    <row r="206" customFormat="false" ht="14.25" hidden="false" customHeight="false" outlineLevel="0" collapsed="false">
      <c r="A206" s="0" t="n">
        <v>420</v>
      </c>
      <c r="B206" s="0" t="str">
        <f aca="false">_xlfn.xlookup(A206, artists!A$2:A$836, artists!B$2:B$836)</f>
        <v>Wiley</v>
      </c>
      <c r="C206" s="1" t="s">
        <v>250</v>
      </c>
      <c r="D206" s="2" t="n">
        <v>177185</v>
      </c>
      <c r="E206" s="2" t="n">
        <f aca="false">D206/1000</f>
        <v>177.185</v>
      </c>
      <c r="F206" s="10" t="b">
        <f aca="false">TRUE()</f>
        <v>1</v>
      </c>
      <c r="G206" s="0" t="n">
        <v>22</v>
      </c>
      <c r="H206" s="0" t="n">
        <f aca="false">_xlfn.xlookup(G206, years!A$2:A$836, years!B$2:B$836)</f>
        <v>2019</v>
      </c>
      <c r="I206" s="2" t="n">
        <v>64</v>
      </c>
      <c r="J206" s="0" t="n">
        <v>0.887</v>
      </c>
      <c r="K206" s="0" t="n">
        <v>0.765</v>
      </c>
      <c r="L206" s="3" t="str">
        <f aca="false">IF(K206&gt;0.66,"High",IF(K206&gt;0.33&amp;K206&lt;=0.66,"Medium","Low"))</f>
        <v>High</v>
      </c>
      <c r="M206" s="0" t="n">
        <v>-5.207</v>
      </c>
      <c r="N206" s="3" t="n">
        <v>0.0669</v>
      </c>
      <c r="O206" s="3" t="n">
        <v>0.00915</v>
      </c>
      <c r="P206" s="4" t="n">
        <v>0.000872</v>
      </c>
      <c r="Q206" s="3" t="n">
        <v>0.0907</v>
      </c>
      <c r="R206" s="3" t="n">
        <v>0.456</v>
      </c>
      <c r="S206" s="3" t="str">
        <f aca="false">IF(R206 &gt;= 0.5, "Positive", "Negative")</f>
        <v>Negative</v>
      </c>
      <c r="T206" s="2" t="n">
        <v>102.958</v>
      </c>
      <c r="U206" s="0" t="s">
        <v>143</v>
      </c>
    </row>
    <row r="207" customFormat="false" ht="14.25" hidden="false" customHeight="false" outlineLevel="0" collapsed="false">
      <c r="A207" s="0" t="n">
        <v>647</v>
      </c>
      <c r="B207" s="0" t="str">
        <f aca="false">_xlfn.xlookup(A207, artists!A$2:A$836, artists!B$2:B$836)</f>
        <v>Robin Schulz</v>
      </c>
      <c r="C207" s="1" t="s">
        <v>251</v>
      </c>
      <c r="D207" s="2" t="n">
        <v>219043</v>
      </c>
      <c r="E207" s="2" t="n">
        <f aca="false">D207/1000</f>
        <v>219.043</v>
      </c>
      <c r="F207" s="10" t="b">
        <f aca="false">FALSE()</f>
        <v>0</v>
      </c>
      <c r="G207" s="0" t="n">
        <v>18</v>
      </c>
      <c r="H207" s="0" t="n">
        <f aca="false">_xlfn.xlookup(G207, years!A$2:A$836, years!B$2:B$836)</f>
        <v>2015</v>
      </c>
      <c r="I207" s="2" t="n">
        <v>76</v>
      </c>
      <c r="J207" s="0" t="n">
        <v>0.636</v>
      </c>
      <c r="K207" s="0" t="n">
        <v>0.815</v>
      </c>
      <c r="L207" s="3" t="str">
        <f aca="false">IF(K207&gt;0.66,"High",IF(K207&gt;0.33&amp;K207&lt;=0.66,"Medium","Low"))</f>
        <v>High</v>
      </c>
      <c r="M207" s="0" t="n">
        <v>-5.098</v>
      </c>
      <c r="N207" s="3" t="n">
        <v>0.0581</v>
      </c>
      <c r="O207" s="3" t="n">
        <v>0.0185</v>
      </c>
      <c r="P207" s="4" t="n">
        <v>0</v>
      </c>
      <c r="Q207" s="3" t="n">
        <v>0.163</v>
      </c>
      <c r="R207" s="3" t="n">
        <v>0.636</v>
      </c>
      <c r="S207" s="3" t="str">
        <f aca="false">IF(R207 &gt;= 0.5, "Positive", "Negative")</f>
        <v>Positive</v>
      </c>
      <c r="T207" s="2" t="n">
        <v>123.063</v>
      </c>
      <c r="U207" s="0" t="s">
        <v>22</v>
      </c>
    </row>
    <row r="208" customFormat="false" ht="14.25" hidden="false" customHeight="false" outlineLevel="0" collapsed="false">
      <c r="A208" s="0" t="n">
        <v>673</v>
      </c>
      <c r="B208" s="0" t="str">
        <f aca="false">_xlfn.xlookup(A208, artists!A$2:A$836, artists!B$2:B$836)</f>
        <v>Big Sean</v>
      </c>
      <c r="C208" s="1" t="s">
        <v>252</v>
      </c>
      <c r="D208" s="2" t="n">
        <v>284386</v>
      </c>
      <c r="E208" s="2" t="n">
        <f aca="false">D208/1000</f>
        <v>284.386</v>
      </c>
      <c r="F208" s="10" t="b">
        <f aca="false">TRUE()</f>
        <v>1</v>
      </c>
      <c r="G208" s="0" t="n">
        <v>18</v>
      </c>
      <c r="H208" s="0" t="n">
        <f aca="false">_xlfn.xlookup(G208, years!A$2:A$836, years!B$2:B$836)</f>
        <v>2015</v>
      </c>
      <c r="I208" s="2" t="n">
        <v>75</v>
      </c>
      <c r="J208" s="0" t="n">
        <v>0.824</v>
      </c>
      <c r="K208" s="0" t="n">
        <v>0.733</v>
      </c>
      <c r="L208" s="3" t="str">
        <f aca="false">IF(K208&gt;0.66,"High",IF(K208&gt;0.33&amp;K208&lt;=0.66,"Medium","Low"))</f>
        <v>High</v>
      </c>
      <c r="M208" s="0" t="n">
        <v>-5.474</v>
      </c>
      <c r="N208" s="3" t="n">
        <v>0.0613</v>
      </c>
      <c r="O208" s="3" t="n">
        <v>0.0362</v>
      </c>
      <c r="P208" s="4" t="n">
        <v>0</v>
      </c>
      <c r="Q208" s="3" t="n">
        <v>0.325</v>
      </c>
      <c r="R208" s="3" t="n">
        <v>0.395</v>
      </c>
      <c r="S208" s="3" t="str">
        <f aca="false">IF(R208 &gt;= 0.5, "Positive", "Negative")</f>
        <v>Negative</v>
      </c>
      <c r="T208" s="2" t="n">
        <v>97.972</v>
      </c>
      <c r="U208" s="0" t="s">
        <v>24</v>
      </c>
    </row>
    <row r="209" customFormat="false" ht="14.25" hidden="false" customHeight="false" outlineLevel="0" collapsed="false">
      <c r="A209" s="0" t="n">
        <v>770</v>
      </c>
      <c r="B209" s="0" t="str">
        <f aca="false">_xlfn.xlookup(A209, artists!A$2:A$836, artists!B$2:B$836)</f>
        <v>Loud Luxury</v>
      </c>
      <c r="C209" s="1" t="s">
        <v>253</v>
      </c>
      <c r="D209" s="2" t="n">
        <v>163216</v>
      </c>
      <c r="E209" s="2" t="n">
        <f aca="false">D209/1000</f>
        <v>163.216</v>
      </c>
      <c r="F209" s="10" t="b">
        <f aca="false">FALSE()</f>
        <v>0</v>
      </c>
      <c r="G209" s="0" t="n">
        <v>20</v>
      </c>
      <c r="H209" s="0" t="n">
        <f aca="false">_xlfn.xlookup(G209, years!A$2:A$836, years!B$2:B$836)</f>
        <v>2017</v>
      </c>
      <c r="I209" s="2" t="n">
        <v>0</v>
      </c>
      <c r="J209" s="0" t="n">
        <v>0.752</v>
      </c>
      <c r="K209" s="0" t="n">
        <v>0.764</v>
      </c>
      <c r="L209" s="3" t="str">
        <f aca="false">IF(K209&gt;0.66,"High",IF(K209&gt;0.33&amp;K209&lt;=0.66,"Medium","Low"))</f>
        <v>High</v>
      </c>
      <c r="M209" s="0" t="n">
        <v>-4.399</v>
      </c>
      <c r="N209" s="3" t="n">
        <v>0.038</v>
      </c>
      <c r="O209" s="3" t="n">
        <v>0.0476</v>
      </c>
      <c r="P209" s="4" t="n">
        <v>9.44E-005</v>
      </c>
      <c r="Q209" s="3" t="n">
        <v>0.0543</v>
      </c>
      <c r="R209" s="3" t="n">
        <v>0.582</v>
      </c>
      <c r="S209" s="3" t="str">
        <f aca="false">IF(R209 &gt;= 0.5, "Positive", "Negative")</f>
        <v>Positive</v>
      </c>
      <c r="T209" s="2" t="n">
        <v>121.958</v>
      </c>
      <c r="U209" s="0" t="s">
        <v>22</v>
      </c>
    </row>
    <row r="210" customFormat="false" ht="14.25" hidden="false" customHeight="false" outlineLevel="0" collapsed="false">
      <c r="A210" s="0" t="n">
        <v>249</v>
      </c>
      <c r="B210" s="0" t="str">
        <f aca="false">_xlfn.xlookup(A210, artists!A$2:A$836, artists!B$2:B$836)</f>
        <v>Ciara</v>
      </c>
      <c r="C210" s="1" t="s">
        <v>254</v>
      </c>
      <c r="D210" s="2" t="n">
        <v>234040</v>
      </c>
      <c r="E210" s="2" t="n">
        <f aca="false">D210/1000</f>
        <v>234.04</v>
      </c>
      <c r="F210" s="10" t="b">
        <f aca="false">FALSE()</f>
        <v>0</v>
      </c>
      <c r="G210" s="0" t="n">
        <v>16</v>
      </c>
      <c r="H210" s="0" t="n">
        <f aca="false">_xlfn.xlookup(G210, years!A$2:A$836, years!B$2:B$836)</f>
        <v>2013</v>
      </c>
      <c r="I210" s="2" t="n">
        <v>64</v>
      </c>
      <c r="J210" s="0" t="n">
        <v>0.577</v>
      </c>
      <c r="K210" s="0" t="n">
        <v>0.576</v>
      </c>
      <c r="L210" s="3" t="str">
        <f aca="false">IF(K210&gt;0.66,"High",IF(K210&gt;0.33&amp;K210&lt;=0.66,"Medium","Low"))</f>
        <v>Low</v>
      </c>
      <c r="M210" s="0" t="n">
        <v>-6.299</v>
      </c>
      <c r="N210" s="3" t="n">
        <v>0.0563</v>
      </c>
      <c r="O210" s="3" t="n">
        <v>0.0143</v>
      </c>
      <c r="P210" s="4" t="n">
        <v>0</v>
      </c>
      <c r="Q210" s="3" t="n">
        <v>0.602</v>
      </c>
      <c r="R210" s="3" t="n">
        <v>0.12</v>
      </c>
      <c r="S210" s="3" t="str">
        <f aca="false">IF(R210 &gt;= 0.5, "Positive", "Negative")</f>
        <v>Negative</v>
      </c>
      <c r="T210" s="2" t="n">
        <v>133.973</v>
      </c>
      <c r="U210" s="0" t="s">
        <v>33</v>
      </c>
    </row>
    <row r="211" customFormat="false" ht="14.25" hidden="false" customHeight="false" outlineLevel="0" collapsed="false">
      <c r="A211" s="0" t="n">
        <v>284</v>
      </c>
      <c r="B211" s="0" t="str">
        <f aca="false">_xlfn.xlookup(A211, artists!A$2:A$836, artists!B$2:B$836)</f>
        <v>James Blunt</v>
      </c>
      <c r="C211" s="1" t="s">
        <v>255</v>
      </c>
      <c r="D211" s="2" t="n">
        <v>238000</v>
      </c>
      <c r="E211" s="2" t="n">
        <f aca="false">D211/1000</f>
        <v>238</v>
      </c>
      <c r="F211" s="10" t="b">
        <f aca="false">FALSE()</f>
        <v>0</v>
      </c>
      <c r="G211" s="0" t="n">
        <v>16</v>
      </c>
      <c r="H211" s="0" t="n">
        <f aca="false">_xlfn.xlookup(G211, years!A$2:A$836, years!B$2:B$836)</f>
        <v>2013</v>
      </c>
      <c r="I211" s="2" t="n">
        <v>0</v>
      </c>
      <c r="J211" s="0" t="n">
        <v>0.575</v>
      </c>
      <c r="K211" s="0" t="n">
        <v>0.821</v>
      </c>
      <c r="L211" s="3" t="str">
        <f aca="false">IF(K211&gt;0.66,"High",IF(K211&gt;0.33&amp;K211&lt;=0.66,"Medium","Low"))</f>
        <v>High</v>
      </c>
      <c r="M211" s="0" t="n">
        <v>-5.7</v>
      </c>
      <c r="N211" s="3" t="n">
        <v>0.0527</v>
      </c>
      <c r="O211" s="3" t="n">
        <v>0.181</v>
      </c>
      <c r="P211" s="4" t="n">
        <v>0</v>
      </c>
      <c r="Q211" s="3" t="n">
        <v>0.124</v>
      </c>
      <c r="R211" s="3" t="n">
        <v>0.449</v>
      </c>
      <c r="S211" s="3" t="str">
        <f aca="false">IF(R211 &gt;= 0.5, "Positive", "Negative")</f>
        <v>Negative</v>
      </c>
      <c r="T211" s="2" t="n">
        <v>118.021</v>
      </c>
      <c r="U211" s="0" t="s">
        <v>39</v>
      </c>
    </row>
    <row r="212" customFormat="false" ht="14.25" hidden="false" customHeight="false" outlineLevel="0" collapsed="false">
      <c r="A212" s="0" t="n">
        <v>408</v>
      </c>
      <c r="B212" s="0" t="str">
        <f aca="false">_xlfn.xlookup(A212, artists!A$2:A$836, artists!B$2:B$836)</f>
        <v>Dizzee Rascal</v>
      </c>
      <c r="C212" s="1" t="s">
        <v>256</v>
      </c>
      <c r="D212" s="2" t="n">
        <v>177573</v>
      </c>
      <c r="E212" s="2" t="n">
        <f aca="false">D212/1000</f>
        <v>177.573</v>
      </c>
      <c r="F212" s="10" t="b">
        <f aca="false">FALSE()</f>
        <v>0</v>
      </c>
      <c r="G212" s="0" t="n">
        <v>14</v>
      </c>
      <c r="H212" s="0" t="n">
        <f aca="false">_xlfn.xlookup(G212, years!A$2:A$836, years!B$2:B$836)</f>
        <v>2011</v>
      </c>
      <c r="I212" s="2" t="n">
        <v>38</v>
      </c>
      <c r="J212" s="0" t="n">
        <v>0.624</v>
      </c>
      <c r="K212" s="0" t="n">
        <v>0.977</v>
      </c>
      <c r="L212" s="3" t="str">
        <f aca="false">IF(K212&gt;0.66,"High",IF(K212&gt;0.33&amp;K212&lt;=0.66,"Medium","Low"))</f>
        <v>High</v>
      </c>
      <c r="M212" s="0" t="n">
        <v>-3.34</v>
      </c>
      <c r="N212" s="3" t="n">
        <v>0.22</v>
      </c>
      <c r="O212" s="3" t="n">
        <v>0.00615</v>
      </c>
      <c r="P212" s="4" t="n">
        <v>0</v>
      </c>
      <c r="Q212" s="3" t="n">
        <v>0.253</v>
      </c>
      <c r="R212" s="3" t="n">
        <v>0.74</v>
      </c>
      <c r="S212" s="3" t="str">
        <f aca="false">IF(R212 &gt;= 0.5, "Positive", "Negative")</f>
        <v>Positive</v>
      </c>
      <c r="T212" s="2" t="n">
        <v>126.127</v>
      </c>
      <c r="U212" s="0" t="s">
        <v>53</v>
      </c>
    </row>
    <row r="213" customFormat="false" ht="14.25" hidden="false" customHeight="false" outlineLevel="0" collapsed="false">
      <c r="A213" s="0" t="n">
        <v>194</v>
      </c>
      <c r="B213" s="0" t="str">
        <f aca="false">_xlfn.xlookup(A213, artists!A$2:A$836, artists!B$2:B$836)</f>
        <v>Black Eyed Peas</v>
      </c>
      <c r="C213" s="1" t="s">
        <v>257</v>
      </c>
      <c r="D213" s="2" t="n">
        <v>251440</v>
      </c>
      <c r="E213" s="2" t="n">
        <f aca="false">D213/1000</f>
        <v>251.44</v>
      </c>
      <c r="F213" s="10" t="b">
        <f aca="false">TRUE()</f>
        <v>1</v>
      </c>
      <c r="G213" s="0" t="n">
        <v>12</v>
      </c>
      <c r="H213" s="0" t="n">
        <f aca="false">_xlfn.xlookup(G213, years!A$2:A$836, years!B$2:B$836)</f>
        <v>2009</v>
      </c>
      <c r="I213" s="2" t="n">
        <v>68</v>
      </c>
      <c r="J213" s="0" t="n">
        <v>0.867</v>
      </c>
      <c r="K213" s="0" t="n">
        <v>0.857</v>
      </c>
      <c r="L213" s="3" t="str">
        <f aca="false">IF(K213&gt;0.66,"High",IF(K213&gt;0.33&amp;K213&lt;=0.66,"Medium","Low"))</f>
        <v>High</v>
      </c>
      <c r="M213" s="0" t="n">
        <v>-5.892</v>
      </c>
      <c r="N213" s="3" t="n">
        <v>0.0663</v>
      </c>
      <c r="O213" s="3" t="n">
        <v>0.13</v>
      </c>
      <c r="P213" s="4" t="n">
        <v>0.00171</v>
      </c>
      <c r="Q213" s="3" t="n">
        <v>0.13</v>
      </c>
      <c r="R213" s="3" t="n">
        <v>0.402</v>
      </c>
      <c r="S213" s="3" t="str">
        <f aca="false">IF(R213 &gt;= 0.5, "Positive", "Negative")</f>
        <v>Negative</v>
      </c>
      <c r="T213" s="2" t="n">
        <v>130.048</v>
      </c>
      <c r="U213" s="0" t="s">
        <v>24</v>
      </c>
    </row>
    <row r="214" customFormat="false" ht="14.25" hidden="false" customHeight="false" outlineLevel="0" collapsed="false">
      <c r="A214" s="0" t="n">
        <v>631</v>
      </c>
      <c r="B214" s="0" t="str">
        <f aca="false">_xlfn.xlookup(A214, artists!A$2:A$836, artists!B$2:B$836)</f>
        <v>Charli XCX</v>
      </c>
      <c r="C214" s="1" t="s">
        <v>258</v>
      </c>
      <c r="D214" s="2" t="n">
        <v>169866</v>
      </c>
      <c r="E214" s="2" t="n">
        <f aca="false">D214/1000</f>
        <v>169.866</v>
      </c>
      <c r="F214" s="10" t="b">
        <f aca="false">FALSE()</f>
        <v>0</v>
      </c>
      <c r="G214" s="0" t="n">
        <v>17</v>
      </c>
      <c r="H214" s="0" t="n">
        <f aca="false">_xlfn.xlookup(G214, years!A$2:A$836, years!B$2:B$836)</f>
        <v>2014</v>
      </c>
      <c r="I214" s="2" t="n">
        <v>49</v>
      </c>
      <c r="J214" s="0" t="n">
        <v>0.659</v>
      </c>
      <c r="K214" s="0" t="n">
        <v>0.911</v>
      </c>
      <c r="L214" s="3" t="str">
        <f aca="false">IF(K214&gt;0.66,"High",IF(K214&gt;0.33&amp;K214&lt;=0.66,"Medium","Low"))</f>
        <v>High</v>
      </c>
      <c r="M214" s="0" t="n">
        <v>-2.28</v>
      </c>
      <c r="N214" s="3" t="n">
        <v>0.0786</v>
      </c>
      <c r="O214" s="3" t="n">
        <v>0.154</v>
      </c>
      <c r="P214" s="4" t="n">
        <v>0.000304</v>
      </c>
      <c r="Q214" s="3" t="n">
        <v>0.191</v>
      </c>
      <c r="R214" s="3" t="n">
        <v>0.576</v>
      </c>
      <c r="S214" s="3" t="str">
        <f aca="false">IF(R214 &gt;= 0.5, "Positive", "Negative")</f>
        <v>Positive</v>
      </c>
      <c r="T214" s="2" t="n">
        <v>91.999</v>
      </c>
      <c r="U214" s="0" t="s">
        <v>22</v>
      </c>
    </row>
    <row r="215" customFormat="false" ht="14.25" hidden="false" customHeight="false" outlineLevel="0" collapsed="false">
      <c r="A215" s="0" t="n">
        <v>9</v>
      </c>
      <c r="B215" s="0" t="str">
        <f aca="false">_xlfn.xlookup(A215, artists!A$2:A$836, artists!B$2:B$836)</f>
        <v>Destiny's Child</v>
      </c>
      <c r="C215" s="1" t="s">
        <v>259</v>
      </c>
      <c r="D215" s="2" t="n">
        <v>207906</v>
      </c>
      <c r="E215" s="2" t="n">
        <f aca="false">D215/1000</f>
        <v>207.906</v>
      </c>
      <c r="F215" s="10" t="b">
        <f aca="false">FALSE()</f>
        <v>0</v>
      </c>
      <c r="G215" s="0" t="n">
        <v>4</v>
      </c>
      <c r="H215" s="0" t="n">
        <f aca="false">_xlfn.xlookup(G215, years!A$2:A$836, years!B$2:B$836)</f>
        <v>2001</v>
      </c>
      <c r="I215" s="2" t="n">
        <v>64</v>
      </c>
      <c r="J215" s="0" t="n">
        <v>0.84</v>
      </c>
      <c r="K215" s="0" t="n">
        <v>0.835</v>
      </c>
      <c r="L215" s="3" t="str">
        <f aca="false">IF(K215&gt;0.66,"High",IF(K215&gt;0.33&amp;K215&lt;=0.66,"Medium","Low"))</f>
        <v>High</v>
      </c>
      <c r="M215" s="0" t="n">
        <v>-4.386</v>
      </c>
      <c r="N215" s="3" t="n">
        <v>0.275</v>
      </c>
      <c r="O215" s="3" t="n">
        <v>0.00281</v>
      </c>
      <c r="P215" s="4" t="n">
        <v>1.11E-006</v>
      </c>
      <c r="Q215" s="3" t="n">
        <v>0.152</v>
      </c>
      <c r="R215" s="3" t="n">
        <v>0.637</v>
      </c>
      <c r="S215" s="3" t="str">
        <f aca="false">IF(R215 &gt;= 0.5, "Positive", "Negative")</f>
        <v>Positive</v>
      </c>
      <c r="T215" s="2" t="n">
        <v>103.376</v>
      </c>
      <c r="U215" s="0" t="s">
        <v>33</v>
      </c>
    </row>
    <row r="216" customFormat="false" ht="14.25" hidden="false" customHeight="false" outlineLevel="0" collapsed="false">
      <c r="A216" s="0" t="n">
        <v>721</v>
      </c>
      <c r="B216" s="0" t="str">
        <f aca="false">_xlfn.xlookup(A216, artists!A$2:A$836, artists!B$2:B$836)</f>
        <v>Billie Eilish</v>
      </c>
      <c r="C216" s="1" t="s">
        <v>260</v>
      </c>
      <c r="D216" s="2" t="n">
        <v>180933</v>
      </c>
      <c r="E216" s="2" t="n">
        <f aca="false">D216/1000</f>
        <v>180.933</v>
      </c>
      <c r="F216" s="10" t="b">
        <f aca="false">FALSE()</f>
        <v>0</v>
      </c>
      <c r="G216" s="0" t="n">
        <v>20</v>
      </c>
      <c r="H216" s="0" t="n">
        <f aca="false">_xlfn.xlookup(G216, years!A$2:A$836, years!B$2:B$836)</f>
        <v>2017</v>
      </c>
      <c r="I216" s="2" t="n">
        <v>84</v>
      </c>
      <c r="J216" s="0" t="n">
        <v>0.614</v>
      </c>
      <c r="K216" s="0" t="n">
        <v>0.318</v>
      </c>
      <c r="L216" s="3" t="str">
        <f aca="false">IF(K216&gt;0.66,"High",IF(K216&gt;0.33&amp;K216&lt;=0.66,"Medium","Low"))</f>
        <v>Low</v>
      </c>
      <c r="M216" s="0" t="n">
        <v>-12.695</v>
      </c>
      <c r="N216" s="3" t="n">
        <v>0.0478</v>
      </c>
      <c r="O216" s="3" t="n">
        <v>0.896</v>
      </c>
      <c r="P216" s="4" t="n">
        <v>0.00239</v>
      </c>
      <c r="Q216" s="3" t="n">
        <v>0.0795</v>
      </c>
      <c r="R216" s="3" t="n">
        <v>0.112</v>
      </c>
      <c r="S216" s="3" t="str">
        <f aca="false">IF(R216 &gt;= 0.5, "Positive", "Negative")</f>
        <v>Negative</v>
      </c>
      <c r="T216" s="2" t="n">
        <v>119.959</v>
      </c>
      <c r="U216" s="0" t="s">
        <v>22</v>
      </c>
    </row>
    <row r="217" customFormat="false" ht="14.25" hidden="false" customHeight="false" outlineLevel="0" collapsed="false">
      <c r="A217" s="0" t="n">
        <v>437</v>
      </c>
      <c r="B217" s="0" t="str">
        <f aca="false">_xlfn.xlookup(A217, artists!A$2:A$836, artists!B$2:B$836)</f>
        <v>Lady Gaga</v>
      </c>
      <c r="C217" s="1" t="s">
        <v>261</v>
      </c>
      <c r="D217" s="2" t="n">
        <v>260253</v>
      </c>
      <c r="E217" s="2" t="n">
        <f aca="false">D217/1000</f>
        <v>260.253</v>
      </c>
      <c r="F217" s="10" t="b">
        <f aca="false">FALSE()</f>
        <v>0</v>
      </c>
      <c r="G217" s="0" t="n">
        <v>14</v>
      </c>
      <c r="H217" s="0" t="n">
        <f aca="false">_xlfn.xlookup(G217, years!A$2:A$836, years!B$2:B$836)</f>
        <v>2011</v>
      </c>
      <c r="I217" s="2" t="n">
        <v>72</v>
      </c>
      <c r="J217" s="0" t="n">
        <v>0.587</v>
      </c>
      <c r="K217" s="0" t="n">
        <v>0.828</v>
      </c>
      <c r="L217" s="3" t="str">
        <f aca="false">IF(K217&gt;0.66,"High",IF(K217&gt;0.33&amp;K217&lt;=0.66,"Medium","Low"))</f>
        <v>High</v>
      </c>
      <c r="M217" s="0" t="n">
        <v>-5.108</v>
      </c>
      <c r="N217" s="3" t="n">
        <v>0.161</v>
      </c>
      <c r="O217" s="3" t="n">
        <v>0.00327</v>
      </c>
      <c r="P217" s="4" t="n">
        <v>0</v>
      </c>
      <c r="Q217" s="3" t="n">
        <v>0.331</v>
      </c>
      <c r="R217" s="3" t="n">
        <v>0.494</v>
      </c>
      <c r="S217" s="3" t="str">
        <f aca="false">IF(R217 &gt;= 0.5, "Positive", "Negative")</f>
        <v>Negative</v>
      </c>
      <c r="T217" s="2" t="n">
        <v>123.907</v>
      </c>
      <c r="U217" s="0" t="s">
        <v>39</v>
      </c>
    </row>
    <row r="218" customFormat="false" ht="14.25" hidden="false" customHeight="false" outlineLevel="0" collapsed="false">
      <c r="A218" s="0" t="n">
        <v>561</v>
      </c>
      <c r="B218" s="0" t="str">
        <f aca="false">_xlfn.xlookup(A218, artists!A$2:A$836, artists!B$2:B$836)</f>
        <v>Lana Del Rey</v>
      </c>
      <c r="C218" s="1" t="s">
        <v>262</v>
      </c>
      <c r="D218" s="2" t="n">
        <v>286253</v>
      </c>
      <c r="E218" s="2" t="n">
        <f aca="false">D218/1000</f>
        <v>286.253</v>
      </c>
      <c r="F218" s="10" t="b">
        <f aca="false">FALSE()</f>
        <v>0</v>
      </c>
      <c r="G218" s="0" t="n">
        <v>15</v>
      </c>
      <c r="H218" s="0" t="n">
        <f aca="false">_xlfn.xlookup(G218, years!A$2:A$836, years!B$2:B$836)</f>
        <v>2012</v>
      </c>
      <c r="I218" s="2" t="n">
        <v>53</v>
      </c>
      <c r="J218" s="0" t="n">
        <v>0.18</v>
      </c>
      <c r="K218" s="0" t="n">
        <v>0.636</v>
      </c>
      <c r="L218" s="3" t="str">
        <f aca="false">IF(K218&gt;0.66,"High",IF(K218&gt;0.33&amp;K218&lt;=0.66,"Medium","Low"))</f>
        <v>Low</v>
      </c>
      <c r="M218" s="0" t="n">
        <v>-6.591</v>
      </c>
      <c r="N218" s="3" t="n">
        <v>0.0439</v>
      </c>
      <c r="O218" s="3" t="n">
        <v>0.209</v>
      </c>
      <c r="P218" s="4" t="n">
        <v>0.000133</v>
      </c>
      <c r="Q218" s="3" t="n">
        <v>0.217</v>
      </c>
      <c r="R218" s="3" t="n">
        <v>0.39</v>
      </c>
      <c r="S218" s="3" t="str">
        <f aca="false">IF(R218 &gt;= 0.5, "Positive", "Negative")</f>
        <v>Negative</v>
      </c>
      <c r="T218" s="2" t="n">
        <v>75.223</v>
      </c>
      <c r="U218" s="0" t="s">
        <v>39</v>
      </c>
    </row>
    <row r="219" customFormat="false" ht="14.25" hidden="false" customHeight="false" outlineLevel="0" collapsed="false">
      <c r="A219" s="0" t="n">
        <v>775</v>
      </c>
      <c r="B219" s="0" t="str">
        <f aca="false">_xlfn.xlookup(A219, artists!A$2:A$836, artists!B$2:B$836)</f>
        <v>BlocBoy JB</v>
      </c>
      <c r="C219" s="1" t="s">
        <v>263</v>
      </c>
      <c r="D219" s="2" t="n">
        <v>181263</v>
      </c>
      <c r="E219" s="2" t="n">
        <f aca="false">D219/1000</f>
        <v>181.263</v>
      </c>
      <c r="F219" s="10" t="b">
        <f aca="false">TRUE()</f>
        <v>1</v>
      </c>
      <c r="G219" s="0" t="n">
        <v>21</v>
      </c>
      <c r="H219" s="0" t="n">
        <f aca="false">_xlfn.xlookup(G219, years!A$2:A$836, years!B$2:B$836)</f>
        <v>2018</v>
      </c>
      <c r="I219" s="2" t="n">
        <v>73</v>
      </c>
      <c r="J219" s="0" t="n">
        <v>0.922</v>
      </c>
      <c r="K219" s="0" t="n">
        <v>0.581</v>
      </c>
      <c r="L219" s="3" t="str">
        <f aca="false">IF(K219&gt;0.66,"High",IF(K219&gt;0.33&amp;K219&lt;=0.66,"Medium","Low"))</f>
        <v>Low</v>
      </c>
      <c r="M219" s="0" t="n">
        <v>-7.495</v>
      </c>
      <c r="N219" s="3" t="n">
        <v>0.27</v>
      </c>
      <c r="O219" s="3" t="n">
        <v>0.00104</v>
      </c>
      <c r="P219" s="4" t="n">
        <v>5.86E-005</v>
      </c>
      <c r="Q219" s="3" t="n">
        <v>0.105</v>
      </c>
      <c r="R219" s="3" t="n">
        <v>0.595</v>
      </c>
      <c r="S219" s="3" t="str">
        <f aca="false">IF(R219 &gt;= 0.5, "Positive", "Negative")</f>
        <v>Positive</v>
      </c>
      <c r="T219" s="2" t="n">
        <v>140.022</v>
      </c>
      <c r="U219" s="0" t="s">
        <v>24</v>
      </c>
    </row>
    <row r="220" customFormat="false" ht="14.25" hidden="false" customHeight="false" outlineLevel="0" collapsed="false">
      <c r="A220" s="0" t="n">
        <v>178</v>
      </c>
      <c r="B220" s="0" t="str">
        <f aca="false">_xlfn.xlookup(A220, artists!A$2:A$836, artists!B$2:B$836)</f>
        <v>Delta Goodrem</v>
      </c>
      <c r="C220" s="1" t="s">
        <v>264</v>
      </c>
      <c r="D220" s="2" t="n">
        <v>251280</v>
      </c>
      <c r="E220" s="2" t="n">
        <f aca="false">D220/1000</f>
        <v>251.28</v>
      </c>
      <c r="F220" s="10" t="b">
        <f aca="false">FALSE()</f>
        <v>0</v>
      </c>
      <c r="G220" s="0" t="n">
        <v>6</v>
      </c>
      <c r="H220" s="0" t="n">
        <f aca="false">_xlfn.xlookup(G220, years!A$2:A$836, years!B$2:B$836)</f>
        <v>2003</v>
      </c>
      <c r="I220" s="2" t="n">
        <v>54</v>
      </c>
      <c r="J220" s="0" t="n">
        <v>0.542</v>
      </c>
      <c r="K220" s="0" t="n">
        <v>0.589</v>
      </c>
      <c r="L220" s="3" t="str">
        <f aca="false">IF(K220&gt;0.66,"High",IF(K220&gt;0.33&amp;K220&lt;=0.66,"Medium","Low"))</f>
        <v>Low</v>
      </c>
      <c r="M220" s="0" t="n">
        <v>-6.813</v>
      </c>
      <c r="N220" s="3" t="n">
        <v>0.0284</v>
      </c>
      <c r="O220" s="3" t="n">
        <v>0.246</v>
      </c>
      <c r="P220" s="4" t="n">
        <v>0</v>
      </c>
      <c r="Q220" s="3" t="n">
        <v>0.188</v>
      </c>
      <c r="R220" s="3" t="n">
        <v>0.336</v>
      </c>
      <c r="S220" s="3" t="str">
        <f aca="false">IF(R220 &gt;= 0.5, "Positive", "Negative")</f>
        <v>Negative</v>
      </c>
      <c r="T220" s="2" t="n">
        <v>133.838</v>
      </c>
      <c r="U220" s="0" t="s">
        <v>39</v>
      </c>
    </row>
    <row r="221" customFormat="false" ht="14.25" hidden="false" customHeight="false" outlineLevel="0" collapsed="false">
      <c r="A221" s="0" t="n">
        <v>250</v>
      </c>
      <c r="B221" s="0" t="str">
        <f aca="false">_xlfn.xlookup(A221, artists!A$2:A$836, artists!B$2:B$836)</f>
        <v>Kelis</v>
      </c>
      <c r="C221" s="1" t="s">
        <v>265</v>
      </c>
      <c r="D221" s="2" t="n">
        <v>273973</v>
      </c>
      <c r="E221" s="2" t="n">
        <f aca="false">D221/1000</f>
        <v>273.973</v>
      </c>
      <c r="F221" s="10" t="b">
        <f aca="false">FALSE()</f>
        <v>0</v>
      </c>
      <c r="G221" s="0" t="n">
        <v>9</v>
      </c>
      <c r="H221" s="0" t="n">
        <f aca="false">_xlfn.xlookup(G221, years!A$2:A$836, years!B$2:B$836)</f>
        <v>2006</v>
      </c>
      <c r="I221" s="2" t="n">
        <v>50</v>
      </c>
      <c r="J221" s="0" t="n">
        <v>0.906</v>
      </c>
      <c r="K221" s="0" t="n">
        <v>0.633</v>
      </c>
      <c r="L221" s="3" t="str">
        <f aca="false">IF(K221&gt;0.66,"High",IF(K221&gt;0.33&amp;K221&lt;=0.66,"Medium","Low"))</f>
        <v>Low</v>
      </c>
      <c r="M221" s="0" t="n">
        <v>-5.316</v>
      </c>
      <c r="N221" s="3" t="n">
        <v>0.19</v>
      </c>
      <c r="O221" s="3" t="n">
        <v>0.000182</v>
      </c>
      <c r="P221" s="4" t="n">
        <v>8.34E-006</v>
      </c>
      <c r="Q221" s="3" t="n">
        <v>0.058</v>
      </c>
      <c r="R221" s="3" t="n">
        <v>0.779</v>
      </c>
      <c r="S221" s="3" t="str">
        <f aca="false">IF(R221 &gt;= 0.5, "Positive", "Negative")</f>
        <v>Positive</v>
      </c>
      <c r="T221" s="2" t="n">
        <v>84.021</v>
      </c>
      <c r="U221" s="0" t="s">
        <v>266</v>
      </c>
    </row>
    <row r="222" customFormat="false" ht="14.25" hidden="false" customHeight="false" outlineLevel="0" collapsed="false">
      <c r="A222" s="0" t="n">
        <v>424</v>
      </c>
      <c r="B222" s="0" t="str">
        <f aca="false">_xlfn.xlookup(A222, artists!A$2:A$836, artists!B$2:B$836)</f>
        <v>Trey Songz</v>
      </c>
      <c r="C222" s="1" t="s">
        <v>267</v>
      </c>
      <c r="D222" s="2" t="n">
        <v>242013</v>
      </c>
      <c r="E222" s="2" t="n">
        <f aca="false">D222/1000</f>
        <v>242.013</v>
      </c>
      <c r="F222" s="10" t="b">
        <f aca="false">TRUE()</f>
        <v>1</v>
      </c>
      <c r="G222" s="0" t="n">
        <v>13</v>
      </c>
      <c r="H222" s="0" t="n">
        <f aca="false">_xlfn.xlookup(G222, years!A$2:A$836, years!B$2:B$836)</f>
        <v>2010</v>
      </c>
      <c r="I222" s="2" t="n">
        <v>0</v>
      </c>
      <c r="J222" s="0" t="n">
        <v>0.845</v>
      </c>
      <c r="K222" s="0" t="n">
        <v>0.601</v>
      </c>
      <c r="L222" s="3" t="str">
        <f aca="false">IF(K222&gt;0.66,"High",IF(K222&gt;0.33&amp;K222&lt;=0.66,"Medium","Low"))</f>
        <v>Low</v>
      </c>
      <c r="M222" s="0" t="n">
        <v>-5.283</v>
      </c>
      <c r="N222" s="3" t="n">
        <v>0.161</v>
      </c>
      <c r="O222" s="3" t="n">
        <v>0.0205</v>
      </c>
      <c r="P222" s="4" t="n">
        <v>0</v>
      </c>
      <c r="Q222" s="3" t="n">
        <v>0.385</v>
      </c>
      <c r="R222" s="3" t="n">
        <v>0.329</v>
      </c>
      <c r="S222" s="3" t="str">
        <f aca="false">IF(R222 &gt;= 0.5, "Positive", "Negative")</f>
        <v>Negative</v>
      </c>
      <c r="T222" s="2" t="n">
        <v>74.008</v>
      </c>
      <c r="U222" s="0" t="s">
        <v>31</v>
      </c>
    </row>
    <row r="223" customFormat="false" ht="14.25" hidden="false" customHeight="false" outlineLevel="0" collapsed="false">
      <c r="A223" s="0" t="n">
        <v>271</v>
      </c>
      <c r="B223" s="0" t="str">
        <f aca="false">_xlfn.xlookup(A223, artists!A$2:A$836, artists!B$2:B$836)</f>
        <v>Green Day</v>
      </c>
      <c r="C223" s="1" t="s">
        <v>268</v>
      </c>
      <c r="D223" s="2" t="n">
        <v>261266</v>
      </c>
      <c r="E223" s="2" t="n">
        <f aca="false">D223/1000</f>
        <v>261.266</v>
      </c>
      <c r="F223" s="10" t="b">
        <f aca="false">TRUE()</f>
        <v>1</v>
      </c>
      <c r="G223" s="0" t="n">
        <v>7</v>
      </c>
      <c r="H223" s="0" t="n">
        <f aca="false">_xlfn.xlookup(G223, years!A$2:A$836, years!B$2:B$836)</f>
        <v>2004</v>
      </c>
      <c r="I223" s="2" t="n">
        <v>72</v>
      </c>
      <c r="J223" s="0" t="n">
        <v>0.49</v>
      </c>
      <c r="K223" s="0" t="n">
        <v>0.679</v>
      </c>
      <c r="L223" s="3" t="str">
        <f aca="false">IF(K223&gt;0.66,"High",IF(K223&gt;0.33&amp;K223&lt;=0.66,"Medium","Low"))</f>
        <v>High</v>
      </c>
      <c r="M223" s="0" t="n">
        <v>-3.68</v>
      </c>
      <c r="N223" s="3" t="n">
        <v>0.0309</v>
      </c>
      <c r="O223" s="3" t="n">
        <v>0.00394</v>
      </c>
      <c r="P223" s="4" t="n">
        <v>1.54E-005</v>
      </c>
      <c r="Q223" s="3" t="n">
        <v>0.0383</v>
      </c>
      <c r="R223" s="3" t="n">
        <v>0.506</v>
      </c>
      <c r="S223" s="3" t="str">
        <f aca="false">IF(R223 &gt;= 0.5, "Positive", "Negative")</f>
        <v>Positive</v>
      </c>
      <c r="T223" s="2" t="n">
        <v>167.046</v>
      </c>
      <c r="U223" s="0" t="s">
        <v>43</v>
      </c>
    </row>
    <row r="224" customFormat="false" ht="14.25" hidden="false" customHeight="false" outlineLevel="0" collapsed="false">
      <c r="A224" s="0" t="n">
        <v>372</v>
      </c>
      <c r="B224" s="0" t="str">
        <f aca="false">_xlfn.xlookup(A224, artists!A$2:A$836, artists!B$2:B$836)</f>
        <v>Calvin Harris</v>
      </c>
      <c r="C224" s="1" t="s">
        <v>269</v>
      </c>
      <c r="D224" s="2" t="n">
        <v>222186</v>
      </c>
      <c r="E224" s="2" t="n">
        <f aca="false">D224/1000</f>
        <v>222.186</v>
      </c>
      <c r="F224" s="10" t="b">
        <f aca="false">FALSE()</f>
        <v>0</v>
      </c>
      <c r="G224" s="0" t="n">
        <v>15</v>
      </c>
      <c r="H224" s="0" t="n">
        <f aca="false">_xlfn.xlookup(G224, years!A$2:A$836, years!B$2:B$836)</f>
        <v>2012</v>
      </c>
      <c r="I224" s="2" t="n">
        <v>62</v>
      </c>
      <c r="J224" s="0" t="n">
        <v>0.779</v>
      </c>
      <c r="K224" s="0" t="n">
        <v>0.963</v>
      </c>
      <c r="L224" s="3" t="str">
        <f aca="false">IF(K224&gt;0.66,"High",IF(K224&gt;0.33&amp;K224&lt;=0.66,"Medium","Low"))</f>
        <v>High</v>
      </c>
      <c r="M224" s="0" t="n">
        <v>-2.125</v>
      </c>
      <c r="N224" s="3" t="n">
        <v>0.0399</v>
      </c>
      <c r="O224" s="3" t="n">
        <v>0.0334</v>
      </c>
      <c r="P224" s="4" t="n">
        <v>0.493</v>
      </c>
      <c r="Q224" s="3" t="n">
        <v>0.664</v>
      </c>
      <c r="R224" s="3" t="n">
        <v>0.759</v>
      </c>
      <c r="S224" s="3" t="str">
        <f aca="false">IF(R224 &gt;= 0.5, "Positive", "Negative")</f>
        <v>Positive</v>
      </c>
      <c r="T224" s="2" t="n">
        <v>127.941</v>
      </c>
      <c r="U224" s="0" t="s">
        <v>53</v>
      </c>
    </row>
    <row r="225" customFormat="false" ht="14.25" hidden="false" customHeight="false" outlineLevel="0" collapsed="false">
      <c r="A225" s="0" t="n">
        <v>673</v>
      </c>
      <c r="B225" s="0" t="str">
        <f aca="false">_xlfn.xlookup(A225, artists!A$2:A$836, artists!B$2:B$836)</f>
        <v>Big Sean</v>
      </c>
      <c r="C225" s="1" t="s">
        <v>270</v>
      </c>
      <c r="D225" s="2" t="n">
        <v>222360</v>
      </c>
      <c r="E225" s="2" t="n">
        <f aca="false">D225/1000</f>
        <v>222.36</v>
      </c>
      <c r="F225" s="10" t="b">
        <f aca="false">TRUE()</f>
        <v>1</v>
      </c>
      <c r="G225" s="0" t="n">
        <v>20</v>
      </c>
      <c r="H225" s="0" t="n">
        <f aca="false">_xlfn.xlookup(G225, years!A$2:A$836, years!B$2:B$836)</f>
        <v>2017</v>
      </c>
      <c r="I225" s="2" t="n">
        <v>71</v>
      </c>
      <c r="J225" s="0" t="n">
        <v>0.78</v>
      </c>
      <c r="K225" s="0" t="n">
        <v>0.575</v>
      </c>
      <c r="L225" s="3" t="str">
        <f aca="false">IF(K225&gt;0.66,"High",IF(K225&gt;0.33&amp;K225&lt;=0.66,"Medium","Low"))</f>
        <v>Low</v>
      </c>
      <c r="M225" s="0" t="n">
        <v>-5.628</v>
      </c>
      <c r="N225" s="3" t="n">
        <v>0.139</v>
      </c>
      <c r="O225" s="3" t="n">
        <v>0.106</v>
      </c>
      <c r="P225" s="4" t="n">
        <v>0</v>
      </c>
      <c r="Q225" s="3" t="n">
        <v>0.129</v>
      </c>
      <c r="R225" s="3" t="n">
        <v>0.273</v>
      </c>
      <c r="S225" s="3" t="str">
        <f aca="false">IF(R225 &gt;= 0.5, "Positive", "Negative")</f>
        <v>Negative</v>
      </c>
      <c r="T225" s="2" t="n">
        <v>81.502</v>
      </c>
      <c r="U225" s="0" t="s">
        <v>24</v>
      </c>
    </row>
    <row r="226" customFormat="false" ht="14.25" hidden="false" customHeight="false" outlineLevel="0" collapsed="false">
      <c r="A226" s="0" t="n">
        <v>1</v>
      </c>
      <c r="B226" s="0" t="str">
        <f aca="false">_xlfn.xlookup(A226, artists!A$2:A$836, artists!B$2:B$836)</f>
        <v>Britney Spears</v>
      </c>
      <c r="C226" s="1" t="s">
        <v>271</v>
      </c>
      <c r="D226" s="2" t="n">
        <v>216520</v>
      </c>
      <c r="E226" s="2" t="n">
        <f aca="false">D226/1000</f>
        <v>216.52</v>
      </c>
      <c r="F226" s="10" t="b">
        <f aca="false">FALSE()</f>
        <v>0</v>
      </c>
      <c r="G226" s="0" t="n">
        <v>11</v>
      </c>
      <c r="H226" s="0" t="n">
        <f aca="false">_xlfn.xlookup(G226, years!A$2:A$836, years!B$2:B$836)</f>
        <v>2008</v>
      </c>
      <c r="I226" s="2" t="n">
        <v>69</v>
      </c>
      <c r="J226" s="0" t="n">
        <v>0.717</v>
      </c>
      <c r="K226" s="0" t="n">
        <v>0.587</v>
      </c>
      <c r="L226" s="3" t="str">
        <f aca="false">IF(K226&gt;0.66,"High",IF(K226&gt;0.33&amp;K226&lt;=0.66,"Medium","Low"))</f>
        <v>Low</v>
      </c>
      <c r="M226" s="0" t="n">
        <v>-7.296</v>
      </c>
      <c r="N226" s="3" t="n">
        <v>0.0339</v>
      </c>
      <c r="O226" s="3" t="n">
        <v>0.0192</v>
      </c>
      <c r="P226" s="4" t="n">
        <v>0</v>
      </c>
      <c r="Q226" s="3" t="n">
        <v>0.0523</v>
      </c>
      <c r="R226" s="3" t="n">
        <v>0.544</v>
      </c>
      <c r="S226" s="3" t="str">
        <f aca="false">IF(R226 &gt;= 0.5, "Positive", "Negative")</f>
        <v>Positive</v>
      </c>
      <c r="T226" s="2" t="n">
        <v>129.954</v>
      </c>
      <c r="U226" s="0" t="s">
        <v>39</v>
      </c>
    </row>
    <row r="227" customFormat="false" ht="14.25" hidden="false" customHeight="false" outlineLevel="0" collapsed="false">
      <c r="A227" s="0" t="n">
        <v>403</v>
      </c>
      <c r="B227" s="0" t="str">
        <f aca="false">_xlfn.xlookup(A227, artists!A$2:A$836, artists!B$2:B$836)</f>
        <v>Basshunter</v>
      </c>
      <c r="C227" s="1" t="s">
        <v>272</v>
      </c>
      <c r="D227" s="2" t="n">
        <v>176453</v>
      </c>
      <c r="E227" s="2" t="n">
        <f aca="false">D227/1000</f>
        <v>176.453</v>
      </c>
      <c r="F227" s="10" t="b">
        <f aca="false">FALSE()</f>
        <v>0</v>
      </c>
      <c r="G227" s="0" t="n">
        <v>11</v>
      </c>
      <c r="H227" s="0" t="n">
        <f aca="false">_xlfn.xlookup(G227, years!A$2:A$836, years!B$2:B$836)</f>
        <v>2008</v>
      </c>
      <c r="I227" s="2" t="n">
        <v>65</v>
      </c>
      <c r="J227" s="0" t="n">
        <v>0.645</v>
      </c>
      <c r="K227" s="0" t="n">
        <v>0.984</v>
      </c>
      <c r="L227" s="3" t="str">
        <f aca="false">IF(K227&gt;0.66,"High",IF(K227&gt;0.33&amp;K227&lt;=0.66,"Medium","Low"))</f>
        <v>High</v>
      </c>
      <c r="M227" s="0" t="n">
        <v>-7.051</v>
      </c>
      <c r="N227" s="3" t="n">
        <v>0.0508</v>
      </c>
      <c r="O227" s="3" t="n">
        <v>0.164</v>
      </c>
      <c r="P227" s="4" t="n">
        <v>0.00701</v>
      </c>
      <c r="Q227" s="3" t="n">
        <v>0.164</v>
      </c>
      <c r="R227" s="3" t="n">
        <v>0.553</v>
      </c>
      <c r="S227" s="3" t="str">
        <f aca="false">IF(R227 &gt;= 0.5, "Positive", "Negative")</f>
        <v>Positive</v>
      </c>
      <c r="T227" s="2" t="n">
        <v>144.954</v>
      </c>
      <c r="U227" s="0" t="s">
        <v>39</v>
      </c>
    </row>
    <row r="228" customFormat="false" ht="14.25" hidden="false" customHeight="false" outlineLevel="0" collapsed="false">
      <c r="A228" s="0" t="n">
        <v>463</v>
      </c>
      <c r="B228" s="0" t="str">
        <f aca="false">_xlfn.xlookup(A228, artists!A$2:A$836, artists!B$2:B$836)</f>
        <v>Justin Bieber</v>
      </c>
      <c r="C228" s="1" t="s">
        <v>273</v>
      </c>
      <c r="D228" s="2" t="n">
        <v>171333</v>
      </c>
      <c r="E228" s="2" t="n">
        <f aca="false">D228/1000</f>
        <v>171.333</v>
      </c>
      <c r="F228" s="10" t="b">
        <f aca="false">FALSE()</f>
        <v>0</v>
      </c>
      <c r="G228" s="0" t="n">
        <v>15</v>
      </c>
      <c r="H228" s="0" t="n">
        <f aca="false">_xlfn.xlookup(G228, years!A$2:A$836, years!B$2:B$836)</f>
        <v>2012</v>
      </c>
      <c r="I228" s="2" t="n">
        <v>63</v>
      </c>
      <c r="J228" s="0" t="n">
        <v>0.717</v>
      </c>
      <c r="K228" s="0" t="n">
        <v>0.55</v>
      </c>
      <c r="L228" s="3" t="str">
        <f aca="false">IF(K228&gt;0.66,"High",IF(K228&gt;0.33&amp;K228&lt;=0.66,"Medium","Low"))</f>
        <v>Low</v>
      </c>
      <c r="M228" s="0" t="n">
        <v>-6.019</v>
      </c>
      <c r="N228" s="3" t="n">
        <v>0.0519</v>
      </c>
      <c r="O228" s="3" t="n">
        <v>0.0358</v>
      </c>
      <c r="P228" s="4" t="n">
        <v>0.00198</v>
      </c>
      <c r="Q228" s="3" t="n">
        <v>0.126</v>
      </c>
      <c r="R228" s="3" t="n">
        <v>0.331</v>
      </c>
      <c r="S228" s="3" t="str">
        <f aca="false">IF(R228 &gt;= 0.5, "Positive", "Negative")</f>
        <v>Negative</v>
      </c>
      <c r="T228" s="2" t="n">
        <v>96.979</v>
      </c>
      <c r="U228" s="0" t="s">
        <v>39</v>
      </c>
    </row>
    <row r="229" customFormat="false" ht="14.25" hidden="false" customHeight="false" outlineLevel="0" collapsed="false">
      <c r="A229" s="0" t="n">
        <v>600</v>
      </c>
      <c r="B229" s="0" t="str">
        <f aca="false">_xlfn.xlookup(A229, artists!A$2:A$836, artists!B$2:B$836)</f>
        <v>Ariana Grande</v>
      </c>
      <c r="C229" s="1" t="s">
        <v>274</v>
      </c>
      <c r="D229" s="2" t="n">
        <v>186106</v>
      </c>
      <c r="E229" s="2" t="n">
        <f aca="false">D229/1000</f>
        <v>186.106</v>
      </c>
      <c r="F229" s="10" t="b">
        <f aca="false">TRUE()</f>
        <v>1</v>
      </c>
      <c r="G229" s="0" t="n">
        <v>22</v>
      </c>
      <c r="H229" s="0" t="n">
        <f aca="false">_xlfn.xlookup(G229, years!A$2:A$836, years!B$2:B$836)</f>
        <v>2019</v>
      </c>
      <c r="I229" s="2" t="n">
        <v>77</v>
      </c>
      <c r="J229" s="0" t="n">
        <v>0.4</v>
      </c>
      <c r="K229" s="0" t="n">
        <v>0.795</v>
      </c>
      <c r="L229" s="3" t="str">
        <f aca="false">IF(K229&gt;0.66,"High",IF(K229&gt;0.33&amp;K229&lt;=0.66,"Medium","Low"))</f>
        <v>High</v>
      </c>
      <c r="M229" s="0" t="n">
        <v>-3.731</v>
      </c>
      <c r="N229" s="3" t="n">
        <v>0.461</v>
      </c>
      <c r="O229" s="3" t="n">
        <v>0.119</v>
      </c>
      <c r="P229" s="4" t="n">
        <v>0</v>
      </c>
      <c r="Q229" s="3" t="n">
        <v>0.159</v>
      </c>
      <c r="R229" s="3" t="n">
        <v>0.702</v>
      </c>
      <c r="S229" s="3" t="str">
        <f aca="false">IF(R229 &gt;= 0.5, "Positive", "Negative")</f>
        <v>Positive</v>
      </c>
      <c r="T229" s="2" t="n">
        <v>190.097</v>
      </c>
      <c r="U229" s="0" t="s">
        <v>39</v>
      </c>
    </row>
    <row r="230" customFormat="false" ht="14.25" hidden="false" customHeight="false" outlineLevel="0" collapsed="false">
      <c r="A230" s="0" t="n">
        <v>600</v>
      </c>
      <c r="B230" s="0" t="str">
        <f aca="false">_xlfn.xlookup(A230, artists!A$2:A$836, artists!B$2:B$836)</f>
        <v>Ariana Grande</v>
      </c>
      <c r="C230" s="1" t="s">
        <v>275</v>
      </c>
      <c r="D230" s="2" t="n">
        <v>214840</v>
      </c>
      <c r="E230" s="2" t="n">
        <f aca="false">D230/1000</f>
        <v>214.84</v>
      </c>
      <c r="F230" s="10" t="b">
        <f aca="false">FALSE()</f>
        <v>0</v>
      </c>
      <c r="G230" s="0" t="n">
        <v>17</v>
      </c>
      <c r="H230" s="0" t="n">
        <f aca="false">_xlfn.xlookup(G230, years!A$2:A$836, years!B$2:B$836)</f>
        <v>2014</v>
      </c>
      <c r="I230" s="2" t="n">
        <v>0</v>
      </c>
      <c r="J230" s="0" t="n">
        <v>0.687</v>
      </c>
      <c r="K230" s="0" t="n">
        <v>0.702</v>
      </c>
      <c r="L230" s="3" t="str">
        <f aca="false">IF(K230&gt;0.66,"High",IF(K230&gt;0.33&amp;K230&lt;=0.66,"Medium","Low"))</f>
        <v>High</v>
      </c>
      <c r="M230" s="0" t="n">
        <v>-5.324</v>
      </c>
      <c r="N230" s="3" t="n">
        <v>0.0455</v>
      </c>
      <c r="O230" s="3" t="n">
        <v>0.0064</v>
      </c>
      <c r="P230" s="4" t="n">
        <v>4.35E-005</v>
      </c>
      <c r="Q230" s="3" t="n">
        <v>0.204</v>
      </c>
      <c r="R230" s="3" t="n">
        <v>0.284</v>
      </c>
      <c r="S230" s="3" t="str">
        <f aca="false">IF(R230 &gt;= 0.5, "Positive", "Negative")</f>
        <v>Negative</v>
      </c>
      <c r="T230" s="2" t="n">
        <v>129.956</v>
      </c>
      <c r="U230" s="0" t="s">
        <v>39</v>
      </c>
    </row>
    <row r="231" customFormat="false" ht="14.25" hidden="false" customHeight="false" outlineLevel="0" collapsed="false">
      <c r="A231" s="0" t="n">
        <v>40</v>
      </c>
      <c r="B231" s="0" t="str">
        <f aca="false">_xlfn.xlookup(A231, artists!A$2:A$836, artists!B$2:B$836)</f>
        <v>Bow Wow</v>
      </c>
      <c r="C231" s="1" t="s">
        <v>276</v>
      </c>
      <c r="D231" s="2" t="n">
        <v>238266</v>
      </c>
      <c r="E231" s="2" t="n">
        <f aca="false">D231/1000</f>
        <v>238.266</v>
      </c>
      <c r="F231" s="10" t="b">
        <f aca="false">FALSE()</f>
        <v>0</v>
      </c>
      <c r="G231" s="0" t="n">
        <v>9</v>
      </c>
      <c r="H231" s="0" t="n">
        <f aca="false">_xlfn.xlookup(G231, years!A$2:A$836, years!B$2:B$836)</f>
        <v>2006</v>
      </c>
      <c r="I231" s="2" t="n">
        <v>57</v>
      </c>
      <c r="J231" s="0" t="n">
        <v>0.772</v>
      </c>
      <c r="K231" s="0" t="n">
        <v>0.59</v>
      </c>
      <c r="L231" s="3" t="str">
        <f aca="false">IF(K231&gt;0.66,"High",IF(K231&gt;0.33&amp;K231&lt;=0.66,"Medium","Low"))</f>
        <v>Low</v>
      </c>
      <c r="M231" s="0" t="n">
        <v>-6.957</v>
      </c>
      <c r="N231" s="3" t="n">
        <v>0.183</v>
      </c>
      <c r="O231" s="3" t="n">
        <v>0.0917</v>
      </c>
      <c r="P231" s="4" t="n">
        <v>0</v>
      </c>
      <c r="Q231" s="3" t="n">
        <v>0.101</v>
      </c>
      <c r="R231" s="3" t="n">
        <v>0.743</v>
      </c>
      <c r="S231" s="3" t="str">
        <f aca="false">IF(R231 &gt;= 0.5, "Positive", "Negative")</f>
        <v>Positive</v>
      </c>
      <c r="T231" s="2" t="n">
        <v>83.998</v>
      </c>
      <c r="U231" s="0" t="s">
        <v>31</v>
      </c>
    </row>
    <row r="232" customFormat="false" ht="14.25" hidden="false" customHeight="false" outlineLevel="0" collapsed="false">
      <c r="A232" s="0" t="n">
        <v>282</v>
      </c>
      <c r="B232" s="0" t="str">
        <f aca="false">_xlfn.xlookup(A232, artists!A$2:A$836, artists!B$2:B$836)</f>
        <v>Mario</v>
      </c>
      <c r="C232" s="1" t="s">
        <v>277</v>
      </c>
      <c r="D232" s="2" t="n">
        <v>249026</v>
      </c>
      <c r="E232" s="2" t="n">
        <f aca="false">D232/1000</f>
        <v>249.026</v>
      </c>
      <c r="F232" s="10" t="b">
        <f aca="false">TRUE()</f>
        <v>1</v>
      </c>
      <c r="G232" s="0" t="n">
        <v>12</v>
      </c>
      <c r="H232" s="0" t="n">
        <f aca="false">_xlfn.xlookup(G232, years!A$2:A$836, years!B$2:B$836)</f>
        <v>2009</v>
      </c>
      <c r="I232" s="2" t="n">
        <v>51</v>
      </c>
      <c r="J232" s="0" t="n">
        <v>0.44</v>
      </c>
      <c r="K232" s="0" t="n">
        <v>0.517</v>
      </c>
      <c r="L232" s="3" t="str">
        <f aca="false">IF(K232&gt;0.66,"High",IF(K232&gt;0.33&amp;K232&lt;=0.66,"Medium","Low"))</f>
        <v>Low</v>
      </c>
      <c r="M232" s="0" t="n">
        <v>-7.355</v>
      </c>
      <c r="N232" s="3" t="n">
        <v>0.363</v>
      </c>
      <c r="O232" s="3" t="n">
        <v>0.428</v>
      </c>
      <c r="P232" s="4" t="n">
        <v>0</v>
      </c>
      <c r="Q232" s="3" t="n">
        <v>0.173</v>
      </c>
      <c r="R232" s="3" t="n">
        <v>0.475</v>
      </c>
      <c r="S232" s="3" t="str">
        <f aca="false">IF(R232 &gt;= 0.5, "Positive", "Negative")</f>
        <v>Negative</v>
      </c>
      <c r="T232" s="2" t="n">
        <v>73.881</v>
      </c>
      <c r="U232" s="0" t="s">
        <v>33</v>
      </c>
    </row>
    <row r="233" customFormat="false" ht="14.25" hidden="false" customHeight="false" outlineLevel="0" collapsed="false">
      <c r="A233" s="0" t="n">
        <v>600</v>
      </c>
      <c r="B233" s="0" t="str">
        <f aca="false">_xlfn.xlookup(A233, artists!A$2:A$836, artists!B$2:B$836)</f>
        <v>Ariana Grande</v>
      </c>
      <c r="C233" s="1" t="s">
        <v>278</v>
      </c>
      <c r="D233" s="2" t="n">
        <v>190440</v>
      </c>
      <c r="E233" s="2" t="n">
        <f aca="false">D233/1000</f>
        <v>190.44</v>
      </c>
      <c r="F233" s="10" t="b">
        <f aca="false">TRUE()</f>
        <v>1</v>
      </c>
      <c r="G233" s="0" t="n">
        <v>22</v>
      </c>
      <c r="H233" s="0" t="n">
        <f aca="false">_xlfn.xlookup(G233, years!A$2:A$836, years!B$2:B$836)</f>
        <v>2019</v>
      </c>
      <c r="I233" s="2" t="n">
        <v>76</v>
      </c>
      <c r="J233" s="0" t="n">
        <v>0.726</v>
      </c>
      <c r="K233" s="0" t="n">
        <v>0.554</v>
      </c>
      <c r="L233" s="3" t="str">
        <f aca="false">IF(K233&gt;0.66,"High",IF(K233&gt;0.33&amp;K233&lt;=0.66,"Medium","Low"))</f>
        <v>Low</v>
      </c>
      <c r="M233" s="0" t="n">
        <v>-5.29</v>
      </c>
      <c r="N233" s="3" t="n">
        <v>0.0917</v>
      </c>
      <c r="O233" s="3" t="n">
        <v>0.0421</v>
      </c>
      <c r="P233" s="4" t="n">
        <v>0</v>
      </c>
      <c r="Q233" s="3" t="n">
        <v>0.106</v>
      </c>
      <c r="R233" s="3" t="n">
        <v>0.335</v>
      </c>
      <c r="S233" s="3" t="str">
        <f aca="false">IF(R233 &gt;= 0.5, "Positive", "Negative")</f>
        <v>Negative</v>
      </c>
      <c r="T233" s="2" t="n">
        <v>169.999</v>
      </c>
      <c r="U233" s="0" t="s">
        <v>39</v>
      </c>
    </row>
    <row r="234" customFormat="false" ht="14.25" hidden="false" customHeight="false" outlineLevel="0" collapsed="false">
      <c r="A234" s="0" t="n">
        <v>472</v>
      </c>
      <c r="B234" s="0" t="str">
        <f aca="false">_xlfn.xlookup(A234, artists!A$2:A$836, artists!B$2:B$836)</f>
        <v>Taio Cruz</v>
      </c>
      <c r="C234" s="1" t="s">
        <v>279</v>
      </c>
      <c r="D234" s="2" t="n">
        <v>201546</v>
      </c>
      <c r="E234" s="2" t="n">
        <f aca="false">D234/1000</f>
        <v>201.546</v>
      </c>
      <c r="F234" s="10" t="b">
        <f aca="false">FALSE()</f>
        <v>0</v>
      </c>
      <c r="G234" s="0" t="n">
        <v>13</v>
      </c>
      <c r="H234" s="0" t="n">
        <f aca="false">_xlfn.xlookup(G234, years!A$2:A$836, years!B$2:B$836)</f>
        <v>2010</v>
      </c>
      <c r="I234" s="2" t="n">
        <v>74</v>
      </c>
      <c r="J234" s="0" t="n">
        <v>0.607</v>
      </c>
      <c r="K234" s="0" t="n">
        <v>0.934</v>
      </c>
      <c r="L234" s="3" t="str">
        <f aca="false">IF(K234&gt;0.66,"High",IF(K234&gt;0.33&amp;K234&lt;=0.66,"Medium","Low"))</f>
        <v>High</v>
      </c>
      <c r="M234" s="0" t="n">
        <v>-4.217</v>
      </c>
      <c r="N234" s="3" t="n">
        <v>0.0314</v>
      </c>
      <c r="O234" s="3" t="n">
        <v>0.0327</v>
      </c>
      <c r="P234" s="4" t="n">
        <v>0</v>
      </c>
      <c r="Q234" s="3" t="n">
        <v>0.0909</v>
      </c>
      <c r="R234" s="3" t="n">
        <v>0.568</v>
      </c>
      <c r="S234" s="3" t="str">
        <f aca="false">IF(R234 &gt;= 0.5, "Positive", "Negative")</f>
        <v>Positive</v>
      </c>
      <c r="T234" s="2" t="n">
        <v>122.01</v>
      </c>
      <c r="U234" s="0" t="s">
        <v>24</v>
      </c>
    </row>
    <row r="235" customFormat="false" ht="14.25" hidden="false" customHeight="false" outlineLevel="0" collapsed="false">
      <c r="A235" s="0" t="n">
        <v>20</v>
      </c>
      <c r="B235" s="0" t="str">
        <f aca="false">_xlfn.xlookup(A235, artists!A$2:A$836, artists!B$2:B$836)</f>
        <v>Linkin Park</v>
      </c>
      <c r="C235" s="1" t="s">
        <v>280</v>
      </c>
      <c r="D235" s="2" t="n">
        <v>196906</v>
      </c>
      <c r="E235" s="2" t="n">
        <f aca="false">D235/1000</f>
        <v>196.906</v>
      </c>
      <c r="F235" s="10" t="b">
        <f aca="false">FALSE()</f>
        <v>0</v>
      </c>
      <c r="G235" s="0" t="n">
        <v>6</v>
      </c>
      <c r="H235" s="0" t="n">
        <f aca="false">_xlfn.xlookup(G235, years!A$2:A$836, years!B$2:B$836)</f>
        <v>2003</v>
      </c>
      <c r="I235" s="2" t="n">
        <v>68</v>
      </c>
      <c r="J235" s="0" t="n">
        <v>0.579</v>
      </c>
      <c r="K235" s="0" t="n">
        <v>0.849</v>
      </c>
      <c r="L235" s="3" t="str">
        <f aca="false">IF(K235&gt;0.66,"High",IF(K235&gt;0.33&amp;K235&lt;=0.66,"Medium","Low"))</f>
        <v>High</v>
      </c>
      <c r="M235" s="0" t="n">
        <v>-5.218</v>
      </c>
      <c r="N235" s="3" t="n">
        <v>0.0303</v>
      </c>
      <c r="O235" s="3" t="n">
        <v>0.108</v>
      </c>
      <c r="P235" s="4" t="n">
        <v>0</v>
      </c>
      <c r="Q235" s="3" t="n">
        <v>0.0909</v>
      </c>
      <c r="R235" s="3" t="n">
        <v>0.581</v>
      </c>
      <c r="S235" s="3" t="str">
        <f aca="false">IF(R235 &gt;= 0.5, "Positive", "Negative")</f>
        <v>Positive</v>
      </c>
      <c r="T235" s="2" t="n">
        <v>100.021</v>
      </c>
      <c r="U235" s="0" t="s">
        <v>81</v>
      </c>
    </row>
    <row r="236" customFormat="false" ht="14.25" hidden="false" customHeight="false" outlineLevel="0" collapsed="false">
      <c r="A236" s="0" t="n">
        <v>3</v>
      </c>
      <c r="B236" s="0" t="str">
        <f aca="false">_xlfn.xlookup(A236, artists!A$2:A$836, artists!B$2:B$836)</f>
        <v>Faith Hill</v>
      </c>
      <c r="C236" s="1" t="s">
        <v>281</v>
      </c>
      <c r="D236" s="2" t="n">
        <v>250546</v>
      </c>
      <c r="E236" s="2" t="n">
        <f aca="false">D236/1000</f>
        <v>250.546</v>
      </c>
      <c r="F236" s="10" t="b">
        <f aca="false">FALSE()</f>
        <v>0</v>
      </c>
      <c r="G236" s="0" t="n">
        <v>2</v>
      </c>
      <c r="H236" s="0" t="n">
        <f aca="false">_xlfn.xlookup(G236, years!A$2:A$836, years!B$2:B$836)</f>
        <v>1999</v>
      </c>
      <c r="I236" s="2" t="n">
        <v>66</v>
      </c>
      <c r="J236" s="0" t="n">
        <v>0.529</v>
      </c>
      <c r="K236" s="0" t="n">
        <v>0.496</v>
      </c>
      <c r="L236" s="3" t="str">
        <f aca="false">IF(K236&gt;0.66,"High",IF(K236&gt;0.33&amp;K236&lt;=0.66,"Medium","Low"))</f>
        <v>Low</v>
      </c>
      <c r="M236" s="0" t="n">
        <v>-9.007</v>
      </c>
      <c r="N236" s="3" t="n">
        <v>0.029</v>
      </c>
      <c r="O236" s="3" t="n">
        <v>0.173</v>
      </c>
      <c r="P236" s="4" t="n">
        <v>0</v>
      </c>
      <c r="Q236" s="3" t="n">
        <v>0.251</v>
      </c>
      <c r="R236" s="3" t="n">
        <v>0.278</v>
      </c>
      <c r="S236" s="3" t="str">
        <f aca="false">IF(R236 &gt;= 0.5, "Positive", "Negative")</f>
        <v>Negative</v>
      </c>
      <c r="T236" s="2" t="n">
        <v>136.859</v>
      </c>
      <c r="U236" s="0" t="s">
        <v>204</v>
      </c>
    </row>
    <row r="237" customFormat="false" ht="14.25" hidden="false" customHeight="false" outlineLevel="0" collapsed="false">
      <c r="A237" s="0" t="n">
        <v>656</v>
      </c>
      <c r="B237" s="0" t="str">
        <f aca="false">_xlfn.xlookup(A237, artists!A$2:A$836, artists!B$2:B$836)</f>
        <v>Galantis</v>
      </c>
      <c r="C237" s="1" t="s">
        <v>282</v>
      </c>
      <c r="D237" s="2" t="n">
        <v>227073</v>
      </c>
      <c r="E237" s="2" t="n">
        <f aca="false">D237/1000</f>
        <v>227.073</v>
      </c>
      <c r="F237" s="10" t="b">
        <f aca="false">FALSE()</f>
        <v>0</v>
      </c>
      <c r="G237" s="0" t="n">
        <v>18</v>
      </c>
      <c r="H237" s="0" t="n">
        <f aca="false">_xlfn.xlookup(G237, years!A$2:A$836, years!B$2:B$836)</f>
        <v>2015</v>
      </c>
      <c r="I237" s="2" t="n">
        <v>74</v>
      </c>
      <c r="J237" s="0" t="n">
        <v>0.506</v>
      </c>
      <c r="K237" s="0" t="n">
        <v>0.805</v>
      </c>
      <c r="L237" s="3" t="str">
        <f aca="false">IF(K237&gt;0.66,"High",IF(K237&gt;0.33&amp;K237&lt;=0.66,"Medium","Low"))</f>
        <v>High</v>
      </c>
      <c r="M237" s="0" t="n">
        <v>-4.119</v>
      </c>
      <c r="N237" s="3" t="n">
        <v>0.0469</v>
      </c>
      <c r="O237" s="3" t="n">
        <v>0.00711</v>
      </c>
      <c r="P237" s="4" t="n">
        <v>0.00193</v>
      </c>
      <c r="Q237" s="3" t="n">
        <v>0.0856</v>
      </c>
      <c r="R237" s="3" t="n">
        <v>0.383</v>
      </c>
      <c r="S237" s="3" t="str">
        <f aca="false">IF(R237 &gt;= 0.5, "Positive", "Negative")</f>
        <v>Negative</v>
      </c>
      <c r="T237" s="2" t="n">
        <v>126.008</v>
      </c>
      <c r="U237" s="0" t="s">
        <v>22</v>
      </c>
    </row>
    <row r="238" customFormat="false" ht="14.25" hidden="false" customHeight="false" outlineLevel="0" collapsed="false">
      <c r="A238" s="0" t="n">
        <v>78</v>
      </c>
      <c r="B238" s="0" t="str">
        <f aca="false">_xlfn.xlookup(A238, artists!A$2:A$836, artists!B$2:B$836)</f>
        <v>The Corrs</v>
      </c>
      <c r="C238" s="1" t="s">
        <v>283</v>
      </c>
      <c r="D238" s="2" t="n">
        <v>207506</v>
      </c>
      <c r="E238" s="2" t="n">
        <f aca="false">D238/1000</f>
        <v>207.506</v>
      </c>
      <c r="F238" s="10" t="b">
        <f aca="false">FALSE()</f>
        <v>0</v>
      </c>
      <c r="G238" s="0" t="n">
        <v>3</v>
      </c>
      <c r="H238" s="0" t="n">
        <f aca="false">_xlfn.xlookup(G238, years!A$2:A$836, years!B$2:B$836)</f>
        <v>2000</v>
      </c>
      <c r="I238" s="2" t="n">
        <v>68</v>
      </c>
      <c r="J238" s="0" t="n">
        <v>0.607</v>
      </c>
      <c r="K238" s="0" t="n">
        <v>0.82</v>
      </c>
      <c r="L238" s="3" t="str">
        <f aca="false">IF(K238&gt;0.66,"High",IF(K238&gt;0.33&amp;K238&lt;=0.66,"Medium","Low"))</f>
        <v>High</v>
      </c>
      <c r="M238" s="0" t="n">
        <v>-7.754</v>
      </c>
      <c r="N238" s="3" t="n">
        <v>0.0597</v>
      </c>
      <c r="O238" s="3" t="n">
        <v>0.0541</v>
      </c>
      <c r="P238" s="4" t="n">
        <v>6.8E-005</v>
      </c>
      <c r="Q238" s="3" t="n">
        <v>0.269</v>
      </c>
      <c r="R238" s="3" t="n">
        <v>0.768</v>
      </c>
      <c r="S238" s="3" t="str">
        <f aca="false">IF(R238 &gt;= 0.5, "Positive", "Negative")</f>
        <v>Positive</v>
      </c>
      <c r="T238" s="2" t="n">
        <v>126.988</v>
      </c>
      <c r="U238" s="0" t="s">
        <v>116</v>
      </c>
    </row>
    <row r="239" customFormat="false" ht="14.25" hidden="false" customHeight="false" outlineLevel="0" collapsed="false">
      <c r="A239" s="0" t="n">
        <v>564</v>
      </c>
      <c r="B239" s="0" t="str">
        <f aca="false">_xlfn.xlookup(A239, artists!A$2:A$836, artists!B$2:B$836)</f>
        <v>alt-J</v>
      </c>
      <c r="C239" s="1" t="s">
        <v>284</v>
      </c>
      <c r="D239" s="2" t="n">
        <v>227080</v>
      </c>
      <c r="E239" s="2" t="n">
        <f aca="false">D239/1000</f>
        <v>227.08</v>
      </c>
      <c r="F239" s="10" t="b">
        <f aca="false">FALSE()</f>
        <v>0</v>
      </c>
      <c r="G239" s="0" t="n">
        <v>15</v>
      </c>
      <c r="H239" s="0" t="n">
        <f aca="false">_xlfn.xlookup(G239, years!A$2:A$836, years!B$2:B$836)</f>
        <v>2012</v>
      </c>
      <c r="I239" s="2" t="n">
        <v>71</v>
      </c>
      <c r="J239" s="0" t="n">
        <v>0.616</v>
      </c>
      <c r="K239" s="0" t="n">
        <v>0.656</v>
      </c>
      <c r="L239" s="3" t="str">
        <f aca="false">IF(K239&gt;0.66,"High",IF(K239&gt;0.33&amp;K239&lt;=0.66,"Medium","Low"))</f>
        <v>Low</v>
      </c>
      <c r="M239" s="0" t="n">
        <v>-7.298</v>
      </c>
      <c r="N239" s="3" t="n">
        <v>0.0344</v>
      </c>
      <c r="O239" s="3" t="n">
        <v>0.096</v>
      </c>
      <c r="P239" s="4" t="n">
        <v>0.000879</v>
      </c>
      <c r="Q239" s="3" t="n">
        <v>0.205</v>
      </c>
      <c r="R239" s="3" t="n">
        <v>0.286</v>
      </c>
      <c r="S239" s="3" t="str">
        <f aca="false">IF(R239 &gt;= 0.5, "Positive", "Negative")</f>
        <v>Negative</v>
      </c>
      <c r="T239" s="2" t="n">
        <v>150.071</v>
      </c>
      <c r="U239" s="0" t="s">
        <v>43</v>
      </c>
    </row>
    <row r="240" customFormat="false" ht="14.25" hidden="false" customHeight="false" outlineLevel="0" collapsed="false">
      <c r="A240" s="0" t="n">
        <v>308</v>
      </c>
      <c r="B240" s="0" t="str">
        <f aca="false">_xlfn.xlookup(A240, artists!A$2:A$836, artists!B$2:B$836)</f>
        <v>Arctic Monkeys</v>
      </c>
      <c r="C240" s="1" t="s">
        <v>285</v>
      </c>
      <c r="D240" s="2" t="n">
        <v>172866</v>
      </c>
      <c r="E240" s="2" t="n">
        <f aca="false">D240/1000</f>
        <v>172.866</v>
      </c>
      <c r="F240" s="10" t="b">
        <f aca="false">FALSE()</f>
        <v>0</v>
      </c>
      <c r="G240" s="0" t="n">
        <v>10</v>
      </c>
      <c r="H240" s="0" t="n">
        <f aca="false">_xlfn.xlookup(G240, years!A$2:A$836, years!B$2:B$836)</f>
        <v>2007</v>
      </c>
      <c r="I240" s="2" t="n">
        <v>67</v>
      </c>
      <c r="J240" s="0" t="n">
        <v>0.42</v>
      </c>
      <c r="K240" s="0" t="n">
        <v>0.974</v>
      </c>
      <c r="L240" s="3" t="str">
        <f aca="false">IF(K240&gt;0.66,"High",IF(K240&gt;0.33&amp;K240&lt;=0.66,"Medium","Low"))</f>
        <v>High</v>
      </c>
      <c r="M240" s="0" t="n">
        <v>-4.706</v>
      </c>
      <c r="N240" s="3" t="n">
        <v>0.191</v>
      </c>
      <c r="O240" s="3" t="n">
        <v>8.15E-005</v>
      </c>
      <c r="P240" s="4" t="n">
        <v>0.00155</v>
      </c>
      <c r="Q240" s="3" t="n">
        <v>0.0871</v>
      </c>
      <c r="R240" s="3" t="n">
        <v>0.463</v>
      </c>
      <c r="S240" s="3" t="str">
        <f aca="false">IF(R240 &gt;= 0.5, "Positive", "Negative")</f>
        <v>Negative</v>
      </c>
      <c r="T240" s="2" t="n">
        <v>165.182</v>
      </c>
      <c r="U240" s="0" t="s">
        <v>43</v>
      </c>
    </row>
    <row r="241" customFormat="false" ht="14.25" hidden="false" customHeight="false" outlineLevel="0" collapsed="false">
      <c r="A241" s="0" t="n">
        <v>260</v>
      </c>
      <c r="B241" s="0" t="str">
        <f aca="false">_xlfn.xlookup(A241, artists!A$2:A$836, artists!B$2:B$836)</f>
        <v>T.I.</v>
      </c>
      <c r="C241" s="1" t="s">
        <v>286</v>
      </c>
      <c r="D241" s="2" t="n">
        <v>216706</v>
      </c>
      <c r="E241" s="2" t="n">
        <f aca="false">D241/1000</f>
        <v>216.706</v>
      </c>
      <c r="F241" s="10" t="b">
        <f aca="false">TRUE()</f>
        <v>1</v>
      </c>
      <c r="G241" s="0" t="n">
        <v>7</v>
      </c>
      <c r="H241" s="0" t="n">
        <f aca="false">_xlfn.xlookup(G241, years!A$2:A$836, years!B$2:B$836)</f>
        <v>2004</v>
      </c>
      <c r="I241" s="2" t="n">
        <v>63</v>
      </c>
      <c r="J241" s="0" t="n">
        <v>0.759</v>
      </c>
      <c r="K241" s="0" t="n">
        <v>0.891</v>
      </c>
      <c r="L241" s="3" t="str">
        <f aca="false">IF(K241&gt;0.66,"High",IF(K241&gt;0.33&amp;K241&lt;=0.66,"Medium","Low"))</f>
        <v>High</v>
      </c>
      <c r="M241" s="0" t="n">
        <v>-2.983</v>
      </c>
      <c r="N241" s="3" t="n">
        <v>0.257</v>
      </c>
      <c r="O241" s="3" t="n">
        <v>0.0298</v>
      </c>
      <c r="P241" s="4" t="n">
        <v>0</v>
      </c>
      <c r="Q241" s="3" t="n">
        <v>0.141</v>
      </c>
      <c r="R241" s="3" t="n">
        <v>0.587</v>
      </c>
      <c r="S241" s="3" t="str">
        <f aca="false">IF(R241 &gt;= 0.5, "Positive", "Negative")</f>
        <v>Positive</v>
      </c>
      <c r="T241" s="2" t="n">
        <v>98.579</v>
      </c>
      <c r="U241" s="0" t="s">
        <v>24</v>
      </c>
    </row>
    <row r="242" customFormat="false" ht="14.25" hidden="false" customHeight="false" outlineLevel="0" collapsed="false">
      <c r="A242" s="0" t="n">
        <v>199</v>
      </c>
      <c r="B242" s="0" t="str">
        <f aca="false">_xlfn.xlookup(A242, artists!A$2:A$836, artists!B$2:B$836)</f>
        <v>Evanescence</v>
      </c>
      <c r="C242" s="1" t="s">
        <v>287</v>
      </c>
      <c r="D242" s="2" t="n">
        <v>235893</v>
      </c>
      <c r="E242" s="2" t="n">
        <f aca="false">D242/1000</f>
        <v>235.893</v>
      </c>
      <c r="F242" s="10" t="b">
        <f aca="false">FALSE()</f>
        <v>0</v>
      </c>
      <c r="G242" s="0" t="n">
        <v>6</v>
      </c>
      <c r="H242" s="0" t="n">
        <f aca="false">_xlfn.xlookup(G242, years!A$2:A$836, years!B$2:B$836)</f>
        <v>2003</v>
      </c>
      <c r="I242" s="2" t="n">
        <v>79</v>
      </c>
      <c r="J242" s="0" t="n">
        <v>0.331</v>
      </c>
      <c r="K242" s="0" t="n">
        <v>0.943</v>
      </c>
      <c r="L242" s="3" t="str">
        <f aca="false">IF(K242&gt;0.66,"High",IF(K242&gt;0.33&amp;K242&lt;=0.66,"Medium","Low"))</f>
        <v>High</v>
      </c>
      <c r="M242" s="0" t="n">
        <v>-3.188</v>
      </c>
      <c r="N242" s="3" t="n">
        <v>0.0698</v>
      </c>
      <c r="O242" s="3" t="n">
        <v>0.00721</v>
      </c>
      <c r="P242" s="4" t="n">
        <v>2.06E-006</v>
      </c>
      <c r="Q242" s="3" t="n">
        <v>0.242</v>
      </c>
      <c r="R242" s="3" t="n">
        <v>0.296</v>
      </c>
      <c r="S242" s="3" t="str">
        <f aca="false">IF(R242 &gt;= 0.5, "Positive", "Negative")</f>
        <v>Negative</v>
      </c>
      <c r="T242" s="2" t="n">
        <v>94.612</v>
      </c>
      <c r="U242" s="0" t="s">
        <v>27</v>
      </c>
    </row>
    <row r="243" customFormat="false" ht="14.25" hidden="false" customHeight="false" outlineLevel="0" collapsed="false">
      <c r="A243" s="0" t="n">
        <v>353</v>
      </c>
      <c r="B243" s="0" t="str">
        <f aca="false">_xlfn.xlookup(A243, artists!A$2:A$836, artists!B$2:B$836)</f>
        <v>James Morrison</v>
      </c>
      <c r="C243" s="1" t="s">
        <v>288</v>
      </c>
      <c r="D243" s="2" t="n">
        <v>250453</v>
      </c>
      <c r="E243" s="2" t="n">
        <f aca="false">D243/1000</f>
        <v>250.453</v>
      </c>
      <c r="F243" s="10" t="b">
        <f aca="false">FALSE()</f>
        <v>0</v>
      </c>
      <c r="G243" s="0" t="n">
        <v>11</v>
      </c>
      <c r="H243" s="0" t="n">
        <f aca="false">_xlfn.xlookup(G243, years!A$2:A$836, years!B$2:B$836)</f>
        <v>2008</v>
      </c>
      <c r="I243" s="2" t="n">
        <v>70</v>
      </c>
      <c r="J243" s="0" t="n">
        <v>0.57</v>
      </c>
      <c r="K243" s="0" t="n">
        <v>0.717</v>
      </c>
      <c r="L243" s="3" t="str">
        <f aca="false">IF(K243&gt;0.66,"High",IF(K243&gt;0.33&amp;K243&lt;=0.66,"Medium","Low"))</f>
        <v>High</v>
      </c>
      <c r="M243" s="0" t="n">
        <v>-4.914</v>
      </c>
      <c r="N243" s="3" t="n">
        <v>0.029</v>
      </c>
      <c r="O243" s="3" t="n">
        <v>0.00967</v>
      </c>
      <c r="P243" s="4" t="n">
        <v>0</v>
      </c>
      <c r="Q243" s="3" t="n">
        <v>0.0833</v>
      </c>
      <c r="R243" s="3" t="n">
        <v>0.321</v>
      </c>
      <c r="S243" s="3" t="str">
        <f aca="false">IF(R243 &gt;= 0.5, "Positive", "Negative")</f>
        <v>Negative</v>
      </c>
      <c r="T243" s="2" t="n">
        <v>111.91</v>
      </c>
      <c r="U243" s="0" t="s">
        <v>33</v>
      </c>
    </row>
    <row r="244" customFormat="false" ht="14.25" hidden="false" customHeight="false" outlineLevel="0" collapsed="false">
      <c r="A244" s="0" t="n">
        <v>461</v>
      </c>
      <c r="B244" s="0" t="str">
        <f aca="false">_xlfn.xlookup(A244, artists!A$2:A$836, artists!B$2:B$836)</f>
        <v>La Roux</v>
      </c>
      <c r="C244" s="1" t="s">
        <v>289</v>
      </c>
      <c r="D244" s="2" t="n">
        <v>205733</v>
      </c>
      <c r="E244" s="2" t="n">
        <f aca="false">D244/1000</f>
        <v>205.733</v>
      </c>
      <c r="F244" s="10" t="b">
        <f aca="false">FALSE()</f>
        <v>0</v>
      </c>
      <c r="G244" s="0" t="n">
        <v>12</v>
      </c>
      <c r="H244" s="0" t="n">
        <f aca="false">_xlfn.xlookup(G244, years!A$2:A$836, years!B$2:B$836)</f>
        <v>2009</v>
      </c>
      <c r="I244" s="2" t="n">
        <v>71</v>
      </c>
      <c r="J244" s="0" t="n">
        <v>0.674</v>
      </c>
      <c r="K244" s="0" t="n">
        <v>0.882</v>
      </c>
      <c r="L244" s="3" t="str">
        <f aca="false">IF(K244&gt;0.66,"High",IF(K244&gt;0.33&amp;K244&lt;=0.66,"Medium","Low"))</f>
        <v>High</v>
      </c>
      <c r="M244" s="0" t="n">
        <v>-2.771</v>
      </c>
      <c r="N244" s="3" t="n">
        <v>0.0477</v>
      </c>
      <c r="O244" s="3" t="n">
        <v>0.000441</v>
      </c>
      <c r="P244" s="4" t="n">
        <v>6.47E-005</v>
      </c>
      <c r="Q244" s="3" t="n">
        <v>0.068</v>
      </c>
      <c r="R244" s="3" t="n">
        <v>0.682</v>
      </c>
      <c r="S244" s="3" t="str">
        <f aca="false">IF(R244 &gt;= 0.5, "Positive", "Negative")</f>
        <v>Positive</v>
      </c>
      <c r="T244" s="2" t="n">
        <v>123.016</v>
      </c>
      <c r="U244" s="0" t="s">
        <v>22</v>
      </c>
    </row>
    <row r="245" customFormat="false" ht="14.25" hidden="false" customHeight="false" outlineLevel="0" collapsed="false">
      <c r="A245" s="0" t="n">
        <v>1</v>
      </c>
      <c r="B245" s="0" t="str">
        <f aca="false">_xlfn.xlookup(A245, artists!A$2:A$836, artists!B$2:B$836)</f>
        <v>Britney Spears</v>
      </c>
      <c r="C245" s="1" t="s">
        <v>290</v>
      </c>
      <c r="D245" s="2" t="n">
        <v>223773</v>
      </c>
      <c r="E245" s="2" t="n">
        <f aca="false">D245/1000</f>
        <v>223.773</v>
      </c>
      <c r="F245" s="10" t="b">
        <f aca="false">FALSE()</f>
        <v>0</v>
      </c>
      <c r="G245" s="0" t="n">
        <v>6</v>
      </c>
      <c r="H245" s="0" t="n">
        <f aca="false">_xlfn.xlookup(G245, years!A$2:A$836, years!B$2:B$836)</f>
        <v>2003</v>
      </c>
      <c r="I245" s="2" t="n">
        <v>59</v>
      </c>
      <c r="J245" s="0" t="n">
        <v>0.804</v>
      </c>
      <c r="K245" s="0" t="n">
        <v>0.836</v>
      </c>
      <c r="L245" s="3" t="str">
        <f aca="false">IF(K245&gt;0.66,"High",IF(K245&gt;0.33&amp;K245&lt;=0.66,"Medium","Low"))</f>
        <v>High</v>
      </c>
      <c r="M245" s="0" t="n">
        <v>-6.635</v>
      </c>
      <c r="N245" s="3" t="n">
        <v>0.089</v>
      </c>
      <c r="O245" s="3" t="n">
        <v>0.32</v>
      </c>
      <c r="P245" s="4" t="n">
        <v>0</v>
      </c>
      <c r="Q245" s="3" t="n">
        <v>0.213</v>
      </c>
      <c r="R245" s="3" t="n">
        <v>0.85</v>
      </c>
      <c r="S245" s="3" t="str">
        <f aca="false">IF(R245 &gt;= 0.5, "Positive", "Negative")</f>
        <v>Positive</v>
      </c>
      <c r="T245" s="2" t="n">
        <v>120.046</v>
      </c>
      <c r="U245" s="0" t="s">
        <v>39</v>
      </c>
    </row>
    <row r="246" customFormat="false" ht="14.25" hidden="false" customHeight="false" outlineLevel="0" collapsed="false">
      <c r="A246" s="0" t="n">
        <v>498</v>
      </c>
      <c r="B246" s="0" t="str">
        <f aca="false">_xlfn.xlookup(A246, artists!A$2:A$836, artists!B$2:B$836)</f>
        <v>Ellie Goulding</v>
      </c>
      <c r="C246" s="1" t="s">
        <v>291</v>
      </c>
      <c r="D246" s="2" t="n">
        <v>231211</v>
      </c>
      <c r="E246" s="2" t="n">
        <f aca="false">D246/1000</f>
        <v>231.211</v>
      </c>
      <c r="F246" s="10" t="b">
        <f aca="false">FALSE()</f>
        <v>0</v>
      </c>
      <c r="G246" s="0" t="n">
        <v>17</v>
      </c>
      <c r="H246" s="0" t="n">
        <f aca="false">_xlfn.xlookup(G246, years!A$2:A$836, years!B$2:B$836)</f>
        <v>2014</v>
      </c>
      <c r="I246" s="2" t="n">
        <v>70</v>
      </c>
      <c r="J246" s="0" t="n">
        <v>0.559</v>
      </c>
      <c r="K246" s="0" t="n">
        <v>0.777</v>
      </c>
      <c r="L246" s="3" t="str">
        <f aca="false">IF(K246&gt;0.66,"High",IF(K246&gt;0.33&amp;K246&lt;=0.66,"Medium","Low"))</f>
        <v>High</v>
      </c>
      <c r="M246" s="0" t="n">
        <v>-5.031</v>
      </c>
      <c r="N246" s="3" t="n">
        <v>0.0432</v>
      </c>
      <c r="O246" s="3" t="n">
        <v>0.31</v>
      </c>
      <c r="P246" s="4" t="n">
        <v>0</v>
      </c>
      <c r="Q246" s="3" t="n">
        <v>0.105</v>
      </c>
      <c r="R246" s="3" t="n">
        <v>0.329</v>
      </c>
      <c r="S246" s="3" t="str">
        <f aca="false">IF(R246 &gt;= 0.5, "Positive", "Negative")</f>
        <v>Negative</v>
      </c>
      <c r="T246" s="2" t="n">
        <v>87.016</v>
      </c>
      <c r="U246" s="0" t="s">
        <v>292</v>
      </c>
    </row>
    <row r="247" customFormat="false" ht="14.25" hidden="false" customHeight="false" outlineLevel="0" collapsed="false">
      <c r="A247" s="0" t="n">
        <v>20</v>
      </c>
      <c r="B247" s="0" t="str">
        <f aca="false">_xlfn.xlookup(A247, artists!A$2:A$836, artists!B$2:B$836)</f>
        <v>Linkin Park</v>
      </c>
      <c r="C247" s="1" t="s">
        <v>293</v>
      </c>
      <c r="D247" s="2" t="n">
        <v>230253</v>
      </c>
      <c r="E247" s="2" t="n">
        <f aca="false">D247/1000</f>
        <v>230.253</v>
      </c>
      <c r="F247" s="10" t="b">
        <f aca="false">FALSE()</f>
        <v>0</v>
      </c>
      <c r="G247" s="0" t="n">
        <v>15</v>
      </c>
      <c r="H247" s="0" t="n">
        <f aca="false">_xlfn.xlookup(G247, years!A$2:A$836, years!B$2:B$836)</f>
        <v>2012</v>
      </c>
      <c r="I247" s="2" t="n">
        <v>73</v>
      </c>
      <c r="J247" s="0" t="n">
        <v>0.585</v>
      </c>
      <c r="K247" s="0" t="n">
        <v>0.972</v>
      </c>
      <c r="L247" s="3" t="str">
        <f aca="false">IF(K247&gt;0.66,"High",IF(K247&gt;0.33&amp;K247&lt;=0.66,"Medium","Low"))</f>
        <v>High</v>
      </c>
      <c r="M247" s="0" t="n">
        <v>-4.45</v>
      </c>
      <c r="N247" s="3" t="n">
        <v>0.0534</v>
      </c>
      <c r="O247" s="3" t="n">
        <v>0.0143</v>
      </c>
      <c r="P247" s="4" t="n">
        <v>0</v>
      </c>
      <c r="Q247" s="3" t="n">
        <v>0.0707</v>
      </c>
      <c r="R247" s="3" t="n">
        <v>0.585</v>
      </c>
      <c r="S247" s="3" t="str">
        <f aca="false">IF(R247 &gt;= 0.5, "Positive", "Negative")</f>
        <v>Positive</v>
      </c>
      <c r="T247" s="2" t="n">
        <v>110.006</v>
      </c>
      <c r="U247" s="0" t="s">
        <v>81</v>
      </c>
    </row>
    <row r="248" customFormat="false" ht="14.25" hidden="false" customHeight="false" outlineLevel="0" collapsed="false">
      <c r="A248" s="0" t="n">
        <v>434</v>
      </c>
      <c r="B248" s="0" t="str">
        <f aca="false">_xlfn.xlookup(A248, artists!A$2:A$836, artists!B$2:B$836)</f>
        <v>Jonas Brothers</v>
      </c>
      <c r="C248" s="1" t="s">
        <v>294</v>
      </c>
      <c r="D248" s="2" t="n">
        <v>175093</v>
      </c>
      <c r="E248" s="2" t="n">
        <f aca="false">D248/1000</f>
        <v>175.093</v>
      </c>
      <c r="F248" s="10" t="b">
        <f aca="false">FALSE()</f>
        <v>0</v>
      </c>
      <c r="G248" s="0" t="n">
        <v>11</v>
      </c>
      <c r="H248" s="0" t="n">
        <f aca="false">_xlfn.xlookup(G248, years!A$2:A$836, years!B$2:B$836)</f>
        <v>2008</v>
      </c>
      <c r="I248" s="2" t="n">
        <v>68</v>
      </c>
      <c r="J248" s="0" t="n">
        <v>0.667</v>
      </c>
      <c r="K248" s="0" t="n">
        <v>0.954</v>
      </c>
      <c r="L248" s="3" t="str">
        <f aca="false">IF(K248&gt;0.66,"High",IF(K248&gt;0.33&amp;K248&lt;=0.66,"Medium","Low"))</f>
        <v>High</v>
      </c>
      <c r="M248" s="0" t="n">
        <v>-3.462</v>
      </c>
      <c r="N248" s="3" t="n">
        <v>0.0817</v>
      </c>
      <c r="O248" s="3" t="n">
        <v>0.0296</v>
      </c>
      <c r="P248" s="4" t="n">
        <v>0</v>
      </c>
      <c r="Q248" s="3" t="n">
        <v>0.331</v>
      </c>
      <c r="R248" s="3" t="n">
        <v>0.807</v>
      </c>
      <c r="S248" s="3" t="str">
        <f aca="false">IF(R248 &gt;= 0.5, "Positive", "Negative")</f>
        <v>Positive</v>
      </c>
      <c r="T248" s="2" t="n">
        <v>114.03</v>
      </c>
      <c r="U248" s="0" t="s">
        <v>39</v>
      </c>
    </row>
    <row r="249" customFormat="false" ht="14.25" hidden="false" customHeight="false" outlineLevel="0" collapsed="false">
      <c r="A249" s="0" t="n">
        <v>721</v>
      </c>
      <c r="B249" s="0" t="str">
        <f aca="false">_xlfn.xlookup(A249, artists!A$2:A$836, artists!B$2:B$836)</f>
        <v>Billie Eilish</v>
      </c>
      <c r="C249" s="1" t="s">
        <v>295</v>
      </c>
      <c r="D249" s="2" t="n">
        <v>193143</v>
      </c>
      <c r="E249" s="2" t="n">
        <f aca="false">D249/1000</f>
        <v>193.143</v>
      </c>
      <c r="F249" s="10" t="b">
        <f aca="false">FALSE()</f>
        <v>0</v>
      </c>
      <c r="G249" s="0" t="n">
        <v>22</v>
      </c>
      <c r="H249" s="0" t="n">
        <f aca="false">_xlfn.xlookup(G249, years!A$2:A$836, years!B$2:B$836)</f>
        <v>2019</v>
      </c>
      <c r="I249" s="2" t="n">
        <v>75</v>
      </c>
      <c r="J249" s="0" t="n">
        <v>0.905</v>
      </c>
      <c r="K249" s="0" t="n">
        <v>0.389</v>
      </c>
      <c r="L249" s="3" t="str">
        <f aca="false">IF(K249&gt;0.66,"High",IF(K249&gt;0.33&amp;K249&lt;=0.66,"Medium","Low"))</f>
        <v>Low</v>
      </c>
      <c r="M249" s="0" t="n">
        <v>-14.505</v>
      </c>
      <c r="N249" s="3" t="n">
        <v>0.332</v>
      </c>
      <c r="O249" s="3" t="n">
        <v>0.74</v>
      </c>
      <c r="P249" s="4" t="n">
        <v>0.162</v>
      </c>
      <c r="Q249" s="3" t="n">
        <v>0.106</v>
      </c>
      <c r="R249" s="3" t="n">
        <v>0.196</v>
      </c>
      <c r="S249" s="3" t="str">
        <f aca="false">IF(R249 &gt;= 0.5, "Positive", "Negative")</f>
        <v>Negative</v>
      </c>
      <c r="T249" s="2" t="n">
        <v>120.046</v>
      </c>
      <c r="U249" s="0" t="s">
        <v>22</v>
      </c>
    </row>
    <row r="250" customFormat="false" ht="14.25" hidden="false" customHeight="false" outlineLevel="0" collapsed="false">
      <c r="A250" s="0" t="n">
        <v>383</v>
      </c>
      <c r="B250" s="0" t="str">
        <f aca="false">_xlfn.xlookup(A250, artists!A$2:A$836, artists!B$2:B$836)</f>
        <v>Plies</v>
      </c>
      <c r="C250" s="1" t="s">
        <v>296</v>
      </c>
      <c r="D250" s="2" t="n">
        <v>240760</v>
      </c>
      <c r="E250" s="2" t="n">
        <f aca="false">D250/1000</f>
        <v>240.76</v>
      </c>
      <c r="F250" s="10" t="b">
        <f aca="false">TRUE()</f>
        <v>1</v>
      </c>
      <c r="G250" s="0" t="n">
        <v>11</v>
      </c>
      <c r="H250" s="0" t="n">
        <f aca="false">_xlfn.xlookup(G250, years!A$2:A$836, years!B$2:B$836)</f>
        <v>2008</v>
      </c>
      <c r="I250" s="2" t="n">
        <v>61</v>
      </c>
      <c r="J250" s="0" t="n">
        <v>0.648</v>
      </c>
      <c r="K250" s="0" t="n">
        <v>0.801</v>
      </c>
      <c r="L250" s="3" t="str">
        <f aca="false">IF(K250&gt;0.66,"High",IF(K250&gt;0.33&amp;K250&lt;=0.66,"Medium","Low"))</f>
        <v>High</v>
      </c>
      <c r="M250" s="0" t="n">
        <v>-7.24</v>
      </c>
      <c r="N250" s="3" t="n">
        <v>0.167</v>
      </c>
      <c r="O250" s="3" t="n">
        <v>0.154</v>
      </c>
      <c r="P250" s="4" t="n">
        <v>0</v>
      </c>
      <c r="Q250" s="3" t="n">
        <v>0.339</v>
      </c>
      <c r="R250" s="3" t="n">
        <v>0.807</v>
      </c>
      <c r="S250" s="3" t="str">
        <f aca="false">IF(R250 &gt;= 0.5, "Positive", "Negative")</f>
        <v>Positive</v>
      </c>
      <c r="T250" s="2" t="n">
        <v>78.946</v>
      </c>
      <c r="U250" s="0" t="s">
        <v>31</v>
      </c>
    </row>
    <row r="251" customFormat="false" ht="14.25" hidden="false" customHeight="false" outlineLevel="0" collapsed="false">
      <c r="A251" s="0" t="n">
        <v>97</v>
      </c>
      <c r="B251" s="0" t="str">
        <f aca="false">_xlfn.xlookup(A251, artists!A$2:A$836, artists!B$2:B$836)</f>
        <v>Crazy Town</v>
      </c>
      <c r="C251" s="1" t="s">
        <v>297</v>
      </c>
      <c r="D251" s="2" t="n">
        <v>216733</v>
      </c>
      <c r="E251" s="2" t="n">
        <f aca="false">D251/1000</f>
        <v>216.733</v>
      </c>
      <c r="F251" s="10" t="b">
        <f aca="false">FALSE()</f>
        <v>0</v>
      </c>
      <c r="G251" s="0" t="n">
        <v>2</v>
      </c>
      <c r="H251" s="0" t="n">
        <f aca="false">_xlfn.xlookup(G251, years!A$2:A$836, years!B$2:B$836)</f>
        <v>1999</v>
      </c>
      <c r="I251" s="2" t="n">
        <v>71</v>
      </c>
      <c r="J251" s="0" t="n">
        <v>0.736</v>
      </c>
      <c r="K251" s="0" t="n">
        <v>0.811</v>
      </c>
      <c r="L251" s="3" t="str">
        <f aca="false">IF(K251&gt;0.66,"High",IF(K251&gt;0.33&amp;K251&lt;=0.66,"Medium","Low"))</f>
        <v>High</v>
      </c>
      <c r="M251" s="0" t="n">
        <v>-4.17</v>
      </c>
      <c r="N251" s="3" t="n">
        <v>0.081</v>
      </c>
      <c r="O251" s="3" t="n">
        <v>0.00132</v>
      </c>
      <c r="P251" s="4" t="n">
        <v>0.000142</v>
      </c>
      <c r="Q251" s="3" t="n">
        <v>0.107</v>
      </c>
      <c r="R251" s="3" t="n">
        <v>0.609</v>
      </c>
      <c r="S251" s="3" t="str">
        <f aca="false">IF(R251 &gt;= 0.5, "Positive", "Negative")</f>
        <v>Positive</v>
      </c>
      <c r="T251" s="2" t="n">
        <v>103.502</v>
      </c>
      <c r="U251" s="0" t="s">
        <v>81</v>
      </c>
    </row>
    <row r="252" customFormat="false" ht="14.25" hidden="false" customHeight="false" outlineLevel="0" collapsed="false">
      <c r="A252" s="0" t="n">
        <v>658</v>
      </c>
      <c r="B252" s="0" t="str">
        <f aca="false">_xlfn.xlookup(A252, artists!A$2:A$836, artists!B$2:B$836)</f>
        <v>Travis Scott</v>
      </c>
      <c r="C252" s="1" t="s">
        <v>298</v>
      </c>
      <c r="D252" s="2" t="n">
        <v>190677</v>
      </c>
      <c r="E252" s="2" t="n">
        <f aca="false">D252/1000</f>
        <v>190.677</v>
      </c>
      <c r="F252" s="10" t="b">
        <f aca="false">FALSE()</f>
        <v>0</v>
      </c>
      <c r="G252" s="0" t="n">
        <v>20</v>
      </c>
      <c r="H252" s="0" t="n">
        <f aca="false">_xlfn.xlookup(G252, years!A$2:A$836, years!B$2:B$836)</f>
        <v>2017</v>
      </c>
      <c r="I252" s="2" t="n">
        <v>0</v>
      </c>
      <c r="J252" s="0" t="n">
        <v>0.763</v>
      </c>
      <c r="K252" s="0" t="n">
        <v>0.598</v>
      </c>
      <c r="L252" s="3" t="str">
        <f aca="false">IF(K252&gt;0.66,"High",IF(K252&gt;0.33&amp;K252&lt;=0.66,"Medium","Low"))</f>
        <v>Low</v>
      </c>
      <c r="M252" s="0" t="n">
        <v>-6.865</v>
      </c>
      <c r="N252" s="3" t="n">
        <v>0.0539</v>
      </c>
      <c r="O252" s="3" t="n">
        <v>0.0714</v>
      </c>
      <c r="P252" s="4" t="n">
        <v>0</v>
      </c>
      <c r="Q252" s="3" t="n">
        <v>0.112</v>
      </c>
      <c r="R252" s="3" t="n">
        <v>0.182</v>
      </c>
      <c r="S252" s="3" t="str">
        <f aca="false">IF(R252 &gt;= 0.5, "Positive", "Negative")</f>
        <v>Negative</v>
      </c>
      <c r="T252" s="2" t="n">
        <v>140.987</v>
      </c>
      <c r="U252" s="0" t="s">
        <v>143</v>
      </c>
    </row>
    <row r="253" customFormat="false" ht="14.25" hidden="false" customHeight="false" outlineLevel="0" collapsed="false">
      <c r="A253" s="0" t="n">
        <v>285</v>
      </c>
      <c r="B253" s="0" t="str">
        <f aca="false">_xlfn.xlookup(A253, artists!A$2:A$836, artists!B$2:B$836)</f>
        <v>The Pussycat Dolls</v>
      </c>
      <c r="C253" s="1" t="s">
        <v>299</v>
      </c>
      <c r="D253" s="2" t="n">
        <v>225560</v>
      </c>
      <c r="E253" s="2" t="n">
        <f aca="false">D253/1000</f>
        <v>225.56</v>
      </c>
      <c r="F253" s="10" t="b">
        <f aca="false">FALSE()</f>
        <v>0</v>
      </c>
      <c r="G253" s="0" t="n">
        <v>8</v>
      </c>
      <c r="H253" s="0" t="n">
        <f aca="false">_xlfn.xlookup(G253, years!A$2:A$836, years!B$2:B$836)</f>
        <v>2005</v>
      </c>
      <c r="I253" s="2" t="n">
        <v>68</v>
      </c>
      <c r="J253" s="0" t="n">
        <v>0.565</v>
      </c>
      <c r="K253" s="0" t="n">
        <v>0.817</v>
      </c>
      <c r="L253" s="3" t="str">
        <f aca="false">IF(K253&gt;0.66,"High",IF(K253&gt;0.33&amp;K253&lt;=0.66,"Medium","Low"))</f>
        <v>High</v>
      </c>
      <c r="M253" s="0" t="n">
        <v>-4.338</v>
      </c>
      <c r="N253" s="3" t="n">
        <v>0.27</v>
      </c>
      <c r="O253" s="3" t="n">
        <v>0.152</v>
      </c>
      <c r="P253" s="4" t="n">
        <v>0</v>
      </c>
      <c r="Q253" s="3" t="n">
        <v>0.247</v>
      </c>
      <c r="R253" s="3" t="n">
        <v>0.477</v>
      </c>
      <c r="S253" s="3" t="str">
        <f aca="false">IF(R253 &gt;= 0.5, "Positive", "Negative")</f>
        <v>Negative</v>
      </c>
      <c r="T253" s="2" t="n">
        <v>210.851</v>
      </c>
      <c r="U253" s="0" t="s">
        <v>33</v>
      </c>
    </row>
    <row r="254" customFormat="false" ht="14.25" hidden="false" customHeight="false" outlineLevel="0" collapsed="false">
      <c r="A254" s="0" t="n">
        <v>310</v>
      </c>
      <c r="B254" s="0" t="str">
        <f aca="false">_xlfn.xlookup(A254, artists!A$2:A$836, artists!B$2:B$836)</f>
        <v>T-Pain</v>
      </c>
      <c r="C254" s="1" t="s">
        <v>300</v>
      </c>
      <c r="D254" s="2" t="n">
        <v>227960</v>
      </c>
      <c r="E254" s="2" t="n">
        <f aca="false">D254/1000</f>
        <v>227.96</v>
      </c>
      <c r="F254" s="10" t="b">
        <f aca="false">FALSE()</f>
        <v>0</v>
      </c>
      <c r="G254" s="0" t="n">
        <v>10</v>
      </c>
      <c r="H254" s="0" t="n">
        <f aca="false">_xlfn.xlookup(G254, years!A$2:A$836, years!B$2:B$836)</f>
        <v>2007</v>
      </c>
      <c r="I254" s="2" t="n">
        <v>2</v>
      </c>
      <c r="J254" s="0" t="n">
        <v>0.451</v>
      </c>
      <c r="K254" s="0" t="n">
        <v>0.55</v>
      </c>
      <c r="L254" s="3" t="str">
        <f aca="false">IF(K254&gt;0.66,"High",IF(K254&gt;0.33&amp;K254&lt;=0.66,"Medium","Low"))</f>
        <v>Low</v>
      </c>
      <c r="M254" s="0" t="n">
        <v>-8.137</v>
      </c>
      <c r="N254" s="3" t="n">
        <v>0.262</v>
      </c>
      <c r="O254" s="3" t="n">
        <v>0.0108</v>
      </c>
      <c r="P254" s="4" t="n">
        <v>0</v>
      </c>
      <c r="Q254" s="3" t="n">
        <v>0.0737</v>
      </c>
      <c r="R254" s="3" t="n">
        <v>0.594</v>
      </c>
      <c r="S254" s="3" t="str">
        <f aca="false">IF(R254 &gt;= 0.5, "Positive", "Negative")</f>
        <v>Positive</v>
      </c>
      <c r="T254" s="2" t="n">
        <v>80.001</v>
      </c>
      <c r="U254" s="0" t="s">
        <v>31</v>
      </c>
    </row>
    <row r="255" customFormat="false" ht="14.25" hidden="false" customHeight="false" outlineLevel="0" collapsed="false">
      <c r="A255" s="0" t="n">
        <v>519</v>
      </c>
      <c r="B255" s="0" t="str">
        <f aca="false">_xlfn.xlookup(A255, artists!A$2:A$836, artists!B$2:B$836)</f>
        <v>Mann</v>
      </c>
      <c r="C255" s="1" t="s">
        <v>301</v>
      </c>
      <c r="D255" s="2" t="n">
        <v>224333</v>
      </c>
      <c r="E255" s="2" t="n">
        <f aca="false">D255/1000</f>
        <v>224.333</v>
      </c>
      <c r="F255" s="10" t="b">
        <f aca="false">TRUE()</f>
        <v>1</v>
      </c>
      <c r="G255" s="0" t="n">
        <v>14</v>
      </c>
      <c r="H255" s="0" t="n">
        <f aca="false">_xlfn.xlookup(G255, years!A$2:A$836, years!B$2:B$836)</f>
        <v>2011</v>
      </c>
      <c r="I255" s="2" t="n">
        <v>48</v>
      </c>
      <c r="J255" s="0" t="n">
        <v>0.687</v>
      </c>
      <c r="K255" s="0" t="n">
        <v>0.939</v>
      </c>
      <c r="L255" s="3" t="str">
        <f aca="false">IF(K255&gt;0.66,"High",IF(K255&gt;0.33&amp;K255&lt;=0.66,"Medium","Low"))</f>
        <v>High</v>
      </c>
      <c r="M255" s="0" t="n">
        <v>-4.372</v>
      </c>
      <c r="N255" s="3" t="n">
        <v>0.146</v>
      </c>
      <c r="O255" s="3" t="n">
        <v>0.0887</v>
      </c>
      <c r="P255" s="4" t="n">
        <v>0</v>
      </c>
      <c r="Q255" s="3" t="n">
        <v>0.283</v>
      </c>
      <c r="R255" s="3" t="n">
        <v>0.539</v>
      </c>
      <c r="S255" s="3" t="str">
        <f aca="false">IF(R255 &gt;= 0.5, "Positive", "Negative")</f>
        <v>Positive</v>
      </c>
      <c r="T255" s="2" t="n">
        <v>104.029</v>
      </c>
      <c r="U255" s="0" t="s">
        <v>24</v>
      </c>
    </row>
    <row r="256" customFormat="false" ht="14.25" hidden="false" customHeight="false" outlineLevel="0" collapsed="false">
      <c r="A256" s="0" t="n">
        <v>58</v>
      </c>
      <c r="B256" s="0" t="str">
        <f aca="false">_xlfn.xlookup(A256, artists!A$2:A$836, artists!B$2:B$836)</f>
        <v>Red Hot Chili Peppers</v>
      </c>
      <c r="C256" s="1" t="s">
        <v>302</v>
      </c>
      <c r="D256" s="2" t="n">
        <v>216933</v>
      </c>
      <c r="E256" s="2" t="n">
        <f aca="false">D256/1000</f>
        <v>216.933</v>
      </c>
      <c r="F256" s="10" t="b">
        <f aca="false">FALSE()</f>
        <v>0</v>
      </c>
      <c r="G256" s="0" t="n">
        <v>5</v>
      </c>
      <c r="H256" s="0" t="n">
        <f aca="false">_xlfn.xlookup(G256, years!A$2:A$836, years!B$2:B$836)</f>
        <v>2002</v>
      </c>
      <c r="I256" s="2" t="n">
        <v>73</v>
      </c>
      <c r="J256" s="0" t="n">
        <v>0.451</v>
      </c>
      <c r="K256" s="0" t="n">
        <v>0.97</v>
      </c>
      <c r="L256" s="3" t="str">
        <f aca="false">IF(K256&gt;0.66,"High",IF(K256&gt;0.33&amp;K256&lt;=0.66,"Medium","Low"))</f>
        <v>High</v>
      </c>
      <c r="M256" s="0" t="n">
        <v>-4.938</v>
      </c>
      <c r="N256" s="3" t="n">
        <v>0.107</v>
      </c>
      <c r="O256" s="3" t="n">
        <v>0.0264</v>
      </c>
      <c r="P256" s="4" t="n">
        <v>0.00355</v>
      </c>
      <c r="Q256" s="3" t="n">
        <v>0.102</v>
      </c>
      <c r="R256" s="3" t="n">
        <v>0.198</v>
      </c>
      <c r="S256" s="3" t="str">
        <f aca="false">IF(R256 &gt;= 0.5, "Positive", "Negative")</f>
        <v>Negative</v>
      </c>
      <c r="T256" s="2" t="n">
        <v>122.444</v>
      </c>
      <c r="U256" s="0" t="s">
        <v>43</v>
      </c>
    </row>
    <row r="257" customFormat="false" ht="14.25" hidden="false" customHeight="false" outlineLevel="0" collapsed="false">
      <c r="A257" s="0" t="n">
        <v>5</v>
      </c>
      <c r="B257" s="0" t="str">
        <f aca="false">_xlfn.xlookup(A257, artists!A$2:A$836, artists!B$2:B$836)</f>
        <v>*NSYNC</v>
      </c>
      <c r="C257" s="1" t="s">
        <v>303</v>
      </c>
      <c r="D257" s="2" t="n">
        <v>200560</v>
      </c>
      <c r="E257" s="2" t="n">
        <f aca="false">D257/1000</f>
        <v>200.56</v>
      </c>
      <c r="F257" s="10" t="b">
        <f aca="false">FALSE()</f>
        <v>0</v>
      </c>
      <c r="G257" s="0" t="n">
        <v>3</v>
      </c>
      <c r="H257" s="0" t="n">
        <f aca="false">_xlfn.xlookup(G257, years!A$2:A$836, years!B$2:B$836)</f>
        <v>2000</v>
      </c>
      <c r="I257" s="2" t="n">
        <v>65</v>
      </c>
      <c r="J257" s="0" t="n">
        <v>0.614</v>
      </c>
      <c r="K257" s="0" t="n">
        <v>0.928</v>
      </c>
      <c r="L257" s="3" t="str">
        <f aca="false">IF(K257&gt;0.66,"High",IF(K257&gt;0.33&amp;K257&lt;=0.66,"Medium","Low"))</f>
        <v>High</v>
      </c>
      <c r="M257" s="0" t="n">
        <v>-4.806</v>
      </c>
      <c r="N257" s="3" t="n">
        <v>0.0516</v>
      </c>
      <c r="O257" s="3" t="n">
        <v>0.0408</v>
      </c>
      <c r="P257" s="4" t="n">
        <v>0.00104</v>
      </c>
      <c r="Q257" s="3" t="n">
        <v>0.0845</v>
      </c>
      <c r="R257" s="3" t="n">
        <v>0.879</v>
      </c>
      <c r="S257" s="3" t="str">
        <f aca="false">IF(R257 &gt;= 0.5, "Positive", "Negative")</f>
        <v>Positive</v>
      </c>
      <c r="T257" s="2" t="n">
        <v>172.656</v>
      </c>
      <c r="U257" s="0" t="s">
        <v>39</v>
      </c>
    </row>
    <row r="258" customFormat="false" ht="14.25" hidden="false" customHeight="false" outlineLevel="0" collapsed="false">
      <c r="A258" s="0" t="n">
        <v>676</v>
      </c>
      <c r="B258" s="0" t="str">
        <f aca="false">_xlfn.xlookup(A258, artists!A$2:A$836, artists!B$2:B$836)</f>
        <v>Jack Ü</v>
      </c>
      <c r="C258" s="1" t="s">
        <v>304</v>
      </c>
      <c r="D258" s="2" t="n">
        <v>250285</v>
      </c>
      <c r="E258" s="2" t="n">
        <f aca="false">D258/1000</f>
        <v>250.285</v>
      </c>
      <c r="F258" s="10" t="b">
        <f aca="false">FALSE()</f>
        <v>0</v>
      </c>
      <c r="G258" s="0" t="n">
        <v>18</v>
      </c>
      <c r="H258" s="0" t="n">
        <f aca="false">_xlfn.xlookup(G258, years!A$2:A$836, years!B$2:B$836)</f>
        <v>2015</v>
      </c>
      <c r="I258" s="2" t="n">
        <v>74</v>
      </c>
      <c r="J258" s="0" t="n">
        <v>0.432</v>
      </c>
      <c r="K258" s="0" t="n">
        <v>0.781</v>
      </c>
      <c r="L258" s="3" t="str">
        <f aca="false">IF(K258&gt;0.66,"High",IF(K258&gt;0.33&amp;K258&lt;=0.66,"Medium","Low"))</f>
        <v>High</v>
      </c>
      <c r="M258" s="0" t="n">
        <v>-4.038</v>
      </c>
      <c r="N258" s="3" t="n">
        <v>0.0567</v>
      </c>
      <c r="O258" s="3" t="n">
        <v>0.041</v>
      </c>
      <c r="P258" s="4" t="n">
        <v>4.21E-006</v>
      </c>
      <c r="Q258" s="3" t="n">
        <v>0.0789</v>
      </c>
      <c r="R258" s="3" t="n">
        <v>0.197</v>
      </c>
      <c r="S258" s="3" t="str">
        <f aca="false">IF(R258 &gt;= 0.5, "Positive", "Negative")</f>
        <v>Negative</v>
      </c>
      <c r="T258" s="2" t="n">
        <v>139.432</v>
      </c>
      <c r="U258" s="0" t="s">
        <v>22</v>
      </c>
    </row>
    <row r="259" customFormat="false" ht="14.25" hidden="false" customHeight="false" outlineLevel="0" collapsed="false">
      <c r="A259" s="0" t="n">
        <v>398</v>
      </c>
      <c r="B259" s="0" t="str">
        <f aca="false">_xlfn.xlookup(A259, artists!A$2:A$836, artists!B$2:B$836)</f>
        <v>Katy Perry</v>
      </c>
      <c r="C259" s="1" t="s">
        <v>305</v>
      </c>
      <c r="D259" s="2" t="n">
        <v>234653</v>
      </c>
      <c r="E259" s="2" t="n">
        <f aca="false">D259/1000</f>
        <v>234.653</v>
      </c>
      <c r="F259" s="10" t="b">
        <f aca="false">FALSE()</f>
        <v>0</v>
      </c>
      <c r="G259" s="0" t="n">
        <v>15</v>
      </c>
      <c r="H259" s="0" t="n">
        <f aca="false">_xlfn.xlookup(G259, years!A$2:A$836, years!B$2:B$836)</f>
        <v>2012</v>
      </c>
      <c r="I259" s="2" t="n">
        <v>72</v>
      </c>
      <c r="J259" s="0" t="n">
        <v>0.791</v>
      </c>
      <c r="K259" s="0" t="n">
        <v>0.754</v>
      </c>
      <c r="L259" s="3" t="str">
        <f aca="false">IF(K259&gt;0.66,"High",IF(K259&gt;0.33&amp;K259&lt;=0.66,"Medium","Low"))</f>
        <v>High</v>
      </c>
      <c r="M259" s="0" t="n">
        <v>-3.729</v>
      </c>
      <c r="N259" s="3" t="n">
        <v>0.0569</v>
      </c>
      <c r="O259" s="3" t="n">
        <v>0.00446</v>
      </c>
      <c r="P259" s="4" t="n">
        <v>0</v>
      </c>
      <c r="Q259" s="3" t="n">
        <v>0.163</v>
      </c>
      <c r="R259" s="3" t="n">
        <v>0.425</v>
      </c>
      <c r="S259" s="3" t="str">
        <f aca="false">IF(R259 &gt;= 0.5, "Positive", "Negative")</f>
        <v>Negative</v>
      </c>
      <c r="T259" s="2" t="n">
        <v>125.014</v>
      </c>
      <c r="U259" s="0" t="s">
        <v>39</v>
      </c>
    </row>
    <row r="260" customFormat="false" ht="14.25" hidden="false" customHeight="false" outlineLevel="0" collapsed="false">
      <c r="A260" s="0" t="n">
        <v>535</v>
      </c>
      <c r="B260" s="0" t="str">
        <f aca="false">_xlfn.xlookup(A260, artists!A$2:A$836, artists!B$2:B$836)</f>
        <v>Carly Rae Jepsen</v>
      </c>
      <c r="C260" s="1" t="s">
        <v>306</v>
      </c>
      <c r="D260" s="2" t="n">
        <v>193400</v>
      </c>
      <c r="E260" s="2" t="n">
        <f aca="false">D260/1000</f>
        <v>193.4</v>
      </c>
      <c r="F260" s="10" t="b">
        <f aca="false">FALSE()</f>
        <v>0</v>
      </c>
      <c r="G260" s="0" t="n">
        <v>15</v>
      </c>
      <c r="H260" s="0" t="n">
        <f aca="false">_xlfn.xlookup(G260, years!A$2:A$836, years!B$2:B$836)</f>
        <v>2012</v>
      </c>
      <c r="I260" s="2" t="n">
        <v>78</v>
      </c>
      <c r="J260" s="0" t="n">
        <v>0.783</v>
      </c>
      <c r="K260" s="0" t="n">
        <v>0.58</v>
      </c>
      <c r="L260" s="3" t="str">
        <f aca="false">IF(K260&gt;0.66,"High",IF(K260&gt;0.33&amp;K260&lt;=0.66,"Medium","Low"))</f>
        <v>Low</v>
      </c>
      <c r="M260" s="0" t="n">
        <v>-6.548</v>
      </c>
      <c r="N260" s="3" t="n">
        <v>0.0408</v>
      </c>
      <c r="O260" s="3" t="n">
        <v>0.0114</v>
      </c>
      <c r="P260" s="4" t="n">
        <v>2.28E-006</v>
      </c>
      <c r="Q260" s="3" t="n">
        <v>0.108</v>
      </c>
      <c r="R260" s="3" t="n">
        <v>0.66</v>
      </c>
      <c r="S260" s="3" t="str">
        <f aca="false">IF(R260 &gt;= 0.5, "Positive", "Negative")</f>
        <v>Positive</v>
      </c>
      <c r="T260" s="2" t="n">
        <v>120.021</v>
      </c>
      <c r="U260" s="0" t="s">
        <v>22</v>
      </c>
    </row>
    <row r="261" customFormat="false" ht="14.25" hidden="false" customHeight="false" outlineLevel="0" collapsed="false">
      <c r="A261" s="0" t="n">
        <v>199</v>
      </c>
      <c r="B261" s="0" t="str">
        <f aca="false">_xlfn.xlookup(A261, artists!A$2:A$836, artists!B$2:B$836)</f>
        <v>Evanescence</v>
      </c>
      <c r="C261" s="1" t="s">
        <v>307</v>
      </c>
      <c r="D261" s="2" t="n">
        <v>214706</v>
      </c>
      <c r="E261" s="2" t="n">
        <f aca="false">D261/1000</f>
        <v>214.706</v>
      </c>
      <c r="F261" s="10" t="b">
        <f aca="false">FALSE()</f>
        <v>0</v>
      </c>
      <c r="G261" s="0" t="n">
        <v>9</v>
      </c>
      <c r="H261" s="0" t="n">
        <f aca="false">_xlfn.xlookup(G261, years!A$2:A$836, years!B$2:B$836)</f>
        <v>2006</v>
      </c>
      <c r="I261" s="2" t="n">
        <v>65</v>
      </c>
      <c r="J261" s="0" t="n">
        <v>0.45</v>
      </c>
      <c r="K261" s="0" t="n">
        <v>0.883</v>
      </c>
      <c r="L261" s="3" t="str">
        <f aca="false">IF(K261&gt;0.66,"High",IF(K261&gt;0.33&amp;K261&lt;=0.66,"Medium","Low"))</f>
        <v>High</v>
      </c>
      <c r="M261" s="0" t="n">
        <v>-4.094</v>
      </c>
      <c r="N261" s="3" t="n">
        <v>0.0524</v>
      </c>
      <c r="O261" s="3" t="n">
        <v>0.00193</v>
      </c>
      <c r="P261" s="4" t="n">
        <v>0</v>
      </c>
      <c r="Q261" s="3" t="n">
        <v>0.293</v>
      </c>
      <c r="R261" s="3" t="n">
        <v>0.328</v>
      </c>
      <c r="S261" s="3" t="str">
        <f aca="false">IF(R261 &gt;= 0.5, "Positive", "Negative")</f>
        <v>Negative</v>
      </c>
      <c r="T261" s="2" t="n">
        <v>93.41</v>
      </c>
      <c r="U261" s="0" t="s">
        <v>27</v>
      </c>
    </row>
    <row r="262" customFormat="false" ht="14.25" hidden="false" customHeight="false" outlineLevel="0" collapsed="false">
      <c r="A262" s="0" t="n">
        <v>248</v>
      </c>
      <c r="B262" s="0" t="str">
        <f aca="false">_xlfn.xlookup(A262, artists!A$2:A$836, artists!B$2:B$836)</f>
        <v>Eric Prydz</v>
      </c>
      <c r="C262" s="1" t="s">
        <v>308</v>
      </c>
      <c r="D262" s="2" t="n">
        <v>171360</v>
      </c>
      <c r="E262" s="2" t="n">
        <f aca="false">D262/1000</f>
        <v>171.36</v>
      </c>
      <c r="F262" s="10" t="b">
        <f aca="false">FALSE()</f>
        <v>0</v>
      </c>
      <c r="G262" s="0" t="n">
        <v>7</v>
      </c>
      <c r="H262" s="0" t="n">
        <f aca="false">_xlfn.xlookup(G262, years!A$2:A$836, years!B$2:B$836)</f>
        <v>2004</v>
      </c>
      <c r="I262" s="2" t="n">
        <v>72</v>
      </c>
      <c r="J262" s="0" t="n">
        <v>0.597</v>
      </c>
      <c r="K262" s="0" t="n">
        <v>0.837</v>
      </c>
      <c r="L262" s="3" t="str">
        <f aca="false">IF(K262&gt;0.66,"High",IF(K262&gt;0.33&amp;K262&lt;=0.66,"Medium","Low"))</f>
        <v>High</v>
      </c>
      <c r="M262" s="0" t="n">
        <v>-6.518</v>
      </c>
      <c r="N262" s="3" t="n">
        <v>0.375</v>
      </c>
      <c r="O262" s="3" t="n">
        <v>0.00427</v>
      </c>
      <c r="P262" s="4" t="n">
        <v>0.00115</v>
      </c>
      <c r="Q262" s="3" t="n">
        <v>0.839</v>
      </c>
      <c r="R262" s="3" t="n">
        <v>0.447</v>
      </c>
      <c r="S262" s="3" t="str">
        <f aca="false">IF(R262 &gt;= 0.5, "Positive", "Negative")</f>
        <v>Negative</v>
      </c>
      <c r="T262" s="2" t="n">
        <v>126.342</v>
      </c>
      <c r="U262" s="0" t="s">
        <v>22</v>
      </c>
    </row>
    <row r="263" customFormat="false" ht="14.25" hidden="false" customHeight="false" outlineLevel="0" collapsed="false">
      <c r="A263" s="0" t="n">
        <v>283</v>
      </c>
      <c r="B263" s="0" t="str">
        <f aca="false">_xlfn.xlookup(A263, artists!A$2:A$836, artists!B$2:B$836)</f>
        <v>Rihanna</v>
      </c>
      <c r="C263" s="1" t="s">
        <v>309</v>
      </c>
      <c r="D263" s="2" t="n">
        <v>219305</v>
      </c>
      <c r="E263" s="2" t="n">
        <f aca="false">D263/1000</f>
        <v>219.305</v>
      </c>
      <c r="F263" s="10" t="b">
        <f aca="false">TRUE()</f>
        <v>1</v>
      </c>
      <c r="G263" s="0" t="n">
        <v>18</v>
      </c>
      <c r="H263" s="0" t="n">
        <f aca="false">_xlfn.xlookup(G263, years!A$2:A$836, years!B$2:B$836)</f>
        <v>2015</v>
      </c>
      <c r="I263" s="2" t="n">
        <v>73</v>
      </c>
      <c r="J263" s="0" t="n">
        <v>0.781</v>
      </c>
      <c r="K263" s="0" t="n">
        <v>0.728</v>
      </c>
      <c r="L263" s="3" t="str">
        <f aca="false">IF(K263&gt;0.66,"High",IF(K263&gt;0.33&amp;K263&lt;=0.66,"Medium","Low"))</f>
        <v>High</v>
      </c>
      <c r="M263" s="0" t="n">
        <v>-4.981</v>
      </c>
      <c r="N263" s="3" t="n">
        <v>0.0621</v>
      </c>
      <c r="O263" s="3" t="n">
        <v>0.0509</v>
      </c>
      <c r="P263" s="4" t="n">
        <v>1.94E-006</v>
      </c>
      <c r="Q263" s="3" t="n">
        <v>0.257</v>
      </c>
      <c r="R263" s="3" t="n">
        <v>0.395</v>
      </c>
      <c r="S263" s="3" t="str">
        <f aca="false">IF(R263 &gt;= 0.5, "Positive", "Negative")</f>
        <v>Negative</v>
      </c>
      <c r="T263" s="2" t="n">
        <v>102.99</v>
      </c>
      <c r="U263" s="0" t="s">
        <v>31</v>
      </c>
    </row>
    <row r="264" customFormat="false" ht="14.25" hidden="false" customHeight="false" outlineLevel="0" collapsed="false">
      <c r="A264" s="0" t="n">
        <v>644</v>
      </c>
      <c r="B264" s="0" t="str">
        <f aca="false">_xlfn.xlookup(A264, artists!A$2:A$836, artists!B$2:B$836)</f>
        <v>The Weeknd</v>
      </c>
      <c r="C264" s="1" t="s">
        <v>310</v>
      </c>
      <c r="D264" s="2" t="n">
        <v>228373</v>
      </c>
      <c r="E264" s="2" t="n">
        <f aca="false">D264/1000</f>
        <v>228.373</v>
      </c>
      <c r="F264" s="10" t="b">
        <f aca="false">FALSE()</f>
        <v>0</v>
      </c>
      <c r="G264" s="0" t="n">
        <v>21</v>
      </c>
      <c r="H264" s="0" t="n">
        <f aca="false">_xlfn.xlookup(G264, years!A$2:A$836, years!B$2:B$836)</f>
        <v>2018</v>
      </c>
      <c r="I264" s="2" t="n">
        <v>80</v>
      </c>
      <c r="J264" s="0" t="n">
        <v>0.461</v>
      </c>
      <c r="K264" s="0" t="n">
        <v>0.593</v>
      </c>
      <c r="L264" s="3" t="str">
        <f aca="false">IF(K264&gt;0.66,"High",IF(K264&gt;0.33&amp;K264&lt;=0.66,"Medium","Low"))</f>
        <v>Low</v>
      </c>
      <c r="M264" s="0" t="n">
        <v>-4.954</v>
      </c>
      <c r="N264" s="3" t="n">
        <v>0.0356</v>
      </c>
      <c r="O264" s="3" t="n">
        <v>0.17</v>
      </c>
      <c r="P264" s="4" t="n">
        <v>0</v>
      </c>
      <c r="Q264" s="3" t="n">
        <v>0.307</v>
      </c>
      <c r="R264" s="3" t="n">
        <v>0.175</v>
      </c>
      <c r="S264" s="3" t="str">
        <f aca="false">IF(R264 &gt;= 0.5, "Positive", "Negative")</f>
        <v>Negative</v>
      </c>
      <c r="T264" s="2" t="n">
        <v>134.17</v>
      </c>
      <c r="U264" s="0" t="s">
        <v>33</v>
      </c>
    </row>
    <row r="265" customFormat="false" ht="14.25" hidden="false" customHeight="false" outlineLevel="0" collapsed="false">
      <c r="A265" s="0" t="n">
        <v>809</v>
      </c>
      <c r="B265" s="0" t="str">
        <f aca="false">_xlfn.xlookup(A265, artists!A$2:A$836, artists!B$2:B$836)</f>
        <v>Bad Bunny</v>
      </c>
      <c r="C265" s="1" t="s">
        <v>311</v>
      </c>
      <c r="D265" s="2" t="n">
        <v>250533</v>
      </c>
      <c r="E265" s="2" t="n">
        <f aca="false">D265/1000</f>
        <v>250.533</v>
      </c>
      <c r="F265" s="10" t="b">
        <f aca="false">TRUE()</f>
        <v>1</v>
      </c>
      <c r="G265" s="0" t="n">
        <v>22</v>
      </c>
      <c r="H265" s="0" t="n">
        <f aca="false">_xlfn.xlookup(G265, years!A$2:A$836, years!B$2:B$836)</f>
        <v>2019</v>
      </c>
      <c r="I265" s="2" t="n">
        <v>81</v>
      </c>
      <c r="J265" s="0" t="n">
        <v>0.61</v>
      </c>
      <c r="K265" s="0" t="n">
        <v>0.624</v>
      </c>
      <c r="L265" s="3" t="str">
        <f aca="false">IF(K265&gt;0.66,"High",IF(K265&gt;0.33&amp;K265&lt;=0.66,"Medium","Low"))</f>
        <v>Low</v>
      </c>
      <c r="M265" s="0" t="n">
        <v>-4.773</v>
      </c>
      <c r="N265" s="3" t="n">
        <v>0.309</v>
      </c>
      <c r="O265" s="3" t="n">
        <v>0.6</v>
      </c>
      <c r="P265" s="4" t="n">
        <v>2.12E-006</v>
      </c>
      <c r="Q265" s="3" t="n">
        <v>0.243</v>
      </c>
      <c r="R265" s="3" t="n">
        <v>0.244</v>
      </c>
      <c r="S265" s="3" t="str">
        <f aca="false">IF(R265 &gt;= 0.5, "Positive", "Negative")</f>
        <v>Negative</v>
      </c>
      <c r="T265" s="2" t="n">
        <v>176.169</v>
      </c>
      <c r="U265" s="0" t="s">
        <v>312</v>
      </c>
    </row>
    <row r="266" customFormat="false" ht="14.25" hidden="false" customHeight="false" outlineLevel="0" collapsed="false">
      <c r="A266" s="0" t="n">
        <v>675</v>
      </c>
      <c r="B266" s="0" t="str">
        <f aca="false">_xlfn.xlookup(A266, artists!A$2:A$836, artists!B$2:B$836)</f>
        <v>Shawn Mendes</v>
      </c>
      <c r="C266" s="1" t="s">
        <v>313</v>
      </c>
      <c r="D266" s="2" t="n">
        <v>223853</v>
      </c>
      <c r="E266" s="2" t="n">
        <f aca="false">D266/1000</f>
        <v>223.853</v>
      </c>
      <c r="F266" s="10" t="b">
        <f aca="false">FALSE()</f>
        <v>0</v>
      </c>
      <c r="G266" s="0" t="n">
        <v>18</v>
      </c>
      <c r="H266" s="0" t="n">
        <f aca="false">_xlfn.xlookup(G266, years!A$2:A$836, years!B$2:B$836)</f>
        <v>2015</v>
      </c>
      <c r="I266" s="2" t="n">
        <v>73</v>
      </c>
      <c r="J266" s="0" t="n">
        <v>0.687</v>
      </c>
      <c r="K266" s="0" t="n">
        <v>0.761</v>
      </c>
      <c r="L266" s="3" t="str">
        <f aca="false">IF(K266&gt;0.66,"High",IF(K266&gt;0.33&amp;K266&lt;=0.66,"Medium","Low"))</f>
        <v>High</v>
      </c>
      <c r="M266" s="0" t="n">
        <v>-4.582</v>
      </c>
      <c r="N266" s="3" t="n">
        <v>0.0876</v>
      </c>
      <c r="O266" s="3" t="n">
        <v>0.102</v>
      </c>
      <c r="P266" s="4" t="n">
        <v>0</v>
      </c>
      <c r="Q266" s="3" t="n">
        <v>0.147</v>
      </c>
      <c r="R266" s="3" t="n">
        <v>0.743</v>
      </c>
      <c r="S266" s="3" t="str">
        <f aca="false">IF(R266 &gt;= 0.5, "Positive", "Negative")</f>
        <v>Positive</v>
      </c>
      <c r="T266" s="2" t="n">
        <v>113.939</v>
      </c>
      <c r="U266" s="0" t="s">
        <v>39</v>
      </c>
    </row>
    <row r="267" customFormat="false" ht="14.25" hidden="false" customHeight="false" outlineLevel="0" collapsed="false">
      <c r="A267" s="0" t="n">
        <v>8</v>
      </c>
      <c r="B267" s="0" t="str">
        <f aca="false">_xlfn.xlookup(A267, artists!A$2:A$836, artists!B$2:B$836)</f>
        <v>Robbie Williams</v>
      </c>
      <c r="C267" s="1" t="s">
        <v>314</v>
      </c>
      <c r="D267" s="2" t="n">
        <v>201053</v>
      </c>
      <c r="E267" s="2" t="n">
        <f aca="false">D267/1000</f>
        <v>201.053</v>
      </c>
      <c r="F267" s="10" t="b">
        <f aca="false">FALSE()</f>
        <v>0</v>
      </c>
      <c r="G267" s="0" t="n">
        <v>15</v>
      </c>
      <c r="H267" s="0" t="n">
        <f aca="false">_xlfn.xlookup(G267, years!A$2:A$836, years!B$2:B$836)</f>
        <v>2012</v>
      </c>
      <c r="I267" s="2" t="n">
        <v>68</v>
      </c>
      <c r="J267" s="0" t="n">
        <v>0.715</v>
      </c>
      <c r="K267" s="0" t="n">
        <v>0.791</v>
      </c>
      <c r="L267" s="3" t="str">
        <f aca="false">IF(K267&gt;0.66,"High",IF(K267&gt;0.33&amp;K267&lt;=0.66,"Medium","Low"))</f>
        <v>High</v>
      </c>
      <c r="M267" s="0" t="n">
        <v>-6.63</v>
      </c>
      <c r="N267" s="3" t="n">
        <v>0.0414</v>
      </c>
      <c r="O267" s="3" t="n">
        <v>0.0368</v>
      </c>
      <c r="P267" s="4" t="n">
        <v>0</v>
      </c>
      <c r="Q267" s="3" t="n">
        <v>0.0694</v>
      </c>
      <c r="R267" s="3" t="n">
        <v>0.879</v>
      </c>
      <c r="S267" s="3" t="str">
        <f aca="false">IF(R267 &gt;= 0.5, "Positive", "Negative")</f>
        <v>Positive</v>
      </c>
      <c r="T267" s="2" t="n">
        <v>116.043</v>
      </c>
      <c r="U267" s="0" t="s">
        <v>210</v>
      </c>
    </row>
    <row r="268" customFormat="false" ht="14.25" hidden="false" customHeight="false" outlineLevel="0" collapsed="false">
      <c r="A268" s="0" t="n">
        <v>191</v>
      </c>
      <c r="B268" s="0" t="str">
        <f aca="false">_xlfn.xlookup(A268, artists!A$2:A$836, artists!B$2:B$836)</f>
        <v>50 Cent</v>
      </c>
      <c r="C268" s="1" t="s">
        <v>315</v>
      </c>
      <c r="D268" s="2" t="n">
        <v>209106</v>
      </c>
      <c r="E268" s="2" t="n">
        <f aca="false">D268/1000</f>
        <v>209.106</v>
      </c>
      <c r="F268" s="10" t="b">
        <f aca="false">TRUE()</f>
        <v>1</v>
      </c>
      <c r="G268" s="0" t="n">
        <v>8</v>
      </c>
      <c r="H268" s="0" t="n">
        <f aca="false">_xlfn.xlookup(G268, years!A$2:A$836, years!B$2:B$836)</f>
        <v>2005</v>
      </c>
      <c r="I268" s="2" t="n">
        <v>79</v>
      </c>
      <c r="J268" s="0" t="n">
        <v>0.614</v>
      </c>
      <c r="K268" s="0" t="n">
        <v>0.574</v>
      </c>
      <c r="L268" s="3" t="str">
        <f aca="false">IF(K268&gt;0.66,"High",IF(K268&gt;0.33&amp;K268&lt;=0.66,"Medium","Low"))</f>
        <v>Low</v>
      </c>
      <c r="M268" s="0" t="n">
        <v>-7.961</v>
      </c>
      <c r="N268" s="3" t="n">
        <v>0.466</v>
      </c>
      <c r="O268" s="3" t="n">
        <v>0.0253</v>
      </c>
      <c r="P268" s="4" t="n">
        <v>3.2E-005</v>
      </c>
      <c r="Q268" s="3" t="n">
        <v>0.38</v>
      </c>
      <c r="R268" s="3" t="n">
        <v>0.755</v>
      </c>
      <c r="S268" s="3" t="str">
        <f aca="false">IF(R268 &gt;= 0.5, "Positive", "Negative")</f>
        <v>Positive</v>
      </c>
      <c r="T268" s="2" t="n">
        <v>125.173</v>
      </c>
      <c r="U268" s="0" t="s">
        <v>24</v>
      </c>
    </row>
    <row r="269" customFormat="false" ht="14.25" hidden="false" customHeight="false" outlineLevel="0" collapsed="false">
      <c r="A269" s="0" t="n">
        <v>57</v>
      </c>
      <c r="B269" s="0" t="str">
        <f aca="false">_xlfn.xlookup(A269, artists!A$2:A$836, artists!B$2:B$836)</f>
        <v>Christina Aguilera</v>
      </c>
      <c r="C269" s="1" t="s">
        <v>316</v>
      </c>
      <c r="D269" s="2" t="n">
        <v>194213</v>
      </c>
      <c r="E269" s="2" t="n">
        <f aca="false">D269/1000</f>
        <v>194.213</v>
      </c>
      <c r="F269" s="10" t="b">
        <f aca="false">FALSE()</f>
        <v>0</v>
      </c>
      <c r="G269" s="0" t="n">
        <v>9</v>
      </c>
      <c r="H269" s="0" t="n">
        <f aca="false">_xlfn.xlookup(G269, years!A$2:A$836, years!B$2:B$836)</f>
        <v>2006</v>
      </c>
      <c r="I269" s="2" t="n">
        <v>66</v>
      </c>
      <c r="J269" s="0" t="n">
        <v>0.686</v>
      </c>
      <c r="K269" s="0" t="n">
        <v>0.789</v>
      </c>
      <c r="L269" s="3" t="str">
        <f aca="false">IF(K269&gt;0.66,"High",IF(K269&gt;0.33&amp;K269&lt;=0.66,"Medium","Low"))</f>
        <v>High</v>
      </c>
      <c r="M269" s="0" t="n">
        <v>-4.713</v>
      </c>
      <c r="N269" s="3" t="n">
        <v>0.23</v>
      </c>
      <c r="O269" s="3" t="n">
        <v>0.0125</v>
      </c>
      <c r="P269" s="4" t="n">
        <v>0.0147</v>
      </c>
      <c r="Q269" s="3" t="n">
        <v>0.142</v>
      </c>
      <c r="R269" s="3" t="n">
        <v>0.72</v>
      </c>
      <c r="S269" s="3" t="str">
        <f aca="false">IF(R269 &gt;= 0.5, "Positive", "Negative")</f>
        <v>Positive</v>
      </c>
      <c r="T269" s="2" t="n">
        <v>172.976</v>
      </c>
      <c r="U269" s="0" t="s">
        <v>39</v>
      </c>
    </row>
    <row r="270" customFormat="false" ht="14.25" hidden="false" customHeight="false" outlineLevel="0" collapsed="false">
      <c r="A270" s="0" t="n">
        <v>406</v>
      </c>
      <c r="B270" s="0" t="str">
        <f aca="false">_xlfn.xlookup(A270, artists!A$2:A$836, artists!B$2:B$836)</f>
        <v>Miley Cyrus</v>
      </c>
      <c r="C270" s="1" t="s">
        <v>317</v>
      </c>
      <c r="D270" s="2" t="n">
        <v>168213</v>
      </c>
      <c r="E270" s="2" t="n">
        <f aca="false">D270/1000</f>
        <v>168.213</v>
      </c>
      <c r="F270" s="10" t="b">
        <f aca="false">FALSE()</f>
        <v>0</v>
      </c>
      <c r="G270" s="0" t="n">
        <v>13</v>
      </c>
      <c r="H270" s="0" t="n">
        <f aca="false">_xlfn.xlookup(G270, years!A$2:A$836, years!B$2:B$836)</f>
        <v>2010</v>
      </c>
      <c r="I270" s="2" t="n">
        <v>0</v>
      </c>
      <c r="J270" s="0" t="n">
        <v>0.63</v>
      </c>
      <c r="K270" s="0" t="n">
        <v>0.91</v>
      </c>
      <c r="L270" s="3" t="str">
        <f aca="false">IF(K270&gt;0.66,"High",IF(K270&gt;0.33&amp;K270&lt;=0.66,"Medium","Low"))</f>
        <v>High</v>
      </c>
      <c r="M270" s="0" t="n">
        <v>-2.919</v>
      </c>
      <c r="N270" s="3" t="n">
        <v>0.144</v>
      </c>
      <c r="O270" s="3" t="n">
        <v>0.0287</v>
      </c>
      <c r="P270" s="4" t="n">
        <v>0</v>
      </c>
      <c r="Q270" s="3" t="n">
        <v>0.196</v>
      </c>
      <c r="R270" s="3" t="n">
        <v>0.743</v>
      </c>
      <c r="S270" s="3" t="str">
        <f aca="false">IF(R270 &gt;= 0.5, "Positive", "Negative")</f>
        <v>Positive</v>
      </c>
      <c r="T270" s="2" t="n">
        <v>116.98</v>
      </c>
      <c r="U270" s="0" t="s">
        <v>39</v>
      </c>
    </row>
    <row r="271" customFormat="false" ht="14.25" hidden="false" customHeight="false" outlineLevel="0" collapsed="false">
      <c r="A271" s="0" t="n">
        <v>310</v>
      </c>
      <c r="B271" s="0" t="str">
        <f aca="false">_xlfn.xlookup(A271, artists!A$2:A$836, artists!B$2:B$836)</f>
        <v>T-Pain</v>
      </c>
      <c r="C271" s="1" t="s">
        <v>318</v>
      </c>
      <c r="D271" s="2" t="n">
        <v>273826</v>
      </c>
      <c r="E271" s="2" t="n">
        <f aca="false">D271/1000</f>
        <v>273.826</v>
      </c>
      <c r="F271" s="10" t="b">
        <f aca="false">FALSE()</f>
        <v>0</v>
      </c>
      <c r="G271" s="0" t="n">
        <v>11</v>
      </c>
      <c r="H271" s="0" t="n">
        <f aca="false">_xlfn.xlookup(G271, years!A$2:A$836, years!B$2:B$836)</f>
        <v>2008</v>
      </c>
      <c r="I271" s="2" t="n">
        <v>0</v>
      </c>
      <c r="J271" s="0" t="n">
        <v>0.648</v>
      </c>
      <c r="K271" s="0" t="n">
        <v>0.516</v>
      </c>
      <c r="L271" s="3" t="str">
        <f aca="false">IF(K271&gt;0.66,"High",IF(K271&gt;0.33&amp;K271&lt;=0.66,"Medium","Low"))</f>
        <v>Low</v>
      </c>
      <c r="M271" s="0" t="n">
        <v>-8.869</v>
      </c>
      <c r="N271" s="3" t="n">
        <v>0.049</v>
      </c>
      <c r="O271" s="3" t="n">
        <v>0.00179</v>
      </c>
      <c r="P271" s="4" t="n">
        <v>0</v>
      </c>
      <c r="Q271" s="3" t="n">
        <v>0.0772</v>
      </c>
      <c r="R271" s="3" t="n">
        <v>0.0756</v>
      </c>
      <c r="S271" s="3" t="str">
        <f aca="false">IF(R271 &gt;= 0.5, "Positive", "Negative")</f>
        <v>Negative</v>
      </c>
      <c r="T271" s="2" t="n">
        <v>89.828</v>
      </c>
      <c r="U271" s="0" t="s">
        <v>31</v>
      </c>
    </row>
    <row r="272" customFormat="false" ht="14.25" hidden="false" customHeight="false" outlineLevel="0" collapsed="false">
      <c r="A272" s="0" t="n">
        <v>619</v>
      </c>
      <c r="B272" s="0" t="str">
        <f aca="false">_xlfn.xlookup(A272, artists!A$2:A$836, artists!B$2:B$836)</f>
        <v>The Chainsmokers</v>
      </c>
      <c r="C272" s="1" t="s">
        <v>319</v>
      </c>
      <c r="D272" s="2" t="n">
        <v>226738</v>
      </c>
      <c r="E272" s="2" t="n">
        <f aca="false">D272/1000</f>
        <v>226.738</v>
      </c>
      <c r="F272" s="10" t="b">
        <f aca="false">FALSE()</f>
        <v>0</v>
      </c>
      <c r="G272" s="0" t="n">
        <v>18</v>
      </c>
      <c r="H272" s="0" t="n">
        <f aca="false">_xlfn.xlookup(G272, years!A$2:A$836, years!B$2:B$836)</f>
        <v>2015</v>
      </c>
      <c r="I272" s="2" t="n">
        <v>73</v>
      </c>
      <c r="J272" s="0" t="n">
        <v>0.713</v>
      </c>
      <c r="K272" s="0" t="n">
        <v>0.802</v>
      </c>
      <c r="L272" s="3" t="str">
        <f aca="false">IF(K272&gt;0.66,"High",IF(K272&gt;0.33&amp;K272&lt;=0.66,"Medium","Low"))</f>
        <v>High</v>
      </c>
      <c r="M272" s="0" t="n">
        <v>-7.055</v>
      </c>
      <c r="N272" s="3" t="n">
        <v>0.0561</v>
      </c>
      <c r="O272" s="3" t="n">
        <v>0.0435</v>
      </c>
      <c r="P272" s="4" t="n">
        <v>0.00377</v>
      </c>
      <c r="Q272" s="3" t="n">
        <v>0.309</v>
      </c>
      <c r="R272" s="3" t="n">
        <v>0.343</v>
      </c>
      <c r="S272" s="3" t="str">
        <f aca="false">IF(R272 &gt;= 0.5, "Positive", "Negative")</f>
        <v>Negative</v>
      </c>
      <c r="T272" s="2" t="n">
        <v>100.001</v>
      </c>
      <c r="U272" s="0" t="s">
        <v>22</v>
      </c>
    </row>
    <row r="273" customFormat="false" ht="14.25" hidden="false" customHeight="false" outlineLevel="0" collapsed="false">
      <c r="A273" s="0" t="n">
        <v>36</v>
      </c>
      <c r="B273" s="0" t="str">
        <f aca="false">_xlfn.xlookup(A273, artists!A$2:A$836, artists!B$2:B$836)</f>
        <v>LeAnn Rimes</v>
      </c>
      <c r="C273" s="1" t="s">
        <v>320</v>
      </c>
      <c r="D273" s="2" t="n">
        <v>215506</v>
      </c>
      <c r="E273" s="2" t="n">
        <f aca="false">D273/1000</f>
        <v>215.506</v>
      </c>
      <c r="F273" s="10" t="b">
        <f aca="false">FALSE()</f>
        <v>0</v>
      </c>
      <c r="G273" s="0" t="n">
        <v>4</v>
      </c>
      <c r="H273" s="0" t="n">
        <f aca="false">_xlfn.xlookup(G273, years!A$2:A$836, years!B$2:B$836)</f>
        <v>2001</v>
      </c>
      <c r="I273" s="2" t="n">
        <v>65</v>
      </c>
      <c r="J273" s="0" t="n">
        <v>0.628</v>
      </c>
      <c r="K273" s="0" t="n">
        <v>0.834</v>
      </c>
      <c r="L273" s="3" t="str">
        <f aca="false">IF(K273&gt;0.66,"High",IF(K273&gt;0.33&amp;K273&lt;=0.66,"Medium","Low"))</f>
        <v>High</v>
      </c>
      <c r="M273" s="0" t="n">
        <v>-6.341</v>
      </c>
      <c r="N273" s="3" t="n">
        <v>0.0497</v>
      </c>
      <c r="O273" s="3" t="n">
        <v>0.403</v>
      </c>
      <c r="P273" s="4" t="n">
        <v>0</v>
      </c>
      <c r="Q273" s="3" t="n">
        <v>0.051</v>
      </c>
      <c r="R273" s="3" t="n">
        <v>0.626</v>
      </c>
      <c r="S273" s="3" t="str">
        <f aca="false">IF(R273 &gt;= 0.5, "Positive", "Negative")</f>
        <v>Positive</v>
      </c>
      <c r="T273" s="2" t="n">
        <v>97.865</v>
      </c>
      <c r="U273" s="0" t="s">
        <v>204</v>
      </c>
    </row>
    <row r="274" customFormat="false" ht="14.25" hidden="false" customHeight="false" outlineLevel="0" collapsed="false">
      <c r="A274" s="0" t="n">
        <v>34</v>
      </c>
      <c r="B274" s="0" t="str">
        <f aca="false">_xlfn.xlookup(A274, artists!A$2:A$836, artists!B$2:B$836)</f>
        <v>Kylie Minogue</v>
      </c>
      <c r="C274" s="1" t="s">
        <v>321</v>
      </c>
      <c r="D274" s="2" t="n">
        <v>230640</v>
      </c>
      <c r="E274" s="2" t="n">
        <f aca="false">D274/1000</f>
        <v>230.64</v>
      </c>
      <c r="F274" s="10" t="b">
        <f aca="false">FALSE()</f>
        <v>0</v>
      </c>
      <c r="G274" s="0" t="n">
        <v>4</v>
      </c>
      <c r="H274" s="0" t="n">
        <f aca="false">_xlfn.xlookup(G274, years!A$2:A$836, years!B$2:B$836)</f>
        <v>2001</v>
      </c>
      <c r="I274" s="2" t="n">
        <v>73</v>
      </c>
      <c r="J274" s="0" t="n">
        <v>0.766</v>
      </c>
      <c r="K274" s="0" t="n">
        <v>0.563</v>
      </c>
      <c r="L274" s="3" t="str">
        <f aca="false">IF(K274&gt;0.66,"High",IF(K274&gt;0.33&amp;K274&lt;=0.66,"Medium","Low"))</f>
        <v>Low</v>
      </c>
      <c r="M274" s="0" t="n">
        <v>-7.516</v>
      </c>
      <c r="N274" s="3" t="n">
        <v>0.0339</v>
      </c>
      <c r="O274" s="3" t="n">
        <v>0.0263</v>
      </c>
      <c r="P274" s="4" t="n">
        <v>0.683</v>
      </c>
      <c r="Q274" s="3" t="n">
        <v>0.115</v>
      </c>
      <c r="R274" s="3" t="n">
        <v>0.964</v>
      </c>
      <c r="S274" s="3" t="str">
        <f aca="false">IF(R274 &gt;= 0.5, "Positive", "Negative")</f>
        <v>Positive</v>
      </c>
      <c r="T274" s="2" t="n">
        <v>126.007</v>
      </c>
      <c r="U274" s="0" t="s">
        <v>22</v>
      </c>
    </row>
    <row r="275" customFormat="false" ht="14.25" hidden="false" customHeight="false" outlineLevel="0" collapsed="false">
      <c r="A275" s="0" t="n">
        <v>424</v>
      </c>
      <c r="B275" s="0" t="str">
        <f aca="false">_xlfn.xlookup(A275, artists!A$2:A$836, artists!B$2:B$836)</f>
        <v>Trey Songz</v>
      </c>
      <c r="C275" s="1" t="s">
        <v>322</v>
      </c>
      <c r="D275" s="2" t="n">
        <v>206413</v>
      </c>
      <c r="E275" s="2" t="n">
        <f aca="false">D275/1000</f>
        <v>206.413</v>
      </c>
      <c r="F275" s="10" t="b">
        <f aca="false">FALSE()</f>
        <v>0</v>
      </c>
      <c r="G275" s="0" t="n">
        <v>10</v>
      </c>
      <c r="H275" s="0" t="n">
        <f aca="false">_xlfn.xlookup(G275, years!A$2:A$836, years!B$2:B$836)</f>
        <v>2007</v>
      </c>
      <c r="I275" s="2" t="n">
        <v>62</v>
      </c>
      <c r="J275" s="0" t="n">
        <v>0.699</v>
      </c>
      <c r="K275" s="0" t="n">
        <v>0.699</v>
      </c>
      <c r="L275" s="3" t="str">
        <f aca="false">IF(K275&gt;0.66,"High",IF(K275&gt;0.33&amp;K275&lt;=0.66,"Medium","Low"))</f>
        <v>High</v>
      </c>
      <c r="M275" s="0" t="n">
        <v>-5.564</v>
      </c>
      <c r="N275" s="3" t="n">
        <v>0.0737</v>
      </c>
      <c r="O275" s="3" t="n">
        <v>0.358</v>
      </c>
      <c r="P275" s="4" t="n">
        <v>0</v>
      </c>
      <c r="Q275" s="3" t="n">
        <v>0.0912</v>
      </c>
      <c r="R275" s="3" t="n">
        <v>0.611</v>
      </c>
      <c r="S275" s="3" t="str">
        <f aca="false">IF(R275 &gt;= 0.5, "Positive", "Negative")</f>
        <v>Positive</v>
      </c>
      <c r="T275" s="2" t="n">
        <v>94.977</v>
      </c>
      <c r="U275" s="0" t="s">
        <v>31</v>
      </c>
    </row>
    <row r="276" customFormat="false" ht="14.25" hidden="false" customHeight="false" outlineLevel="0" collapsed="false">
      <c r="A276" s="0" t="n">
        <v>572</v>
      </c>
      <c r="B276" s="0" t="str">
        <f aca="false">_xlfn.xlookup(A276, artists!A$2:A$836, artists!B$2:B$836)</f>
        <v>Macklemore &amp; Ryan Lewis</v>
      </c>
      <c r="C276" s="1" t="s">
        <v>323</v>
      </c>
      <c r="D276" s="2" t="n">
        <v>258342</v>
      </c>
      <c r="E276" s="2" t="n">
        <f aca="false">D276/1000</f>
        <v>258.342</v>
      </c>
      <c r="F276" s="10" t="b">
        <f aca="false">FALSE()</f>
        <v>0</v>
      </c>
      <c r="G276" s="0" t="n">
        <v>15</v>
      </c>
      <c r="H276" s="0" t="n">
        <f aca="false">_xlfn.xlookup(G276, years!A$2:A$836, years!B$2:B$836)</f>
        <v>2012</v>
      </c>
      <c r="I276" s="2" t="n">
        <v>81</v>
      </c>
      <c r="J276" s="0" t="n">
        <v>0.641</v>
      </c>
      <c r="K276" s="0" t="n">
        <v>0.922</v>
      </c>
      <c r="L276" s="3" t="str">
        <f aca="false">IF(K276&gt;0.66,"High",IF(K276&gt;0.33&amp;K276&lt;=0.66,"Medium","Low"))</f>
        <v>High</v>
      </c>
      <c r="M276" s="0" t="n">
        <v>-4.457</v>
      </c>
      <c r="N276" s="3" t="n">
        <v>0.0786</v>
      </c>
      <c r="O276" s="3" t="n">
        <v>0.0291</v>
      </c>
      <c r="P276" s="4" t="n">
        <v>0</v>
      </c>
      <c r="Q276" s="3" t="n">
        <v>0.0862</v>
      </c>
      <c r="R276" s="3" t="n">
        <v>0.847</v>
      </c>
      <c r="S276" s="3" t="str">
        <f aca="false">IF(R276 &gt;= 0.5, "Positive", "Negative")</f>
        <v>Positive</v>
      </c>
      <c r="T276" s="2" t="n">
        <v>146.078</v>
      </c>
      <c r="U276" s="0" t="s">
        <v>24</v>
      </c>
    </row>
    <row r="277" customFormat="false" ht="14.25" hidden="false" customHeight="false" outlineLevel="0" collapsed="false">
      <c r="A277" s="0" t="n">
        <v>57</v>
      </c>
      <c r="B277" s="0" t="str">
        <f aca="false">_xlfn.xlookup(A277, artists!A$2:A$836, artists!B$2:B$836)</f>
        <v>Christina Aguilera</v>
      </c>
      <c r="C277" s="1" t="s">
        <v>324</v>
      </c>
      <c r="D277" s="2" t="n">
        <v>255266</v>
      </c>
      <c r="E277" s="2" t="n">
        <f aca="false">D277/1000</f>
        <v>255.266</v>
      </c>
      <c r="F277" s="10" t="b">
        <f aca="false">FALSE()</f>
        <v>0</v>
      </c>
      <c r="G277" s="0" t="n">
        <v>5</v>
      </c>
      <c r="H277" s="0" t="n">
        <f aca="false">_xlfn.xlookup(G277, years!A$2:A$836, years!B$2:B$836)</f>
        <v>2002</v>
      </c>
      <c r="I277" s="2" t="n">
        <v>61</v>
      </c>
      <c r="J277" s="0" t="n">
        <v>0.859</v>
      </c>
      <c r="K277" s="0" t="n">
        <v>0.658</v>
      </c>
      <c r="L277" s="3" t="str">
        <f aca="false">IF(K277&gt;0.66,"High",IF(K277&gt;0.33&amp;K277&lt;=0.66,"Medium","Low"))</f>
        <v>Low</v>
      </c>
      <c r="M277" s="0" t="n">
        <v>-4.481</v>
      </c>
      <c r="N277" s="3" t="n">
        <v>0.192</v>
      </c>
      <c r="O277" s="3" t="n">
        <v>0.0326</v>
      </c>
      <c r="P277" s="4" t="n">
        <v>0.00181</v>
      </c>
      <c r="Q277" s="3" t="n">
        <v>0.0651</v>
      </c>
      <c r="R277" s="3" t="n">
        <v>0.538</v>
      </c>
      <c r="S277" s="3" t="str">
        <f aca="false">IF(R277 &gt;= 0.5, "Positive", "Negative")</f>
        <v>Positive</v>
      </c>
      <c r="T277" s="2" t="n">
        <v>98.989</v>
      </c>
      <c r="U277" s="0" t="s">
        <v>39</v>
      </c>
    </row>
    <row r="278" customFormat="false" ht="14.25" hidden="false" customHeight="false" outlineLevel="0" collapsed="false">
      <c r="A278" s="0" t="n">
        <v>229</v>
      </c>
      <c r="B278" s="0" t="str">
        <f aca="false">_xlfn.xlookup(A278, artists!A$2:A$836, artists!B$2:B$836)</f>
        <v>Fabolous</v>
      </c>
      <c r="C278" s="1" t="s">
        <v>325</v>
      </c>
      <c r="D278" s="2" t="n">
        <v>223973</v>
      </c>
      <c r="E278" s="2" t="n">
        <f aca="false">D278/1000</f>
        <v>223.973</v>
      </c>
      <c r="F278" s="10" t="b">
        <f aca="false">TRUE()</f>
        <v>1</v>
      </c>
      <c r="G278" s="0" t="n">
        <v>6</v>
      </c>
      <c r="H278" s="0" t="n">
        <f aca="false">_xlfn.xlookup(G278, years!A$2:A$836, years!B$2:B$836)</f>
        <v>2003</v>
      </c>
      <c r="I278" s="2" t="n">
        <v>61</v>
      </c>
      <c r="J278" s="0" t="n">
        <v>0.646</v>
      </c>
      <c r="K278" s="0" t="n">
        <v>0.6</v>
      </c>
      <c r="L278" s="3" t="str">
        <f aca="false">IF(K278&gt;0.66,"High",IF(K278&gt;0.33&amp;K278&lt;=0.66,"Medium","Low"))</f>
        <v>Low</v>
      </c>
      <c r="M278" s="0" t="n">
        <v>-6.569</v>
      </c>
      <c r="N278" s="3" t="n">
        <v>0.458</v>
      </c>
      <c r="O278" s="3" t="n">
        <v>0.231</v>
      </c>
      <c r="P278" s="4" t="n">
        <v>0</v>
      </c>
      <c r="Q278" s="3" t="n">
        <v>0.0794</v>
      </c>
      <c r="R278" s="3" t="n">
        <v>0.811</v>
      </c>
      <c r="S278" s="3" t="str">
        <f aca="false">IF(R278 &gt;= 0.5, "Positive", "Negative")</f>
        <v>Positive</v>
      </c>
      <c r="T278" s="2" t="n">
        <v>192.082</v>
      </c>
      <c r="U278" s="0" t="s">
        <v>31</v>
      </c>
    </row>
    <row r="279" customFormat="false" ht="14.25" hidden="false" customHeight="false" outlineLevel="0" collapsed="false">
      <c r="A279" s="0" t="n">
        <v>58</v>
      </c>
      <c r="B279" s="0" t="str">
        <f aca="false">_xlfn.xlookup(A279, artists!A$2:A$836, artists!B$2:B$836)</f>
        <v>Red Hot Chili Peppers</v>
      </c>
      <c r="C279" s="1" t="s">
        <v>326</v>
      </c>
      <c r="D279" s="2" t="n">
        <v>269000</v>
      </c>
      <c r="E279" s="2" t="n">
        <f aca="false">D279/1000</f>
        <v>269</v>
      </c>
      <c r="F279" s="10" t="b">
        <f aca="false">FALSE()</f>
        <v>0</v>
      </c>
      <c r="G279" s="0" t="n">
        <v>5</v>
      </c>
      <c r="H279" s="0" t="n">
        <f aca="false">_xlfn.xlookup(G279, years!A$2:A$836, years!B$2:B$836)</f>
        <v>2002</v>
      </c>
      <c r="I279" s="2" t="n">
        <v>80</v>
      </c>
      <c r="J279" s="0" t="n">
        <v>0.618</v>
      </c>
      <c r="K279" s="0" t="n">
        <v>0.938</v>
      </c>
      <c r="L279" s="3" t="str">
        <f aca="false">IF(K279&gt;0.66,"High",IF(K279&gt;0.33&amp;K279&lt;=0.66,"Medium","Low"))</f>
        <v>High</v>
      </c>
      <c r="M279" s="0" t="n">
        <v>-3.442</v>
      </c>
      <c r="N279" s="3" t="n">
        <v>0.0456</v>
      </c>
      <c r="O279" s="3" t="n">
        <v>0.0179</v>
      </c>
      <c r="P279" s="4" t="n">
        <v>0</v>
      </c>
      <c r="Q279" s="3" t="n">
        <v>0.167</v>
      </c>
      <c r="R279" s="3" t="n">
        <v>0.875</v>
      </c>
      <c r="S279" s="3" t="str">
        <f aca="false">IF(R279 &gt;= 0.5, "Positive", "Negative")</f>
        <v>Positive</v>
      </c>
      <c r="T279" s="2" t="n">
        <v>91.455</v>
      </c>
      <c r="U279" s="0" t="s">
        <v>43</v>
      </c>
    </row>
    <row r="280" customFormat="false" ht="14.25" hidden="false" customHeight="false" outlineLevel="0" collapsed="false">
      <c r="A280" s="0" t="n">
        <v>652</v>
      </c>
      <c r="B280" s="0" t="str">
        <f aca="false">_xlfn.xlookup(A280, artists!A$2:A$836, artists!B$2:B$836)</f>
        <v>Fifth Harmony</v>
      </c>
      <c r="C280" s="1" t="s">
        <v>327</v>
      </c>
      <c r="D280" s="2" t="n">
        <v>224573</v>
      </c>
      <c r="E280" s="2" t="n">
        <f aca="false">D280/1000</f>
        <v>224.573</v>
      </c>
      <c r="F280" s="10" t="b">
        <f aca="false">FALSE()</f>
        <v>0</v>
      </c>
      <c r="G280" s="0" t="n">
        <v>18</v>
      </c>
      <c r="H280" s="0" t="n">
        <f aca="false">_xlfn.xlookup(G280, years!A$2:A$836, years!B$2:B$836)</f>
        <v>2015</v>
      </c>
      <c r="I280" s="2" t="n">
        <v>73</v>
      </c>
      <c r="J280" s="0" t="n">
        <v>0.884</v>
      </c>
      <c r="K280" s="0" t="n">
        <v>0.765</v>
      </c>
      <c r="L280" s="3" t="str">
        <f aca="false">IF(K280&gt;0.66,"High",IF(K280&gt;0.33&amp;K280&lt;=0.66,"Medium","Low"))</f>
        <v>High</v>
      </c>
      <c r="M280" s="0" t="n">
        <v>-3.865</v>
      </c>
      <c r="N280" s="3" t="n">
        <v>0.0882</v>
      </c>
      <c r="O280" s="3" t="n">
        <v>0.063</v>
      </c>
      <c r="P280" s="4" t="n">
        <v>7.04E-006</v>
      </c>
      <c r="Q280" s="3" t="n">
        <v>0.118</v>
      </c>
      <c r="R280" s="3" t="n">
        <v>0.594</v>
      </c>
      <c r="S280" s="3" t="str">
        <f aca="false">IF(R280 &gt;= 0.5, "Positive", "Negative")</f>
        <v>Positive</v>
      </c>
      <c r="T280" s="2" t="n">
        <v>99.987</v>
      </c>
      <c r="U280" s="0" t="s">
        <v>39</v>
      </c>
    </row>
    <row r="281" customFormat="false" ht="14.25" hidden="false" customHeight="false" outlineLevel="0" collapsed="false">
      <c r="A281" s="0" t="n">
        <v>269</v>
      </c>
      <c r="B281" s="0" t="str">
        <f aca="false">_xlfn.xlookup(A281, artists!A$2:A$836, artists!B$2:B$836)</f>
        <v>Kanye West</v>
      </c>
      <c r="C281" s="1" t="s">
        <v>328</v>
      </c>
      <c r="D281" s="2" t="n">
        <v>271600</v>
      </c>
      <c r="E281" s="2" t="n">
        <f aca="false">D281/1000</f>
        <v>271.6</v>
      </c>
      <c r="F281" s="10" t="b">
        <f aca="false">TRUE()</f>
        <v>1</v>
      </c>
      <c r="G281" s="0" t="n">
        <v>10</v>
      </c>
      <c r="H281" s="0" t="n">
        <f aca="false">_xlfn.xlookup(G281, years!A$2:A$836, years!B$2:B$836)</f>
        <v>2007</v>
      </c>
      <c r="I281" s="2" t="n">
        <v>47</v>
      </c>
      <c r="J281" s="0" t="n">
        <v>0.596</v>
      </c>
      <c r="K281" s="0" t="n">
        <v>0.62</v>
      </c>
      <c r="L281" s="3" t="str">
        <f aca="false">IF(K281&gt;0.66,"High",IF(K281&gt;0.33&amp;K281&lt;=0.66,"Medium","Low"))</f>
        <v>Low</v>
      </c>
      <c r="M281" s="0" t="n">
        <v>-6.133</v>
      </c>
      <c r="N281" s="3" t="n">
        <v>0.039</v>
      </c>
      <c r="O281" s="3" t="n">
        <v>0.0122</v>
      </c>
      <c r="P281" s="4" t="n">
        <v>0</v>
      </c>
      <c r="Q281" s="3" t="n">
        <v>0.82</v>
      </c>
      <c r="R281" s="3" t="n">
        <v>0.102</v>
      </c>
      <c r="S281" s="3" t="str">
        <f aca="false">IF(R281 &gt;= 0.5, "Positive", "Negative")</f>
        <v>Negative</v>
      </c>
      <c r="T281" s="2" t="n">
        <v>80.029</v>
      </c>
      <c r="U281" s="0" t="s">
        <v>29</v>
      </c>
    </row>
    <row r="282" customFormat="false" ht="14.25" hidden="false" customHeight="false" outlineLevel="0" collapsed="false">
      <c r="A282" s="0" t="n">
        <v>361</v>
      </c>
      <c r="B282" s="0" t="str">
        <f aca="false">_xlfn.xlookup(A282, artists!A$2:A$836, artists!B$2:B$836)</f>
        <v>Timbaland</v>
      </c>
      <c r="C282" s="1" t="s">
        <v>329</v>
      </c>
      <c r="D282" s="2" t="n">
        <v>232466</v>
      </c>
      <c r="E282" s="2" t="n">
        <f aca="false">D282/1000</f>
        <v>232.466</v>
      </c>
      <c r="F282" s="10" t="b">
        <f aca="false">FALSE()</f>
        <v>0</v>
      </c>
      <c r="G282" s="0" t="n">
        <v>12</v>
      </c>
      <c r="H282" s="0" t="n">
        <f aca="false">_xlfn.xlookup(G282, years!A$2:A$836, years!B$2:B$836)</f>
        <v>2009</v>
      </c>
      <c r="I282" s="2" t="n">
        <v>69</v>
      </c>
      <c r="J282" s="0" t="n">
        <v>0.531</v>
      </c>
      <c r="K282" s="0" t="n">
        <v>0.574</v>
      </c>
      <c r="L282" s="3" t="str">
        <f aca="false">IF(K282&gt;0.66,"High",IF(K282&gt;0.33&amp;K282&lt;=0.66,"Medium","Low"))</f>
        <v>Low</v>
      </c>
      <c r="M282" s="0" t="n">
        <v>-6.693</v>
      </c>
      <c r="N282" s="3" t="n">
        <v>0.113</v>
      </c>
      <c r="O282" s="3" t="n">
        <v>0.114</v>
      </c>
      <c r="P282" s="4" t="n">
        <v>0.0308</v>
      </c>
      <c r="Q282" s="3" t="n">
        <v>0.256</v>
      </c>
      <c r="R282" s="3" t="n">
        <v>0.272</v>
      </c>
      <c r="S282" s="3" t="str">
        <f aca="false">IF(R282 &gt;= 0.5, "Positive", "Negative")</f>
        <v>Negative</v>
      </c>
      <c r="T282" s="2" t="n">
        <v>115.68</v>
      </c>
      <c r="U282" s="0" t="s">
        <v>31</v>
      </c>
    </row>
    <row r="283" customFormat="false" ht="14.25" hidden="false" customHeight="false" outlineLevel="0" collapsed="false">
      <c r="A283" s="0" t="n">
        <v>44</v>
      </c>
      <c r="B283" s="0" t="str">
        <f aca="false">_xlfn.xlookup(A283, artists!A$2:A$836, artists!B$2:B$836)</f>
        <v>Mýa</v>
      </c>
      <c r="C283" s="1" t="s">
        <v>330</v>
      </c>
      <c r="D283" s="2" t="n">
        <v>236906</v>
      </c>
      <c r="E283" s="2" t="n">
        <f aca="false">D283/1000</f>
        <v>236.906</v>
      </c>
      <c r="F283" s="10" t="b">
        <f aca="false">FALSE()</f>
        <v>0</v>
      </c>
      <c r="G283" s="0" t="n">
        <v>3</v>
      </c>
      <c r="H283" s="0" t="n">
        <f aca="false">_xlfn.xlookup(G283, years!A$2:A$836, years!B$2:B$836)</f>
        <v>2000</v>
      </c>
      <c r="I283" s="2" t="n">
        <v>59</v>
      </c>
      <c r="J283" s="0" t="n">
        <v>0.772</v>
      </c>
      <c r="K283" s="0" t="n">
        <v>0.688</v>
      </c>
      <c r="L283" s="3" t="str">
        <f aca="false">IF(K283&gt;0.66,"High",IF(K283&gt;0.33&amp;K283&lt;=0.66,"Medium","Low"))</f>
        <v>High</v>
      </c>
      <c r="M283" s="0" t="n">
        <v>-4.715</v>
      </c>
      <c r="N283" s="3" t="n">
        <v>0.0405</v>
      </c>
      <c r="O283" s="3" t="n">
        <v>0.0548</v>
      </c>
      <c r="P283" s="4" t="n">
        <v>9.79E-005</v>
      </c>
      <c r="Q283" s="3" t="n">
        <v>0.0725</v>
      </c>
      <c r="R283" s="3" t="n">
        <v>0.348</v>
      </c>
      <c r="S283" s="3" t="str">
        <f aca="false">IF(R283 &gt;= 0.5, "Positive", "Negative")</f>
        <v>Negative</v>
      </c>
      <c r="T283" s="2" t="n">
        <v>98</v>
      </c>
      <c r="U283" s="0" t="s">
        <v>33</v>
      </c>
    </row>
    <row r="284" customFormat="false" ht="14.25" hidden="false" customHeight="false" outlineLevel="0" collapsed="false">
      <c r="A284" s="0" t="n">
        <v>9</v>
      </c>
      <c r="B284" s="0" t="str">
        <f aca="false">_xlfn.xlookup(A284, artists!A$2:A$836, artists!B$2:B$836)</f>
        <v>Destiny's Child</v>
      </c>
      <c r="C284" s="1" t="s">
        <v>331</v>
      </c>
      <c r="D284" s="2" t="n">
        <v>245400</v>
      </c>
      <c r="E284" s="2" t="n">
        <f aca="false">D284/1000</f>
        <v>245.4</v>
      </c>
      <c r="F284" s="10" t="b">
        <f aca="false">FALSE()</f>
        <v>0</v>
      </c>
      <c r="G284" s="0" t="n">
        <v>7</v>
      </c>
      <c r="H284" s="0" t="n">
        <f aca="false">_xlfn.xlookup(G284, years!A$2:A$836, years!B$2:B$836)</f>
        <v>2004</v>
      </c>
      <c r="I284" s="2" t="n">
        <v>58</v>
      </c>
      <c r="J284" s="0" t="n">
        <v>0.605</v>
      </c>
      <c r="K284" s="0" t="n">
        <v>0.584</v>
      </c>
      <c r="L284" s="3" t="str">
        <f aca="false">IF(K284&gt;0.66,"High",IF(K284&gt;0.33&amp;K284&lt;=0.66,"Medium","Low"))</f>
        <v>Low</v>
      </c>
      <c r="M284" s="0" t="n">
        <v>-7.043</v>
      </c>
      <c r="N284" s="3" t="n">
        <v>0.197</v>
      </c>
      <c r="O284" s="3" t="n">
        <v>0.286</v>
      </c>
      <c r="P284" s="4" t="n">
        <v>0</v>
      </c>
      <c r="Q284" s="3" t="n">
        <v>0.235</v>
      </c>
      <c r="R284" s="3" t="n">
        <v>0.464</v>
      </c>
      <c r="S284" s="3" t="str">
        <f aca="false">IF(R284 &gt;= 0.5, "Positive", "Negative")</f>
        <v>Negative</v>
      </c>
      <c r="T284" s="2" t="n">
        <v>125.802</v>
      </c>
      <c r="U284" s="0" t="s">
        <v>33</v>
      </c>
    </row>
    <row r="285" customFormat="false" ht="14.25" hidden="false" customHeight="false" outlineLevel="0" collapsed="false">
      <c r="A285" s="0" t="n">
        <v>177</v>
      </c>
      <c r="B285" s="0" t="str">
        <f aca="false">_xlfn.xlookup(A285, artists!A$2:A$836, artists!B$2:B$836)</f>
        <v>A1</v>
      </c>
      <c r="C285" s="1" t="s">
        <v>332</v>
      </c>
      <c r="D285" s="2" t="n">
        <v>206466</v>
      </c>
      <c r="E285" s="2" t="n">
        <f aca="false">D285/1000</f>
        <v>206.466</v>
      </c>
      <c r="F285" s="10" t="b">
        <f aca="false">FALSE()</f>
        <v>0</v>
      </c>
      <c r="G285" s="0" t="n">
        <v>4</v>
      </c>
      <c r="H285" s="0" t="n">
        <f aca="false">_xlfn.xlookup(G285, years!A$2:A$836, years!B$2:B$836)</f>
        <v>2001</v>
      </c>
      <c r="I285" s="2" t="n">
        <v>53</v>
      </c>
      <c r="J285" s="0" t="n">
        <v>0.519</v>
      </c>
      <c r="K285" s="0" t="n">
        <v>0.874</v>
      </c>
      <c r="L285" s="3" t="str">
        <f aca="false">IF(K285&gt;0.66,"High",IF(K285&gt;0.33&amp;K285&lt;=0.66,"Medium","Low"))</f>
        <v>High</v>
      </c>
      <c r="M285" s="0" t="n">
        <v>-5.122</v>
      </c>
      <c r="N285" s="3" t="n">
        <v>0.034</v>
      </c>
      <c r="O285" s="3" t="n">
        <v>0.0524</v>
      </c>
      <c r="P285" s="4" t="n">
        <v>0</v>
      </c>
      <c r="Q285" s="3" t="n">
        <v>0.243</v>
      </c>
      <c r="R285" s="3" t="n">
        <v>0.572</v>
      </c>
      <c r="S285" s="3" t="str">
        <f aca="false">IF(R285 &gt;= 0.5, "Positive", "Negative")</f>
        <v>Positive</v>
      </c>
      <c r="T285" s="2" t="n">
        <v>96.072</v>
      </c>
      <c r="U285" s="0" t="s">
        <v>39</v>
      </c>
    </row>
    <row r="286" customFormat="false" ht="14.25" hidden="false" customHeight="false" outlineLevel="0" collapsed="false">
      <c r="A286" s="0" t="n">
        <v>120</v>
      </c>
      <c r="B286" s="0" t="str">
        <f aca="false">_xlfn.xlookup(A286, artists!A$2:A$836, artists!B$2:B$836)</f>
        <v>Usher</v>
      </c>
      <c r="C286" s="1" t="s">
        <v>333</v>
      </c>
      <c r="D286" s="2" t="n">
        <v>224640</v>
      </c>
      <c r="E286" s="2" t="n">
        <f aca="false">D286/1000</f>
        <v>224.64</v>
      </c>
      <c r="F286" s="10" t="b">
        <f aca="false">FALSE()</f>
        <v>0</v>
      </c>
      <c r="G286" s="0" t="n">
        <v>7</v>
      </c>
      <c r="H286" s="0" t="n">
        <f aca="false">_xlfn.xlookup(G286, years!A$2:A$836, years!B$2:B$836)</f>
        <v>2004</v>
      </c>
      <c r="I286" s="2" t="n">
        <v>61</v>
      </c>
      <c r="J286" s="0" t="n">
        <v>0.817</v>
      </c>
      <c r="K286" s="0" t="n">
        <v>0.806</v>
      </c>
      <c r="L286" s="3" t="str">
        <f aca="false">IF(K286&gt;0.66,"High",IF(K286&gt;0.33&amp;K286&lt;=0.66,"Medium","Low"))</f>
        <v>High</v>
      </c>
      <c r="M286" s="0" t="n">
        <v>-4.606</v>
      </c>
      <c r="N286" s="3" t="n">
        <v>0.0623</v>
      </c>
      <c r="O286" s="3" t="n">
        <v>0.027</v>
      </c>
      <c r="P286" s="4" t="n">
        <v>9E-006</v>
      </c>
      <c r="Q286" s="3" t="n">
        <v>0.119</v>
      </c>
      <c r="R286" s="3" t="n">
        <v>0.805</v>
      </c>
      <c r="S286" s="3" t="str">
        <f aca="false">IF(R286 &gt;= 0.5, "Positive", "Negative")</f>
        <v>Positive</v>
      </c>
      <c r="T286" s="2" t="n">
        <v>110.086</v>
      </c>
      <c r="U286" s="0" t="s">
        <v>31</v>
      </c>
    </row>
    <row r="287" customFormat="false" ht="14.25" hidden="false" customHeight="false" outlineLevel="0" collapsed="false">
      <c r="A287" s="0" t="n">
        <v>679</v>
      </c>
      <c r="B287" s="0" t="str">
        <f aca="false">_xlfn.xlookup(A287, artists!A$2:A$836, artists!B$2:B$836)</f>
        <v>Joel Adams</v>
      </c>
      <c r="C287" s="1" t="s">
        <v>334</v>
      </c>
      <c r="D287" s="2" t="n">
        <v>210580</v>
      </c>
      <c r="E287" s="2" t="n">
        <f aca="false">D287/1000</f>
        <v>210.58</v>
      </c>
      <c r="F287" s="10" t="b">
        <f aca="false">FALSE()</f>
        <v>0</v>
      </c>
      <c r="G287" s="0" t="n">
        <v>18</v>
      </c>
      <c r="H287" s="0" t="n">
        <f aca="false">_xlfn.xlookup(G287, years!A$2:A$836, years!B$2:B$836)</f>
        <v>2015</v>
      </c>
      <c r="I287" s="2" t="n">
        <v>71</v>
      </c>
      <c r="J287" s="0" t="n">
        <v>0.513</v>
      </c>
      <c r="K287" s="0" t="n">
        <v>0.768</v>
      </c>
      <c r="L287" s="3" t="str">
        <f aca="false">IF(K287&gt;0.66,"High",IF(K287&gt;0.33&amp;K287&lt;=0.66,"Medium","Low"))</f>
        <v>High</v>
      </c>
      <c r="M287" s="0" t="n">
        <v>-4.868</v>
      </c>
      <c r="N287" s="3" t="n">
        <v>0.0587</v>
      </c>
      <c r="O287" s="3" t="n">
        <v>0.0118</v>
      </c>
      <c r="P287" s="4" t="n">
        <v>1.94E-005</v>
      </c>
      <c r="Q287" s="3" t="n">
        <v>0.294</v>
      </c>
      <c r="R287" s="3" t="n">
        <v>0.235</v>
      </c>
      <c r="S287" s="3" t="str">
        <f aca="false">IF(R287 &gt;= 0.5, "Positive", "Negative")</f>
        <v>Negative</v>
      </c>
      <c r="T287" s="2" t="n">
        <v>84.264</v>
      </c>
      <c r="U287" s="0" t="s">
        <v>128</v>
      </c>
    </row>
    <row r="288" customFormat="false" ht="14.25" hidden="false" customHeight="false" outlineLevel="0" collapsed="false">
      <c r="A288" s="0" t="n">
        <v>261</v>
      </c>
      <c r="B288" s="0" t="str">
        <f aca="false">_xlfn.xlookup(A288, artists!A$2:A$836, artists!B$2:B$836)</f>
        <v>DJ Casper</v>
      </c>
      <c r="C288" s="1" t="s">
        <v>335</v>
      </c>
      <c r="D288" s="2" t="n">
        <v>222146</v>
      </c>
      <c r="E288" s="2" t="n">
        <f aca="false">D288/1000</f>
        <v>222.146</v>
      </c>
      <c r="F288" s="10" t="b">
        <f aca="false">FALSE()</f>
        <v>0</v>
      </c>
      <c r="G288" s="0" t="n">
        <v>7</v>
      </c>
      <c r="H288" s="0" t="n">
        <f aca="false">_xlfn.xlookup(G288, years!A$2:A$836, years!B$2:B$836)</f>
        <v>2004</v>
      </c>
      <c r="I288" s="2" t="n">
        <v>51</v>
      </c>
      <c r="J288" s="0" t="n">
        <v>0.853</v>
      </c>
      <c r="K288" s="0" t="n">
        <v>0.911</v>
      </c>
      <c r="L288" s="3" t="str">
        <f aca="false">IF(K288&gt;0.66,"High",IF(K288&gt;0.33&amp;K288&lt;=0.66,"Medium","Low"))</f>
        <v>High</v>
      </c>
      <c r="M288" s="0" t="n">
        <v>-6.722</v>
      </c>
      <c r="N288" s="3" t="n">
        <v>0.125</v>
      </c>
      <c r="O288" s="3" t="n">
        <v>0.0436</v>
      </c>
      <c r="P288" s="4" t="n">
        <v>0.00571</v>
      </c>
      <c r="Q288" s="3" t="n">
        <v>0.287</v>
      </c>
      <c r="R288" s="3" t="n">
        <v>0.802</v>
      </c>
      <c r="S288" s="3" t="str">
        <f aca="false">IF(R288 &gt;= 0.5, "Positive", "Negative")</f>
        <v>Positive</v>
      </c>
      <c r="T288" s="2" t="n">
        <v>131.012</v>
      </c>
      <c r="U288" s="0" t="s">
        <v>118</v>
      </c>
    </row>
    <row r="289" customFormat="false" ht="14.25" hidden="false" customHeight="false" outlineLevel="0" collapsed="false">
      <c r="A289" s="0" t="n">
        <v>339</v>
      </c>
      <c r="B289" s="0" t="str">
        <f aca="false">_xlfn.xlookup(A289, artists!A$2:A$836, artists!B$2:B$836)</f>
        <v>Jibbs</v>
      </c>
      <c r="C289" s="1" t="s">
        <v>336</v>
      </c>
      <c r="D289" s="2" t="n">
        <v>207586</v>
      </c>
      <c r="E289" s="2" t="n">
        <f aca="false">D289/1000</f>
        <v>207.586</v>
      </c>
      <c r="F289" s="10" t="b">
        <f aca="false">TRUE()</f>
        <v>1</v>
      </c>
      <c r="G289" s="0" t="n">
        <v>9</v>
      </c>
      <c r="H289" s="0" t="n">
        <f aca="false">_xlfn.xlookup(G289, years!A$2:A$836, years!B$2:B$836)</f>
        <v>2006</v>
      </c>
      <c r="I289" s="2" t="n">
        <v>56</v>
      </c>
      <c r="J289" s="0" t="n">
        <v>0.792</v>
      </c>
      <c r="K289" s="0" t="n">
        <v>0.589</v>
      </c>
      <c r="L289" s="3" t="str">
        <f aca="false">IF(K289&gt;0.66,"High",IF(K289&gt;0.33&amp;K289&lt;=0.66,"Medium","Low"))</f>
        <v>Low</v>
      </c>
      <c r="M289" s="0" t="n">
        <v>-6.869</v>
      </c>
      <c r="N289" s="3" t="n">
        <v>0.262</v>
      </c>
      <c r="O289" s="3" t="n">
        <v>0.0259</v>
      </c>
      <c r="P289" s="4" t="n">
        <v>0.000128</v>
      </c>
      <c r="Q289" s="3" t="n">
        <v>0.114</v>
      </c>
      <c r="R289" s="3" t="n">
        <v>0.778</v>
      </c>
      <c r="S289" s="3" t="str">
        <f aca="false">IF(R289 &gt;= 0.5, "Positive", "Negative")</f>
        <v>Positive</v>
      </c>
      <c r="T289" s="2" t="n">
        <v>157.147</v>
      </c>
      <c r="U289" s="0" t="s">
        <v>24</v>
      </c>
    </row>
    <row r="290" customFormat="false" ht="14.25" hidden="false" customHeight="false" outlineLevel="0" collapsed="false">
      <c r="A290" s="0" t="n">
        <v>664</v>
      </c>
      <c r="B290" s="0" t="str">
        <f aca="false">_xlfn.xlookup(A290, artists!A$2:A$836, artists!B$2:B$836)</f>
        <v>Fetty Wap</v>
      </c>
      <c r="C290" s="1" t="s">
        <v>337</v>
      </c>
      <c r="D290" s="2" t="n">
        <v>222093</v>
      </c>
      <c r="E290" s="2" t="n">
        <f aca="false">D290/1000</f>
        <v>222.093</v>
      </c>
      <c r="F290" s="10" t="b">
        <f aca="false">TRUE()</f>
        <v>1</v>
      </c>
      <c r="G290" s="0" t="n">
        <v>18</v>
      </c>
      <c r="H290" s="0" t="n">
        <f aca="false">_xlfn.xlookup(G290, years!A$2:A$836, years!B$2:B$836)</f>
        <v>2015</v>
      </c>
      <c r="I290" s="2" t="n">
        <v>68</v>
      </c>
      <c r="J290" s="0" t="n">
        <v>0.746</v>
      </c>
      <c r="K290" s="0" t="n">
        <v>0.873</v>
      </c>
      <c r="L290" s="3" t="str">
        <f aca="false">IF(K290&gt;0.66,"High",IF(K290&gt;0.33&amp;K290&lt;=0.66,"Medium","Low"))</f>
        <v>High</v>
      </c>
      <c r="M290" s="0" t="n">
        <v>-3.803</v>
      </c>
      <c r="N290" s="3" t="n">
        <v>0.128</v>
      </c>
      <c r="O290" s="3" t="n">
        <v>0.0244</v>
      </c>
      <c r="P290" s="4" t="n">
        <v>0</v>
      </c>
      <c r="Q290" s="3" t="n">
        <v>0.354</v>
      </c>
      <c r="R290" s="3" t="n">
        <v>0.817</v>
      </c>
      <c r="S290" s="3" t="str">
        <f aca="false">IF(R290 &gt;= 0.5, "Positive", "Negative")</f>
        <v>Positive</v>
      </c>
      <c r="T290" s="2" t="n">
        <v>148.075</v>
      </c>
      <c r="U290" s="0" t="s">
        <v>24</v>
      </c>
    </row>
    <row r="291" customFormat="false" ht="14.25" hidden="false" customHeight="false" outlineLevel="0" collapsed="false">
      <c r="A291" s="0" t="n">
        <v>524</v>
      </c>
      <c r="B291" s="0" t="str">
        <f aca="false">_xlfn.xlookup(A291, artists!A$2:A$836, artists!B$2:B$836)</f>
        <v>Chip</v>
      </c>
      <c r="C291" s="1" t="s">
        <v>338</v>
      </c>
      <c r="D291" s="2" t="n">
        <v>237293</v>
      </c>
      <c r="E291" s="2" t="n">
        <f aca="false">D291/1000</f>
        <v>237.293</v>
      </c>
      <c r="F291" s="10" t="b">
        <f aca="false">TRUE()</f>
        <v>1</v>
      </c>
      <c r="G291" s="0" t="n">
        <v>14</v>
      </c>
      <c r="H291" s="0" t="n">
        <f aca="false">_xlfn.xlookup(G291, years!A$2:A$836, years!B$2:B$836)</f>
        <v>2011</v>
      </c>
      <c r="I291" s="2" t="n">
        <v>48</v>
      </c>
      <c r="J291" s="0" t="n">
        <v>0.415</v>
      </c>
      <c r="K291" s="0" t="n">
        <v>0.934</v>
      </c>
      <c r="L291" s="3" t="str">
        <f aca="false">IF(K291&gt;0.66,"High",IF(K291&gt;0.33&amp;K291&lt;=0.66,"Medium","Low"))</f>
        <v>High</v>
      </c>
      <c r="M291" s="0" t="n">
        <v>-2.914</v>
      </c>
      <c r="N291" s="3" t="n">
        <v>0.24</v>
      </c>
      <c r="O291" s="3" t="n">
        <v>0.078</v>
      </c>
      <c r="P291" s="4" t="n">
        <v>0</v>
      </c>
      <c r="Q291" s="3" t="n">
        <v>0.145</v>
      </c>
      <c r="R291" s="3" t="n">
        <v>0.52</v>
      </c>
      <c r="S291" s="3" t="str">
        <f aca="false">IF(R291 &gt;= 0.5, "Positive", "Negative")</f>
        <v>Positive</v>
      </c>
      <c r="T291" s="2" t="n">
        <v>190.151</v>
      </c>
      <c r="U291" s="0" t="s">
        <v>143</v>
      </c>
    </row>
    <row r="292" customFormat="false" ht="14.25" hidden="false" customHeight="false" outlineLevel="0" collapsed="false">
      <c r="A292" s="0" t="n">
        <v>605</v>
      </c>
      <c r="B292" s="0" t="str">
        <f aca="false">_xlfn.xlookup(A292, artists!A$2:A$836, artists!B$2:B$836)</f>
        <v>Sia</v>
      </c>
      <c r="C292" s="1" t="s">
        <v>339</v>
      </c>
      <c r="D292" s="2" t="n">
        <v>216120</v>
      </c>
      <c r="E292" s="2" t="n">
        <f aca="false">D292/1000</f>
        <v>216.12</v>
      </c>
      <c r="F292" s="10" t="b">
        <f aca="false">FALSE()</f>
        <v>0</v>
      </c>
      <c r="G292" s="0" t="n">
        <v>17</v>
      </c>
      <c r="H292" s="0" t="n">
        <f aca="false">_xlfn.xlookup(G292, years!A$2:A$836, years!B$2:B$836)</f>
        <v>2014</v>
      </c>
      <c r="I292" s="2" t="n">
        <v>78</v>
      </c>
      <c r="J292" s="0" t="n">
        <v>0.399</v>
      </c>
      <c r="K292" s="0" t="n">
        <v>0.787</v>
      </c>
      <c r="L292" s="3" t="str">
        <f aca="false">IF(K292&gt;0.66,"High",IF(K292&gt;0.33&amp;K292&lt;=0.66,"Medium","Low"))</f>
        <v>High</v>
      </c>
      <c r="M292" s="0" t="n">
        <v>-2.88</v>
      </c>
      <c r="N292" s="3" t="n">
        <v>0.0499</v>
      </c>
      <c r="O292" s="3" t="n">
        <v>0.0197</v>
      </c>
      <c r="P292" s="4" t="n">
        <v>6.07E-005</v>
      </c>
      <c r="Q292" s="3" t="n">
        <v>0.0685</v>
      </c>
      <c r="R292" s="3" t="n">
        <v>0.572</v>
      </c>
      <c r="S292" s="3" t="str">
        <f aca="false">IF(R292 &gt;= 0.5, "Positive", "Negative")</f>
        <v>Positive</v>
      </c>
      <c r="T292" s="2" t="n">
        <v>117.089</v>
      </c>
      <c r="U292" s="0" t="s">
        <v>39</v>
      </c>
    </row>
    <row r="293" customFormat="false" ht="14.25" hidden="false" customHeight="false" outlineLevel="0" collapsed="false">
      <c r="A293" s="0" t="n">
        <v>494</v>
      </c>
      <c r="B293" s="0" t="str">
        <f aca="false">_xlfn.xlookup(A293, artists!A$2:A$836, artists!B$2:B$836)</f>
        <v>Example</v>
      </c>
      <c r="C293" s="1" t="s">
        <v>340</v>
      </c>
      <c r="D293" s="2" t="n">
        <v>195466</v>
      </c>
      <c r="E293" s="2" t="n">
        <f aca="false">D293/1000</f>
        <v>195.466</v>
      </c>
      <c r="F293" s="10" t="b">
        <f aca="false">FALSE()</f>
        <v>0</v>
      </c>
      <c r="G293" s="0" t="n">
        <v>14</v>
      </c>
      <c r="H293" s="0" t="n">
        <f aca="false">_xlfn.xlookup(G293, years!A$2:A$836, years!B$2:B$836)</f>
        <v>2011</v>
      </c>
      <c r="I293" s="2" t="n">
        <v>42</v>
      </c>
      <c r="J293" s="0" t="n">
        <v>0.578</v>
      </c>
      <c r="K293" s="0" t="n">
        <v>0.857</v>
      </c>
      <c r="L293" s="3" t="str">
        <f aca="false">IF(K293&gt;0.66,"High",IF(K293&gt;0.33&amp;K293&lt;=0.66,"Medium","Low"))</f>
        <v>High</v>
      </c>
      <c r="M293" s="0" t="n">
        <v>-3.78</v>
      </c>
      <c r="N293" s="3" t="n">
        <v>0.041</v>
      </c>
      <c r="O293" s="3" t="n">
        <v>0.00548</v>
      </c>
      <c r="P293" s="4" t="n">
        <v>0.00162</v>
      </c>
      <c r="Q293" s="3" t="n">
        <v>0.0948</v>
      </c>
      <c r="R293" s="3" t="n">
        <v>0.188</v>
      </c>
      <c r="S293" s="3" t="str">
        <f aca="false">IF(R293 &gt;= 0.5, "Positive", "Negative")</f>
        <v>Negative</v>
      </c>
      <c r="T293" s="2" t="n">
        <v>126.979</v>
      </c>
      <c r="U293" s="0" t="s">
        <v>22</v>
      </c>
    </row>
    <row r="294" customFormat="false" ht="14.25" hidden="false" customHeight="false" outlineLevel="0" collapsed="false">
      <c r="A294" s="0" t="n">
        <v>740</v>
      </c>
      <c r="B294" s="0" t="str">
        <f aca="false">_xlfn.xlookup(A294, artists!A$2:A$836, artists!B$2:B$836)</f>
        <v>XXXTENTACION</v>
      </c>
      <c r="C294" s="1" t="s">
        <v>341</v>
      </c>
      <c r="D294" s="2" t="n">
        <v>121886</v>
      </c>
      <c r="E294" s="2" t="n">
        <f aca="false">D294/1000</f>
        <v>121.886</v>
      </c>
      <c r="F294" s="10" t="b">
        <f aca="false">FALSE()</f>
        <v>0</v>
      </c>
      <c r="G294" s="0" t="n">
        <v>21</v>
      </c>
      <c r="H294" s="0" t="n">
        <f aca="false">_xlfn.xlookup(G294, years!A$2:A$836, years!B$2:B$836)</f>
        <v>2018</v>
      </c>
      <c r="I294" s="2" t="n">
        <v>79</v>
      </c>
      <c r="J294" s="0" t="n">
        <v>0.669</v>
      </c>
      <c r="K294" s="0" t="n">
        <v>0.308</v>
      </c>
      <c r="L294" s="3" t="str">
        <f aca="false">IF(K294&gt;0.66,"High",IF(K294&gt;0.33&amp;K294&lt;=0.66,"Medium","Low"))</f>
        <v>Low</v>
      </c>
      <c r="M294" s="0" t="n">
        <v>-10.068</v>
      </c>
      <c r="N294" s="3" t="n">
        <v>0.029</v>
      </c>
      <c r="O294" s="3" t="n">
        <v>0.883</v>
      </c>
      <c r="P294" s="4" t="n">
        <v>0</v>
      </c>
      <c r="Q294" s="3" t="n">
        <v>0.0984</v>
      </c>
      <c r="R294" s="3" t="n">
        <v>0.52</v>
      </c>
      <c r="S294" s="3" t="str">
        <f aca="false">IF(R294 &gt;= 0.5, "Positive", "Negative")</f>
        <v>Positive</v>
      </c>
      <c r="T294" s="2" t="n">
        <v>64.934</v>
      </c>
      <c r="U294" s="0" t="s">
        <v>29</v>
      </c>
    </row>
    <row r="295" customFormat="false" ht="14.25" hidden="false" customHeight="false" outlineLevel="0" collapsed="false">
      <c r="A295" s="0" t="n">
        <v>436</v>
      </c>
      <c r="B295" s="0" t="str">
        <f aca="false">_xlfn.xlookup(A295, artists!A$2:A$836, artists!B$2:B$836)</f>
        <v>Adele</v>
      </c>
      <c r="C295" s="1" t="s">
        <v>342</v>
      </c>
      <c r="D295" s="2" t="n">
        <v>210506</v>
      </c>
      <c r="E295" s="2" t="n">
        <f aca="false">D295/1000</f>
        <v>210.506</v>
      </c>
      <c r="F295" s="10" t="b">
        <f aca="false">FALSE()</f>
        <v>0</v>
      </c>
      <c r="G295" s="0" t="n">
        <v>11</v>
      </c>
      <c r="H295" s="0" t="n">
        <f aca="false">_xlfn.xlookup(G295, years!A$2:A$836, years!B$2:B$836)</f>
        <v>2008</v>
      </c>
      <c r="I295" s="2" t="n">
        <v>1</v>
      </c>
      <c r="J295" s="0" t="n">
        <v>0.614</v>
      </c>
      <c r="K295" s="0" t="n">
        <v>0.47</v>
      </c>
      <c r="L295" s="3" t="str">
        <f aca="false">IF(K295&gt;0.66,"High",IF(K295&gt;0.33&amp;K295&lt;=0.66,"Medium","Low"))</f>
        <v>Low</v>
      </c>
      <c r="M295" s="0" t="n">
        <v>-6.09</v>
      </c>
      <c r="N295" s="3" t="n">
        <v>0.0255</v>
      </c>
      <c r="O295" s="3" t="n">
        <v>0.291</v>
      </c>
      <c r="P295" s="4" t="n">
        <v>0</v>
      </c>
      <c r="Q295" s="3" t="n">
        <v>0.111</v>
      </c>
      <c r="R295" s="3" t="n">
        <v>0.329</v>
      </c>
      <c r="S295" s="3" t="str">
        <f aca="false">IF(R295 &gt;= 0.5, "Positive", "Negative")</f>
        <v>Negative</v>
      </c>
      <c r="T295" s="2" t="n">
        <v>80.045</v>
      </c>
      <c r="U295" s="0" t="s">
        <v>33</v>
      </c>
    </row>
    <row r="296" customFormat="false" ht="14.25" hidden="false" customHeight="false" outlineLevel="0" collapsed="false">
      <c r="A296" s="0" t="n">
        <v>497</v>
      </c>
      <c r="B296" s="0" t="str">
        <f aca="false">_xlfn.xlookup(A296, artists!A$2:A$836, artists!B$2:B$836)</f>
        <v>The Wanted</v>
      </c>
      <c r="C296" s="1" t="s">
        <v>343</v>
      </c>
      <c r="D296" s="2" t="n">
        <v>198800</v>
      </c>
      <c r="E296" s="2" t="n">
        <f aca="false">D296/1000</f>
        <v>198.8</v>
      </c>
      <c r="F296" s="10" t="b">
        <f aca="false">FALSE()</f>
        <v>0</v>
      </c>
      <c r="G296" s="0" t="n">
        <v>15</v>
      </c>
      <c r="H296" s="0" t="n">
        <f aca="false">_xlfn.xlookup(G296, years!A$2:A$836, years!B$2:B$836)</f>
        <v>2012</v>
      </c>
      <c r="I296" s="2" t="n">
        <v>69</v>
      </c>
      <c r="J296" s="0" t="n">
        <v>0.637</v>
      </c>
      <c r="K296" s="0" t="n">
        <v>0.732</v>
      </c>
      <c r="L296" s="3" t="str">
        <f aca="false">IF(K296&gt;0.66,"High",IF(K296&gt;0.33&amp;K296&lt;=0.66,"Medium","Low"))</f>
        <v>High</v>
      </c>
      <c r="M296" s="0" t="n">
        <v>-6.209</v>
      </c>
      <c r="N296" s="3" t="n">
        <v>0.0965</v>
      </c>
      <c r="O296" s="3" t="n">
        <v>0.244</v>
      </c>
      <c r="P296" s="4" t="n">
        <v>0</v>
      </c>
      <c r="Q296" s="3" t="n">
        <v>0.498</v>
      </c>
      <c r="R296" s="3" t="n">
        <v>0.68</v>
      </c>
      <c r="S296" s="3" t="str">
        <f aca="false">IF(R296 &gt;= 0.5, "Positive", "Negative")</f>
        <v>Positive</v>
      </c>
      <c r="T296" s="2" t="n">
        <v>128.108</v>
      </c>
      <c r="U296" s="0" t="s">
        <v>22</v>
      </c>
    </row>
    <row r="297" customFormat="false" ht="14.25" hidden="false" customHeight="false" outlineLevel="0" collapsed="false">
      <c r="A297" s="0" t="n">
        <v>397</v>
      </c>
      <c r="B297" s="0" t="str">
        <f aca="false">_xlfn.xlookup(A297, artists!A$2:A$836, artists!B$2:B$836)</f>
        <v>Flo Rida</v>
      </c>
      <c r="C297" s="1" t="s">
        <v>344</v>
      </c>
      <c r="D297" s="2" t="n">
        <v>224258</v>
      </c>
      <c r="E297" s="2" t="n">
        <f aca="false">D297/1000</f>
        <v>224.258</v>
      </c>
      <c r="F297" s="10" t="b">
        <f aca="false">FALSE()</f>
        <v>0</v>
      </c>
      <c r="G297" s="0" t="n">
        <v>18</v>
      </c>
      <c r="H297" s="0" t="n">
        <f aca="false">_xlfn.xlookup(G297, years!A$2:A$836, years!B$2:B$836)</f>
        <v>2015</v>
      </c>
      <c r="I297" s="2" t="n">
        <v>67</v>
      </c>
      <c r="J297" s="0" t="n">
        <v>0.854</v>
      </c>
      <c r="K297" s="0" t="n">
        <v>0.766</v>
      </c>
      <c r="L297" s="3" t="str">
        <f aca="false">IF(K297&gt;0.66,"High",IF(K297&gt;0.33&amp;K297&lt;=0.66,"Medium","Low"))</f>
        <v>High</v>
      </c>
      <c r="M297" s="0" t="n">
        <v>-4.697</v>
      </c>
      <c r="N297" s="3" t="n">
        <v>0.141</v>
      </c>
      <c r="O297" s="3" t="n">
        <v>0.0242</v>
      </c>
      <c r="P297" s="4" t="n">
        <v>0</v>
      </c>
      <c r="Q297" s="3" t="n">
        <v>0.0793</v>
      </c>
      <c r="R297" s="3" t="n">
        <v>0.784</v>
      </c>
      <c r="S297" s="3" t="str">
        <f aca="false">IF(R297 &gt;= 0.5, "Positive", "Negative")</f>
        <v>Positive</v>
      </c>
      <c r="T297" s="2" t="n">
        <v>118.004</v>
      </c>
      <c r="U297" s="0" t="s">
        <v>24</v>
      </c>
    </row>
    <row r="298" customFormat="false" ht="14.25" hidden="false" customHeight="false" outlineLevel="0" collapsed="false">
      <c r="A298" s="0" t="n">
        <v>192</v>
      </c>
      <c r="B298" s="0" t="str">
        <f aca="false">_xlfn.xlookup(A298, artists!A$2:A$836, artists!B$2:B$836)</f>
        <v>Beyoncé</v>
      </c>
      <c r="C298" s="1" t="s">
        <v>345</v>
      </c>
      <c r="D298" s="2" t="n">
        <v>236133</v>
      </c>
      <c r="E298" s="2" t="n">
        <f aca="false">D298/1000</f>
        <v>236.133</v>
      </c>
      <c r="F298" s="10" t="b">
        <f aca="false">FALSE()</f>
        <v>0</v>
      </c>
      <c r="G298" s="0" t="n">
        <v>6</v>
      </c>
      <c r="H298" s="0" t="n">
        <f aca="false">_xlfn.xlookup(G298, years!A$2:A$836, years!B$2:B$836)</f>
        <v>2003</v>
      </c>
      <c r="I298" s="2" t="n">
        <v>76</v>
      </c>
      <c r="J298" s="0" t="n">
        <v>0.646</v>
      </c>
      <c r="K298" s="0" t="n">
        <v>0.77</v>
      </c>
      <c r="L298" s="3" t="str">
        <f aca="false">IF(K298&gt;0.66,"High",IF(K298&gt;0.33&amp;K298&lt;=0.66,"Medium","Low"))</f>
        <v>High</v>
      </c>
      <c r="M298" s="0" t="n">
        <v>-6.596</v>
      </c>
      <c r="N298" s="3" t="n">
        <v>0.226</v>
      </c>
      <c r="O298" s="3" t="n">
        <v>0.00249</v>
      </c>
      <c r="P298" s="4" t="n">
        <v>0</v>
      </c>
      <c r="Q298" s="3" t="n">
        <v>0.0715</v>
      </c>
      <c r="R298" s="3" t="n">
        <v>0.681</v>
      </c>
      <c r="S298" s="3" t="str">
        <f aca="false">IF(R298 &gt;= 0.5, "Positive", "Negative")</f>
        <v>Positive</v>
      </c>
      <c r="T298" s="2" t="n">
        <v>99.165</v>
      </c>
      <c r="U298" s="0" t="s">
        <v>33</v>
      </c>
    </row>
    <row r="299" customFormat="false" ht="14.25" hidden="false" customHeight="false" outlineLevel="0" collapsed="false">
      <c r="A299" s="0" t="n">
        <v>347</v>
      </c>
      <c r="B299" s="0" t="str">
        <f aca="false">_xlfn.xlookup(A299, artists!A$2:A$836, artists!B$2:B$836)</f>
        <v>The Fratellis</v>
      </c>
      <c r="C299" s="1" t="s">
        <v>346</v>
      </c>
      <c r="D299" s="2" t="n">
        <v>215306</v>
      </c>
      <c r="E299" s="2" t="n">
        <f aca="false">D299/1000</f>
        <v>215.306</v>
      </c>
      <c r="F299" s="10" t="b">
        <f aca="false">FALSE()</f>
        <v>0</v>
      </c>
      <c r="G299" s="0" t="n">
        <v>9</v>
      </c>
      <c r="H299" s="0" t="n">
        <f aca="false">_xlfn.xlookup(G299, years!A$2:A$836, years!B$2:B$836)</f>
        <v>2006</v>
      </c>
      <c r="I299" s="2" t="n">
        <v>68</v>
      </c>
      <c r="J299" s="0" t="n">
        <v>0.511</v>
      </c>
      <c r="K299" s="0" t="n">
        <v>0.815</v>
      </c>
      <c r="L299" s="3" t="str">
        <f aca="false">IF(K299&gt;0.66,"High",IF(K299&gt;0.33&amp;K299&lt;=0.66,"Medium","Low"))</f>
        <v>High</v>
      </c>
      <c r="M299" s="0" t="n">
        <v>-3.14</v>
      </c>
      <c r="N299" s="3" t="n">
        <v>0.144</v>
      </c>
      <c r="O299" s="3" t="n">
        <v>0.0491</v>
      </c>
      <c r="P299" s="4" t="n">
        <v>0</v>
      </c>
      <c r="Q299" s="3" t="n">
        <v>0.0826</v>
      </c>
      <c r="R299" s="3" t="n">
        <v>0.586</v>
      </c>
      <c r="S299" s="3" t="str">
        <f aca="false">IF(R299 &gt;= 0.5, "Positive", "Negative")</f>
        <v>Positive</v>
      </c>
      <c r="T299" s="2" t="n">
        <v>154.514</v>
      </c>
      <c r="U299" s="0" t="s">
        <v>43</v>
      </c>
    </row>
    <row r="300" customFormat="false" ht="14.25" hidden="false" customHeight="false" outlineLevel="0" collapsed="false">
      <c r="A300" s="0" t="n">
        <v>649</v>
      </c>
      <c r="B300" s="0" t="str">
        <f aca="false">_xlfn.xlookup(A300, artists!A$2:A$836, artists!B$2:B$836)</f>
        <v>Rob $tone</v>
      </c>
      <c r="C300" s="1" t="s">
        <v>347</v>
      </c>
      <c r="D300" s="2" t="n">
        <v>177184</v>
      </c>
      <c r="E300" s="2" t="n">
        <f aca="false">D300/1000</f>
        <v>177.184</v>
      </c>
      <c r="F300" s="10" t="b">
        <f aca="false">TRUE()</f>
        <v>1</v>
      </c>
      <c r="G300" s="0" t="n">
        <v>19</v>
      </c>
      <c r="H300" s="0" t="n">
        <f aca="false">_xlfn.xlookup(G300, years!A$2:A$836, years!B$2:B$836)</f>
        <v>2016</v>
      </c>
      <c r="I300" s="2" t="n">
        <v>76</v>
      </c>
      <c r="J300" s="0" t="n">
        <v>0.886</v>
      </c>
      <c r="K300" s="0" t="n">
        <v>0.427</v>
      </c>
      <c r="L300" s="3" t="str">
        <f aca="false">IF(K300&gt;0.66,"High",IF(K300&gt;0.33&amp;K300&lt;=0.66,"Medium","Low"))</f>
        <v>Low</v>
      </c>
      <c r="M300" s="0" t="n">
        <v>-10.028</v>
      </c>
      <c r="N300" s="3" t="n">
        <v>0.145</v>
      </c>
      <c r="O300" s="3" t="n">
        <v>0.0312</v>
      </c>
      <c r="P300" s="4" t="n">
        <v>0.00099</v>
      </c>
      <c r="Q300" s="3" t="n">
        <v>0.0906</v>
      </c>
      <c r="R300" s="3" t="n">
        <v>0.23</v>
      </c>
      <c r="S300" s="3" t="str">
        <f aca="false">IF(R300 &gt;= 0.5, "Positive", "Negative")</f>
        <v>Negative</v>
      </c>
      <c r="T300" s="2" t="n">
        <v>108.034</v>
      </c>
      <c r="U300" s="0" t="s">
        <v>29</v>
      </c>
    </row>
    <row r="301" customFormat="false" ht="14.25" hidden="false" customHeight="false" outlineLevel="0" collapsed="false">
      <c r="A301" s="0" t="n">
        <v>812</v>
      </c>
      <c r="B301" s="0" t="str">
        <f aca="false">_xlfn.xlookup(A301, artists!A$2:A$836, artists!B$2:B$836)</f>
        <v>Anuel AA</v>
      </c>
      <c r="C301" s="1" t="s">
        <v>348</v>
      </c>
      <c r="D301" s="2" t="n">
        <v>301714</v>
      </c>
      <c r="E301" s="2" t="n">
        <f aca="false">D301/1000</f>
        <v>301.714</v>
      </c>
      <c r="F301" s="10" t="b">
        <f aca="false">FALSE()</f>
        <v>0</v>
      </c>
      <c r="G301" s="0" t="n">
        <v>22</v>
      </c>
      <c r="H301" s="0" t="n">
        <f aca="false">_xlfn.xlookup(G301, years!A$2:A$836, years!B$2:B$836)</f>
        <v>2019</v>
      </c>
      <c r="I301" s="2" t="n">
        <v>76</v>
      </c>
      <c r="J301" s="0" t="n">
        <v>0.786</v>
      </c>
      <c r="K301" s="0" t="n">
        <v>0.808</v>
      </c>
      <c r="L301" s="3" t="str">
        <f aca="false">IF(K301&gt;0.66,"High",IF(K301&gt;0.33&amp;K301&lt;=0.66,"Medium","Low"))</f>
        <v>High</v>
      </c>
      <c r="M301" s="0" t="n">
        <v>-3.702</v>
      </c>
      <c r="N301" s="3" t="n">
        <v>0.0882</v>
      </c>
      <c r="O301" s="3" t="n">
        <v>0.0846</v>
      </c>
      <c r="P301" s="4" t="n">
        <v>0.000289</v>
      </c>
      <c r="Q301" s="3" t="n">
        <v>0.0822</v>
      </c>
      <c r="R301" s="3" t="n">
        <v>0.609</v>
      </c>
      <c r="S301" s="3" t="str">
        <f aca="false">IF(R301 &gt;= 0.5, "Positive", "Negative")</f>
        <v>Positive</v>
      </c>
      <c r="T301" s="2" t="n">
        <v>105.027</v>
      </c>
      <c r="U301" s="0" t="s">
        <v>312</v>
      </c>
    </row>
    <row r="302" customFormat="false" ht="14.25" hidden="false" customHeight="false" outlineLevel="0" collapsed="false">
      <c r="A302" s="0" t="n">
        <v>645</v>
      </c>
      <c r="B302" s="0" t="str">
        <f aca="false">_xlfn.xlookup(A302, artists!A$2:A$836, artists!B$2:B$836)</f>
        <v>Deorro</v>
      </c>
      <c r="C302" s="1" t="s">
        <v>349</v>
      </c>
      <c r="D302" s="2" t="n">
        <v>211975</v>
      </c>
      <c r="E302" s="2" t="n">
        <f aca="false">D302/1000</f>
        <v>211.975</v>
      </c>
      <c r="F302" s="10" t="b">
        <f aca="false">FALSE()</f>
        <v>0</v>
      </c>
      <c r="G302" s="0" t="n">
        <v>18</v>
      </c>
      <c r="H302" s="0" t="n">
        <f aca="false">_xlfn.xlookup(G302, years!A$2:A$836, years!B$2:B$836)</f>
        <v>2015</v>
      </c>
      <c r="I302" s="2" t="n">
        <v>66</v>
      </c>
      <c r="J302" s="0" t="n">
        <v>0.699</v>
      </c>
      <c r="K302" s="0" t="n">
        <v>0.883</v>
      </c>
      <c r="L302" s="3" t="str">
        <f aca="false">IF(K302&gt;0.66,"High",IF(K302&gt;0.33&amp;K302&lt;=0.66,"Medium","Low"))</f>
        <v>High</v>
      </c>
      <c r="M302" s="0" t="n">
        <v>-3.226</v>
      </c>
      <c r="N302" s="3" t="n">
        <v>0.219</v>
      </c>
      <c r="O302" s="3" t="n">
        <v>0.0288</v>
      </c>
      <c r="P302" s="4" t="n">
        <v>0</v>
      </c>
      <c r="Q302" s="3" t="n">
        <v>0.817</v>
      </c>
      <c r="R302" s="3" t="n">
        <v>0.499</v>
      </c>
      <c r="S302" s="3" t="str">
        <f aca="false">IF(R302 &gt;= 0.5, "Positive", "Negative")</f>
        <v>Negative</v>
      </c>
      <c r="T302" s="2" t="n">
        <v>127.961</v>
      </c>
      <c r="U302" s="0" t="s">
        <v>22</v>
      </c>
    </row>
    <row r="303" customFormat="false" ht="14.25" hidden="false" customHeight="false" outlineLevel="0" collapsed="false">
      <c r="A303" s="0" t="n">
        <v>746</v>
      </c>
      <c r="B303" s="0" t="str">
        <f aca="false">_xlfn.xlookup(A303, artists!A$2:A$836, artists!B$2:B$836)</f>
        <v>Post Malone</v>
      </c>
      <c r="C303" s="1" t="s">
        <v>350</v>
      </c>
      <c r="D303" s="2" t="n">
        <v>215280</v>
      </c>
      <c r="E303" s="2" t="n">
        <f aca="false">D303/1000</f>
        <v>215.28</v>
      </c>
      <c r="F303" s="10" t="b">
        <f aca="false">FALSE()</f>
        <v>0</v>
      </c>
      <c r="G303" s="0" t="n">
        <v>22</v>
      </c>
      <c r="H303" s="0" t="n">
        <f aca="false">_xlfn.xlookup(G303, years!A$2:A$836, years!B$2:B$836)</f>
        <v>2019</v>
      </c>
      <c r="I303" s="2" t="n">
        <v>85</v>
      </c>
      <c r="J303" s="0" t="n">
        <v>0.695</v>
      </c>
      <c r="K303" s="0" t="n">
        <v>0.762</v>
      </c>
      <c r="L303" s="3" t="str">
        <f aca="false">IF(K303&gt;0.66,"High",IF(K303&gt;0.33&amp;K303&lt;=0.66,"Medium","Low"))</f>
        <v>High</v>
      </c>
      <c r="M303" s="0" t="n">
        <v>-3.497</v>
      </c>
      <c r="N303" s="3" t="n">
        <v>0.0395</v>
      </c>
      <c r="O303" s="3" t="n">
        <v>0.192</v>
      </c>
      <c r="P303" s="4" t="n">
        <v>0.00244</v>
      </c>
      <c r="Q303" s="3" t="n">
        <v>0.0863</v>
      </c>
      <c r="R303" s="3" t="n">
        <v>0.553</v>
      </c>
      <c r="S303" s="3" t="str">
        <f aca="false">IF(R303 &gt;= 0.5, "Positive", "Negative")</f>
        <v>Positive</v>
      </c>
      <c r="T303" s="2" t="n">
        <v>120.042</v>
      </c>
      <c r="U303" s="0" t="s">
        <v>29</v>
      </c>
    </row>
    <row r="304" customFormat="false" ht="14.25" hidden="false" customHeight="false" outlineLevel="0" collapsed="false">
      <c r="A304" s="0" t="n">
        <v>1</v>
      </c>
      <c r="B304" s="0" t="str">
        <f aca="false">_xlfn.xlookup(A304, artists!A$2:A$836, artists!B$2:B$836)</f>
        <v>Britney Spears</v>
      </c>
      <c r="C304" s="1" t="s">
        <v>351</v>
      </c>
      <c r="D304" s="2" t="n">
        <v>210266</v>
      </c>
      <c r="E304" s="2" t="n">
        <f aca="false">D304/1000</f>
        <v>210.266</v>
      </c>
      <c r="F304" s="10" t="b">
        <f aca="false">FALSE()</f>
        <v>0</v>
      </c>
      <c r="G304" s="0" t="n">
        <v>14</v>
      </c>
      <c r="H304" s="0" t="n">
        <f aca="false">_xlfn.xlookup(G304, years!A$2:A$836, years!B$2:B$836)</f>
        <v>2011</v>
      </c>
      <c r="I304" s="2" t="n">
        <v>66</v>
      </c>
      <c r="J304" s="0" t="n">
        <v>0.696</v>
      </c>
      <c r="K304" s="0" t="n">
        <v>0.546</v>
      </c>
      <c r="L304" s="3" t="str">
        <f aca="false">IF(K304&gt;0.66,"High",IF(K304&gt;0.33&amp;K304&lt;=0.66,"Medium","Low"))</f>
        <v>Low</v>
      </c>
      <c r="M304" s="0" t="n">
        <v>-6.55</v>
      </c>
      <c r="N304" s="3" t="n">
        <v>0.0414</v>
      </c>
      <c r="O304" s="3" t="n">
        <v>0.00379</v>
      </c>
      <c r="P304" s="4" t="n">
        <v>3.8E-006</v>
      </c>
      <c r="Q304" s="3" t="n">
        <v>0.332</v>
      </c>
      <c r="R304" s="3" t="n">
        <v>0.787</v>
      </c>
      <c r="S304" s="3" t="str">
        <f aca="false">IF(R304 &gt;= 0.5, "Positive", "Negative")</f>
        <v>Positive</v>
      </c>
      <c r="T304" s="2" t="n">
        <v>130.002</v>
      </c>
      <c r="U304" s="0" t="s">
        <v>39</v>
      </c>
    </row>
    <row r="305" customFormat="false" ht="14.25" hidden="false" customHeight="false" outlineLevel="0" collapsed="false">
      <c r="A305" s="0" t="n">
        <v>594</v>
      </c>
      <c r="B305" s="0" t="str">
        <f aca="false">_xlfn.xlookup(A305, artists!A$2:A$836, artists!B$2:B$836)</f>
        <v>Zedd</v>
      </c>
      <c r="C305" s="1" t="s">
        <v>352</v>
      </c>
      <c r="D305" s="2" t="n">
        <v>271426</v>
      </c>
      <c r="E305" s="2" t="n">
        <f aca="false">D305/1000</f>
        <v>271.426</v>
      </c>
      <c r="F305" s="10" t="b">
        <f aca="false">FALSE()</f>
        <v>0</v>
      </c>
      <c r="G305" s="0" t="n">
        <v>15</v>
      </c>
      <c r="H305" s="0" t="n">
        <f aca="false">_xlfn.xlookup(G305, years!A$2:A$836, years!B$2:B$836)</f>
        <v>2012</v>
      </c>
      <c r="I305" s="2" t="n">
        <v>0</v>
      </c>
      <c r="J305" s="0" t="n">
        <v>0.523</v>
      </c>
      <c r="K305" s="0" t="n">
        <v>0.78</v>
      </c>
      <c r="L305" s="3" t="str">
        <f aca="false">IF(K305&gt;0.66,"High",IF(K305&gt;0.33&amp;K305&lt;=0.66,"Medium","Low"))</f>
        <v>High</v>
      </c>
      <c r="M305" s="0" t="n">
        <v>-3.464</v>
      </c>
      <c r="N305" s="3" t="n">
        <v>0.0753</v>
      </c>
      <c r="O305" s="3" t="n">
        <v>0.0366</v>
      </c>
      <c r="P305" s="4" t="n">
        <v>0</v>
      </c>
      <c r="Q305" s="3" t="n">
        <v>0.0751</v>
      </c>
      <c r="R305" s="3" t="n">
        <v>0.193</v>
      </c>
      <c r="S305" s="3" t="str">
        <f aca="false">IF(R305 &gt;= 0.5, "Positive", "Negative")</f>
        <v>Negative</v>
      </c>
      <c r="T305" s="2" t="n">
        <v>128.006</v>
      </c>
      <c r="U305" s="0" t="s">
        <v>53</v>
      </c>
    </row>
    <row r="306" customFormat="false" ht="14.25" hidden="false" customHeight="false" outlineLevel="0" collapsed="false">
      <c r="A306" s="0" t="n">
        <v>630</v>
      </c>
      <c r="B306" s="0" t="str">
        <f aca="false">_xlfn.xlookup(A306, artists!A$2:A$836, artists!B$2:B$836)</f>
        <v>MKTO</v>
      </c>
      <c r="C306" s="1" t="s">
        <v>353</v>
      </c>
      <c r="D306" s="2" t="n">
        <v>175426</v>
      </c>
      <c r="E306" s="2" t="n">
        <f aca="false">D306/1000</f>
        <v>175.426</v>
      </c>
      <c r="F306" s="10" t="b">
        <f aca="false">FALSE()</f>
        <v>0</v>
      </c>
      <c r="G306" s="0" t="n">
        <v>15</v>
      </c>
      <c r="H306" s="0" t="n">
        <f aca="false">_xlfn.xlookup(G306, years!A$2:A$836, years!B$2:B$836)</f>
        <v>2012</v>
      </c>
      <c r="I306" s="2" t="n">
        <v>82</v>
      </c>
      <c r="J306" s="0" t="n">
        <v>0.72</v>
      </c>
      <c r="K306" s="0" t="n">
        <v>0.791</v>
      </c>
      <c r="L306" s="3" t="str">
        <f aca="false">IF(K306&gt;0.66,"High",IF(K306&gt;0.33&amp;K306&lt;=0.66,"Medium","Low"))</f>
        <v>High</v>
      </c>
      <c r="M306" s="0" t="n">
        <v>-4.689</v>
      </c>
      <c r="N306" s="3" t="n">
        <v>0.124</v>
      </c>
      <c r="O306" s="3" t="n">
        <v>0.0384</v>
      </c>
      <c r="P306" s="4" t="n">
        <v>0</v>
      </c>
      <c r="Q306" s="3" t="n">
        <v>0.157</v>
      </c>
      <c r="R306" s="3" t="n">
        <v>0.756</v>
      </c>
      <c r="S306" s="3" t="str">
        <f aca="false">IF(R306 &gt;= 0.5, "Positive", "Negative")</f>
        <v>Positive</v>
      </c>
      <c r="T306" s="2" t="n">
        <v>102.071</v>
      </c>
      <c r="U306" s="0" t="s">
        <v>24</v>
      </c>
    </row>
    <row r="307" customFormat="false" ht="14.25" hidden="false" customHeight="false" outlineLevel="0" collapsed="false">
      <c r="A307" s="0" t="n">
        <v>7</v>
      </c>
      <c r="B307" s="0" t="str">
        <f aca="false">_xlfn.xlookup(A307, artists!A$2:A$836, artists!B$2:B$836)</f>
        <v>Eminem</v>
      </c>
      <c r="C307" s="1" t="s">
        <v>354</v>
      </c>
      <c r="D307" s="2" t="n">
        <v>297840</v>
      </c>
      <c r="E307" s="2" t="n">
        <f aca="false">D307/1000</f>
        <v>297.84</v>
      </c>
      <c r="F307" s="10" t="b">
        <f aca="false">TRUE()</f>
        <v>1</v>
      </c>
      <c r="G307" s="0" t="n">
        <v>5</v>
      </c>
      <c r="H307" s="0" t="n">
        <f aca="false">_xlfn.xlookup(G307, years!A$2:A$836, years!B$2:B$836)</f>
        <v>2002</v>
      </c>
      <c r="I307" s="2" t="n">
        <v>71</v>
      </c>
      <c r="J307" s="0" t="n">
        <v>0.908</v>
      </c>
      <c r="K307" s="0" t="n">
        <v>0.758</v>
      </c>
      <c r="L307" s="3" t="str">
        <f aca="false">IF(K307&gt;0.66,"High",IF(K307&gt;0.33&amp;K307&lt;=0.66,"Medium","Low"))</f>
        <v>High</v>
      </c>
      <c r="M307" s="0" t="n">
        <v>-4.753</v>
      </c>
      <c r="N307" s="3" t="n">
        <v>0.174</v>
      </c>
      <c r="O307" s="3" t="n">
        <v>0.0687</v>
      </c>
      <c r="P307" s="4" t="n">
        <v>0</v>
      </c>
      <c r="Q307" s="3" t="n">
        <v>0.0783</v>
      </c>
      <c r="R307" s="3" t="n">
        <v>0.87</v>
      </c>
      <c r="S307" s="3" t="str">
        <f aca="false">IF(R307 &gt;= 0.5, "Positive", "Negative")</f>
        <v>Positive</v>
      </c>
      <c r="T307" s="2" t="n">
        <v>148.015</v>
      </c>
      <c r="U307" s="0" t="s">
        <v>29</v>
      </c>
    </row>
    <row r="308" customFormat="false" ht="14.25" hidden="false" customHeight="false" outlineLevel="0" collapsed="false">
      <c r="A308" s="0" t="n">
        <v>110</v>
      </c>
      <c r="B308" s="0" t="str">
        <f aca="false">_xlfn.xlookup(A308, artists!A$2:A$836, artists!B$2:B$836)</f>
        <v>Gorillaz</v>
      </c>
      <c r="C308" s="1" t="s">
        <v>355</v>
      </c>
      <c r="D308" s="2" t="n">
        <v>340920</v>
      </c>
      <c r="E308" s="2" t="n">
        <f aca="false">D308/1000</f>
        <v>340.92</v>
      </c>
      <c r="F308" s="10" t="b">
        <f aca="false">TRUE()</f>
        <v>1</v>
      </c>
      <c r="G308" s="0" t="n">
        <v>4</v>
      </c>
      <c r="H308" s="0" t="n">
        <f aca="false">_xlfn.xlookup(G308, years!A$2:A$836, years!B$2:B$836)</f>
        <v>2001</v>
      </c>
      <c r="I308" s="2" t="n">
        <v>74</v>
      </c>
      <c r="J308" s="0" t="n">
        <v>0.663</v>
      </c>
      <c r="K308" s="0" t="n">
        <v>0.694</v>
      </c>
      <c r="L308" s="3" t="str">
        <f aca="false">IF(K308&gt;0.66,"High",IF(K308&gt;0.33&amp;K308&lt;=0.66,"Medium","Low"))</f>
        <v>High</v>
      </c>
      <c r="M308" s="0" t="n">
        <v>-8.627</v>
      </c>
      <c r="N308" s="3" t="n">
        <v>0.171</v>
      </c>
      <c r="O308" s="3" t="n">
        <v>0.0253</v>
      </c>
      <c r="P308" s="4" t="n">
        <v>0</v>
      </c>
      <c r="Q308" s="3" t="n">
        <v>0.0698</v>
      </c>
      <c r="R308" s="3" t="n">
        <v>0.525</v>
      </c>
      <c r="S308" s="3" t="str">
        <f aca="false">IF(R308 &gt;= 0.5, "Positive", "Negative")</f>
        <v>Positive</v>
      </c>
      <c r="T308" s="2" t="n">
        <v>167.953</v>
      </c>
      <c r="U308" s="0" t="s">
        <v>29</v>
      </c>
    </row>
    <row r="309" customFormat="false" ht="14.25" hidden="false" customHeight="false" outlineLevel="0" collapsed="false">
      <c r="A309" s="0" t="n">
        <v>180</v>
      </c>
      <c r="B309" s="0" t="str">
        <f aca="false">_xlfn.xlookup(A309, artists!A$2:A$836, artists!B$2:B$836)</f>
        <v>Coldplay</v>
      </c>
      <c r="C309" s="1" t="s">
        <v>356</v>
      </c>
      <c r="D309" s="2" t="n">
        <v>307879</v>
      </c>
      <c r="E309" s="2" t="n">
        <f aca="false">D309/1000</f>
        <v>307.879</v>
      </c>
      <c r="F309" s="10" t="b">
        <f aca="false">FALSE()</f>
        <v>0</v>
      </c>
      <c r="G309" s="0" t="n">
        <v>5</v>
      </c>
      <c r="H309" s="0" t="n">
        <f aca="false">_xlfn.xlookup(G309, years!A$2:A$836, years!B$2:B$836)</f>
        <v>2002</v>
      </c>
      <c r="I309" s="2" t="n">
        <v>79</v>
      </c>
      <c r="J309" s="0" t="n">
        <v>0.577</v>
      </c>
      <c r="K309" s="0" t="n">
        <v>0.749</v>
      </c>
      <c r="L309" s="3" t="str">
        <f aca="false">IF(K309&gt;0.66,"High",IF(K309&gt;0.33&amp;K309&lt;=0.66,"Medium","Low"))</f>
        <v>High</v>
      </c>
      <c r="M309" s="0" t="n">
        <v>-7.215</v>
      </c>
      <c r="N309" s="3" t="n">
        <v>0.0279</v>
      </c>
      <c r="O309" s="3" t="n">
        <v>0.599</v>
      </c>
      <c r="P309" s="4" t="n">
        <v>0.0115</v>
      </c>
      <c r="Q309" s="3" t="n">
        <v>0.183</v>
      </c>
      <c r="R309" s="3" t="n">
        <v>0.255</v>
      </c>
      <c r="S309" s="3" t="str">
        <f aca="false">IF(R309 &gt;= 0.5, "Positive", "Negative")</f>
        <v>Negative</v>
      </c>
      <c r="T309" s="2" t="n">
        <v>130.97</v>
      </c>
      <c r="U309" s="0" t="s">
        <v>35</v>
      </c>
    </row>
    <row r="310" customFormat="false" ht="14.25" hidden="false" customHeight="false" outlineLevel="0" collapsed="false">
      <c r="A310" s="0" t="n">
        <v>642</v>
      </c>
      <c r="B310" s="0" t="str">
        <f aca="false">_xlfn.xlookup(A310, artists!A$2:A$836, artists!B$2:B$836)</f>
        <v>Nick Jonas</v>
      </c>
      <c r="C310" s="1" t="s">
        <v>357</v>
      </c>
      <c r="D310" s="2" t="n">
        <v>234213</v>
      </c>
      <c r="E310" s="2" t="n">
        <f aca="false">D310/1000</f>
        <v>234.213</v>
      </c>
      <c r="F310" s="10" t="b">
        <f aca="false">FALSE()</f>
        <v>0</v>
      </c>
      <c r="G310" s="0" t="n">
        <v>19</v>
      </c>
      <c r="H310" s="0" t="n">
        <f aca="false">_xlfn.xlookup(G310, years!A$2:A$836, years!B$2:B$836)</f>
        <v>2016</v>
      </c>
      <c r="I310" s="2" t="n">
        <v>69</v>
      </c>
      <c r="J310" s="0" t="n">
        <v>0.654</v>
      </c>
      <c r="K310" s="0" t="n">
        <v>0.623</v>
      </c>
      <c r="L310" s="3" t="str">
        <f aca="false">IF(K310&gt;0.66,"High",IF(K310&gt;0.33&amp;K310&lt;=0.66,"Medium","Low"))</f>
        <v>Low</v>
      </c>
      <c r="M310" s="0" t="n">
        <v>-5.273</v>
      </c>
      <c r="N310" s="3" t="n">
        <v>0.082</v>
      </c>
      <c r="O310" s="3" t="n">
        <v>0.253</v>
      </c>
      <c r="P310" s="4" t="n">
        <v>0</v>
      </c>
      <c r="Q310" s="3" t="n">
        <v>0.144</v>
      </c>
      <c r="R310" s="3" t="n">
        <v>0.401</v>
      </c>
      <c r="S310" s="3" t="str">
        <f aca="false">IF(R310 &gt;= 0.5, "Positive", "Negative")</f>
        <v>Negative</v>
      </c>
      <c r="T310" s="2" t="n">
        <v>123.996</v>
      </c>
      <c r="U310" s="0" t="s">
        <v>39</v>
      </c>
    </row>
    <row r="311" customFormat="false" ht="14.25" hidden="false" customHeight="false" outlineLevel="0" collapsed="false">
      <c r="A311" s="0" t="n">
        <v>343</v>
      </c>
      <c r="B311" s="0" t="str">
        <f aca="false">_xlfn.xlookup(A311, artists!A$2:A$836, artists!B$2:B$836)</f>
        <v>Ne-Yo</v>
      </c>
      <c r="C311" s="1" t="s">
        <v>358</v>
      </c>
      <c r="D311" s="2" t="n">
        <v>234360</v>
      </c>
      <c r="E311" s="2" t="n">
        <f aca="false">D311/1000</f>
        <v>234.36</v>
      </c>
      <c r="F311" s="10" t="b">
        <f aca="false">FALSE()</f>
        <v>0</v>
      </c>
      <c r="G311" s="0" t="n">
        <v>11</v>
      </c>
      <c r="H311" s="0" t="n">
        <f aca="false">_xlfn.xlookup(G311, years!A$2:A$836, years!B$2:B$836)</f>
        <v>2008</v>
      </c>
      <c r="I311" s="2" t="n">
        <v>65</v>
      </c>
      <c r="J311" s="0" t="n">
        <v>0.709</v>
      </c>
      <c r="K311" s="0" t="n">
        <v>0.745</v>
      </c>
      <c r="L311" s="3" t="str">
        <f aca="false">IF(K311&gt;0.66,"High",IF(K311&gt;0.33&amp;K311&lt;=0.66,"Medium","Low"))</f>
        <v>High</v>
      </c>
      <c r="M311" s="0" t="n">
        <v>-6.437</v>
      </c>
      <c r="N311" s="3" t="n">
        <v>0.0738</v>
      </c>
      <c r="O311" s="3" t="n">
        <v>0.0225</v>
      </c>
      <c r="P311" s="4" t="n">
        <v>5.2E-005</v>
      </c>
      <c r="Q311" s="3" t="n">
        <v>0.154</v>
      </c>
      <c r="R311" s="3" t="n">
        <v>0.576</v>
      </c>
      <c r="S311" s="3" t="str">
        <f aca="false">IF(R311 &gt;= 0.5, "Positive", "Negative")</f>
        <v>Positive</v>
      </c>
      <c r="T311" s="2" t="n">
        <v>126.027</v>
      </c>
      <c r="U311" s="0" t="s">
        <v>33</v>
      </c>
    </row>
    <row r="312" customFormat="false" ht="14.25" hidden="false" customHeight="false" outlineLevel="0" collapsed="false">
      <c r="A312" s="0" t="n">
        <v>566</v>
      </c>
      <c r="B312" s="0" t="str">
        <f aca="false">_xlfn.xlookup(A312, artists!A$2:A$836, artists!B$2:B$836)</f>
        <v>Demi Lovato</v>
      </c>
      <c r="C312" s="1" t="s">
        <v>359</v>
      </c>
      <c r="D312" s="2" t="n">
        <v>205745</v>
      </c>
      <c r="E312" s="2" t="n">
        <f aca="false">D312/1000</f>
        <v>205.745</v>
      </c>
      <c r="F312" s="10" t="b">
        <f aca="false">TRUE()</f>
        <v>1</v>
      </c>
      <c r="G312" s="0" t="n">
        <v>18</v>
      </c>
      <c r="H312" s="0" t="n">
        <f aca="false">_xlfn.xlookup(G312, years!A$2:A$836, years!B$2:B$836)</f>
        <v>2015</v>
      </c>
      <c r="I312" s="2" t="n">
        <v>64</v>
      </c>
      <c r="J312" s="0" t="n">
        <v>0.594</v>
      </c>
      <c r="K312" s="0" t="n">
        <v>0.749</v>
      </c>
      <c r="L312" s="3" t="str">
        <f aca="false">IF(K312&gt;0.66,"High",IF(K312&gt;0.33&amp;K312&lt;=0.66,"Medium","Low"))</f>
        <v>High</v>
      </c>
      <c r="M312" s="0" t="n">
        <v>-6.251</v>
      </c>
      <c r="N312" s="3" t="n">
        <v>0.0677</v>
      </c>
      <c r="O312" s="3" t="n">
        <v>0.00188</v>
      </c>
      <c r="P312" s="4" t="n">
        <v>0.000139</v>
      </c>
      <c r="Q312" s="3" t="n">
        <v>0.0869</v>
      </c>
      <c r="R312" s="3" t="n">
        <v>0.344</v>
      </c>
      <c r="S312" s="3" t="str">
        <f aca="false">IF(R312 &gt;= 0.5, "Positive", "Negative")</f>
        <v>Negative</v>
      </c>
      <c r="T312" s="2" t="n">
        <v>130.064</v>
      </c>
      <c r="U312" s="0" t="s">
        <v>39</v>
      </c>
    </row>
    <row r="313" customFormat="false" ht="14.25" hidden="false" customHeight="false" outlineLevel="0" collapsed="false">
      <c r="A313" s="0" t="n">
        <v>619</v>
      </c>
      <c r="B313" s="0" t="str">
        <f aca="false">_xlfn.xlookup(A313, artists!A$2:A$836, artists!B$2:B$836)</f>
        <v>The Chainsmokers</v>
      </c>
      <c r="C313" s="1" t="s">
        <v>358</v>
      </c>
      <c r="D313" s="2" t="n">
        <v>244960</v>
      </c>
      <c r="E313" s="2" t="n">
        <f aca="false">D313/1000</f>
        <v>244.96</v>
      </c>
      <c r="F313" s="10" t="b">
        <f aca="false">FALSE()</f>
        <v>0</v>
      </c>
      <c r="G313" s="0" t="n">
        <v>19</v>
      </c>
      <c r="H313" s="0" t="n">
        <f aca="false">_xlfn.xlookup(G313, years!A$2:A$836, years!B$2:B$836)</f>
        <v>2016</v>
      </c>
      <c r="I313" s="2" t="n">
        <v>83</v>
      </c>
      <c r="J313" s="0" t="n">
        <v>0.748</v>
      </c>
      <c r="K313" s="0" t="n">
        <v>0.524</v>
      </c>
      <c r="L313" s="3" t="str">
        <f aca="false">IF(K313&gt;0.66,"High",IF(K313&gt;0.33&amp;K313&lt;=0.66,"Medium","Low"))</f>
        <v>Low</v>
      </c>
      <c r="M313" s="0" t="n">
        <v>-5.599</v>
      </c>
      <c r="N313" s="3" t="n">
        <v>0.0338</v>
      </c>
      <c r="O313" s="3" t="n">
        <v>0.414</v>
      </c>
      <c r="P313" s="4" t="n">
        <v>0</v>
      </c>
      <c r="Q313" s="3" t="n">
        <v>0.111</v>
      </c>
      <c r="R313" s="3" t="n">
        <v>0.661</v>
      </c>
      <c r="S313" s="3" t="str">
        <f aca="false">IF(R313 &gt;= 0.5, "Positive", "Negative")</f>
        <v>Positive</v>
      </c>
      <c r="T313" s="2" t="n">
        <v>95.01</v>
      </c>
      <c r="U313" s="0" t="s">
        <v>22</v>
      </c>
    </row>
    <row r="314" customFormat="false" ht="14.25" hidden="false" customHeight="false" outlineLevel="0" collapsed="false">
      <c r="A314" s="0" t="n">
        <v>755</v>
      </c>
      <c r="B314" s="0" t="str">
        <f aca="false">_xlfn.xlookup(A314, artists!A$2:A$836, artists!B$2:B$836)</f>
        <v>Offset</v>
      </c>
      <c r="C314" s="1" t="s">
        <v>360</v>
      </c>
      <c r="D314" s="2" t="n">
        <v>205803</v>
      </c>
      <c r="E314" s="2" t="n">
        <f aca="false">D314/1000</f>
        <v>205.803</v>
      </c>
      <c r="F314" s="10" t="b">
        <f aca="false">TRUE()</f>
        <v>1</v>
      </c>
      <c r="G314" s="0" t="n">
        <v>22</v>
      </c>
      <c r="H314" s="0" t="n">
        <f aca="false">_xlfn.xlookup(G314, years!A$2:A$836, years!B$2:B$836)</f>
        <v>2019</v>
      </c>
      <c r="I314" s="2" t="n">
        <v>68</v>
      </c>
      <c r="J314" s="0" t="n">
        <v>0.919</v>
      </c>
      <c r="K314" s="0" t="n">
        <v>0.622</v>
      </c>
      <c r="L314" s="3" t="str">
        <f aca="false">IF(K314&gt;0.66,"High",IF(K314&gt;0.33&amp;K314&lt;=0.66,"Medium","Low"))</f>
        <v>Low</v>
      </c>
      <c r="M314" s="0" t="n">
        <v>-7.384</v>
      </c>
      <c r="N314" s="3" t="n">
        <v>0.0997</v>
      </c>
      <c r="O314" s="3" t="n">
        <v>0.228</v>
      </c>
      <c r="P314" s="4" t="n">
        <v>4.24E-006</v>
      </c>
      <c r="Q314" s="3" t="n">
        <v>0.122</v>
      </c>
      <c r="R314" s="3" t="n">
        <v>0.424</v>
      </c>
      <c r="S314" s="3" t="str">
        <f aca="false">IF(R314 &gt;= 0.5, "Positive", "Negative")</f>
        <v>Negative</v>
      </c>
      <c r="T314" s="2" t="n">
        <v>140.022</v>
      </c>
      <c r="U314" s="0" t="s">
        <v>24</v>
      </c>
    </row>
    <row r="315" customFormat="false" ht="14.25" hidden="false" customHeight="false" outlineLevel="0" collapsed="false">
      <c r="A315" s="0" t="n">
        <v>397</v>
      </c>
      <c r="B315" s="0" t="str">
        <f aca="false">_xlfn.xlookup(A315, artists!A$2:A$836, artists!B$2:B$836)</f>
        <v>Flo Rida</v>
      </c>
      <c r="C315" s="1" t="s">
        <v>361</v>
      </c>
      <c r="D315" s="2" t="n">
        <v>234560</v>
      </c>
      <c r="E315" s="2" t="n">
        <f aca="false">D315/1000</f>
        <v>234.56</v>
      </c>
      <c r="F315" s="10" t="b">
        <f aca="false">FALSE()</f>
        <v>0</v>
      </c>
      <c r="G315" s="0" t="n">
        <v>13</v>
      </c>
      <c r="H315" s="0" t="n">
        <f aca="false">_xlfn.xlookup(G315, years!A$2:A$836, years!B$2:B$836)</f>
        <v>2010</v>
      </c>
      <c r="I315" s="2" t="n">
        <v>76</v>
      </c>
      <c r="J315" s="0" t="n">
        <v>0.616</v>
      </c>
      <c r="K315" s="0" t="n">
        <v>0.869</v>
      </c>
      <c r="L315" s="3" t="str">
        <f aca="false">IF(K315&gt;0.66,"High",IF(K315&gt;0.33&amp;K315&lt;=0.66,"Medium","Low"))</f>
        <v>High</v>
      </c>
      <c r="M315" s="0" t="n">
        <v>-3.911</v>
      </c>
      <c r="N315" s="3" t="n">
        <v>0.0327</v>
      </c>
      <c r="O315" s="3" t="n">
        <v>0.0283</v>
      </c>
      <c r="P315" s="4" t="n">
        <v>0</v>
      </c>
      <c r="Q315" s="3" t="n">
        <v>0.064</v>
      </c>
      <c r="R315" s="3" t="n">
        <v>0.473</v>
      </c>
      <c r="S315" s="3" t="str">
        <f aca="false">IF(R315 &gt;= 0.5, "Positive", "Negative")</f>
        <v>Negative</v>
      </c>
      <c r="T315" s="2" t="n">
        <v>127.966</v>
      </c>
      <c r="U315" s="0" t="s">
        <v>24</v>
      </c>
    </row>
    <row r="316" customFormat="false" ht="14.25" hidden="false" customHeight="false" outlineLevel="0" collapsed="false">
      <c r="A316" s="0" t="n">
        <v>332</v>
      </c>
      <c r="B316" s="0" t="str">
        <f aca="false">_xlfn.xlookup(A316, artists!A$2:A$836, artists!B$2:B$836)</f>
        <v>Fergie</v>
      </c>
      <c r="C316" s="1" t="s">
        <v>362</v>
      </c>
      <c r="D316" s="2" t="n">
        <v>240426</v>
      </c>
      <c r="E316" s="2" t="n">
        <f aca="false">D316/1000</f>
        <v>240.426</v>
      </c>
      <c r="F316" s="10" t="b">
        <f aca="false">FALSE()</f>
        <v>0</v>
      </c>
      <c r="G316" s="0" t="n">
        <v>9</v>
      </c>
      <c r="H316" s="0" t="n">
        <f aca="false">_xlfn.xlookup(G316, years!A$2:A$836, years!B$2:B$836)</f>
        <v>2006</v>
      </c>
      <c r="I316" s="2" t="n">
        <v>58</v>
      </c>
      <c r="J316" s="0" t="n">
        <v>0.731</v>
      </c>
      <c r="K316" s="0" t="n">
        <v>0.563</v>
      </c>
      <c r="L316" s="3" t="str">
        <f aca="false">IF(K316&gt;0.66,"High",IF(K316&gt;0.33&amp;K316&lt;=0.66,"Medium","Low"))</f>
        <v>Low</v>
      </c>
      <c r="M316" s="0" t="n">
        <v>-4.046</v>
      </c>
      <c r="N316" s="3" t="n">
        <v>0.131</v>
      </c>
      <c r="O316" s="3" t="n">
        <v>0.191</v>
      </c>
      <c r="P316" s="4" t="n">
        <v>0.00042</v>
      </c>
      <c r="Q316" s="3" t="n">
        <v>0.296</v>
      </c>
      <c r="R316" s="3" t="n">
        <v>0.452</v>
      </c>
      <c r="S316" s="3" t="str">
        <f aca="false">IF(R316 &gt;= 0.5, "Positive", "Negative")</f>
        <v>Negative</v>
      </c>
      <c r="T316" s="2" t="n">
        <v>184.009</v>
      </c>
      <c r="U316" s="0" t="s">
        <v>33</v>
      </c>
    </row>
    <row r="317" customFormat="false" ht="14.25" hidden="false" customHeight="false" outlineLevel="0" collapsed="false">
      <c r="A317" s="0" t="n">
        <v>471</v>
      </c>
      <c r="B317" s="0" t="str">
        <f aca="false">_xlfn.xlookup(A317, artists!A$2:A$836, artists!B$2:B$836)</f>
        <v>Kesha</v>
      </c>
      <c r="C317" s="1" t="s">
        <v>363</v>
      </c>
      <c r="D317" s="2" t="n">
        <v>214333</v>
      </c>
      <c r="E317" s="2" t="n">
        <f aca="false">D317/1000</f>
        <v>214.333</v>
      </c>
      <c r="F317" s="10" t="b">
        <f aca="false">FALSE()</f>
        <v>0</v>
      </c>
      <c r="G317" s="0" t="n">
        <v>15</v>
      </c>
      <c r="H317" s="0" t="n">
        <f aca="false">_xlfn.xlookup(G317, years!A$2:A$836, years!B$2:B$836)</f>
        <v>2012</v>
      </c>
      <c r="I317" s="2" t="n">
        <v>0</v>
      </c>
      <c r="J317" s="0" t="n">
        <v>0.558</v>
      </c>
      <c r="K317" s="0" t="n">
        <v>0.781</v>
      </c>
      <c r="L317" s="3" t="str">
        <f aca="false">IF(K317&gt;0.66,"High",IF(K317&gt;0.33&amp;K317&lt;=0.66,"Medium","Low"))</f>
        <v>High</v>
      </c>
      <c r="M317" s="0" t="n">
        <v>-5.448</v>
      </c>
      <c r="N317" s="3" t="n">
        <v>0.0963</v>
      </c>
      <c r="O317" s="3" t="n">
        <v>0.00657</v>
      </c>
      <c r="P317" s="4" t="n">
        <v>0.00144</v>
      </c>
      <c r="Q317" s="3" t="n">
        <v>0.102</v>
      </c>
      <c r="R317" s="3" t="n">
        <v>0.286</v>
      </c>
      <c r="S317" s="3" t="str">
        <f aca="false">IF(R317 &gt;= 0.5, "Positive", "Negative")</f>
        <v>Negative</v>
      </c>
      <c r="T317" s="2" t="n">
        <v>126.025</v>
      </c>
      <c r="U317" s="0" t="s">
        <v>22</v>
      </c>
    </row>
    <row r="318" customFormat="false" ht="14.25" hidden="false" customHeight="false" outlineLevel="0" collapsed="false">
      <c r="A318" s="0" t="n">
        <v>613</v>
      </c>
      <c r="B318" s="0" t="str">
        <f aca="false">_xlfn.xlookup(A318, artists!A$2:A$836, artists!B$2:B$836)</f>
        <v>O.T. Genasis</v>
      </c>
      <c r="C318" s="1" t="s">
        <v>364</v>
      </c>
      <c r="D318" s="2" t="n">
        <v>239573</v>
      </c>
      <c r="E318" s="2" t="n">
        <f aca="false">D318/1000</f>
        <v>239.573</v>
      </c>
      <c r="F318" s="10" t="b">
        <f aca="false">TRUE()</f>
        <v>1</v>
      </c>
      <c r="G318" s="0" t="n">
        <v>17</v>
      </c>
      <c r="H318" s="0" t="n">
        <f aca="false">_xlfn.xlookup(G318, years!A$2:A$836, years!B$2:B$836)</f>
        <v>2014</v>
      </c>
      <c r="I318" s="2" t="n">
        <v>61</v>
      </c>
      <c r="J318" s="0" t="n">
        <v>0.886</v>
      </c>
      <c r="K318" s="0" t="n">
        <v>0.628</v>
      </c>
      <c r="L318" s="3" t="str">
        <f aca="false">IF(K318&gt;0.66,"High",IF(K318&gt;0.33&amp;K318&lt;=0.66,"Medium","Low"))</f>
        <v>Low</v>
      </c>
      <c r="M318" s="0" t="n">
        <v>-5.949</v>
      </c>
      <c r="N318" s="3" t="n">
        <v>0.131</v>
      </c>
      <c r="O318" s="3" t="n">
        <v>0.00215</v>
      </c>
      <c r="P318" s="4" t="n">
        <v>1.15E-005</v>
      </c>
      <c r="Q318" s="3" t="n">
        <v>0.31</v>
      </c>
      <c r="R318" s="3" t="n">
        <v>0.178</v>
      </c>
      <c r="S318" s="3" t="str">
        <f aca="false">IF(R318 &gt;= 0.5, "Positive", "Negative")</f>
        <v>Negative</v>
      </c>
      <c r="T318" s="2" t="n">
        <v>119.906</v>
      </c>
      <c r="U318" s="0" t="s">
        <v>24</v>
      </c>
    </row>
    <row r="319" customFormat="false" ht="14.25" hidden="false" customHeight="false" outlineLevel="0" collapsed="false">
      <c r="A319" s="0" t="n">
        <v>582</v>
      </c>
      <c r="B319" s="0" t="str">
        <f aca="false">_xlfn.xlookup(A319, artists!A$2:A$836, artists!B$2:B$836)</f>
        <v>Selena Gomez</v>
      </c>
      <c r="C319" s="1" t="s">
        <v>365</v>
      </c>
      <c r="D319" s="2" t="n">
        <v>217906</v>
      </c>
      <c r="E319" s="2" t="n">
        <f aca="false">D319/1000</f>
        <v>217.906</v>
      </c>
      <c r="F319" s="10" t="b">
        <f aca="false">FALSE()</f>
        <v>0</v>
      </c>
      <c r="G319" s="0" t="n">
        <v>18</v>
      </c>
      <c r="H319" s="0" t="n">
        <f aca="false">_xlfn.xlookup(G319, years!A$2:A$836, years!B$2:B$836)</f>
        <v>2015</v>
      </c>
      <c r="I319" s="2" t="n">
        <v>64</v>
      </c>
      <c r="J319" s="0" t="n">
        <v>0.757</v>
      </c>
      <c r="K319" s="0" t="n">
        <v>0.884</v>
      </c>
      <c r="L319" s="3" t="str">
        <f aca="false">IF(K319&gt;0.66,"High",IF(K319&gt;0.33&amp;K319&lt;=0.66,"Medium","Low"))</f>
        <v>High</v>
      </c>
      <c r="M319" s="0" t="n">
        <v>-5.488</v>
      </c>
      <c r="N319" s="3" t="n">
        <v>0.0404</v>
      </c>
      <c r="O319" s="3" t="n">
        <v>0.00795</v>
      </c>
      <c r="P319" s="4" t="n">
        <v>5.87E-005</v>
      </c>
      <c r="Q319" s="3" t="n">
        <v>0.0973</v>
      </c>
      <c r="R319" s="3" t="n">
        <v>0.398</v>
      </c>
      <c r="S319" s="3" t="str">
        <f aca="false">IF(R319 &gt;= 0.5, "Positive", "Negative")</f>
        <v>Negative</v>
      </c>
      <c r="T319" s="2" t="n">
        <v>120.012</v>
      </c>
      <c r="U319" s="0" t="s">
        <v>39</v>
      </c>
    </row>
    <row r="320" customFormat="false" ht="14.25" hidden="false" customHeight="false" outlineLevel="0" collapsed="false">
      <c r="A320" s="0" t="n">
        <v>23</v>
      </c>
      <c r="B320" s="0" t="str">
        <f aca="false">_xlfn.xlookup(A320, artists!A$2:A$836, artists!B$2:B$836)</f>
        <v>M.O.P.</v>
      </c>
      <c r="C320" s="1" t="s">
        <v>366</v>
      </c>
      <c r="D320" s="2" t="n">
        <v>244466</v>
      </c>
      <c r="E320" s="2" t="n">
        <f aca="false">D320/1000</f>
        <v>244.466</v>
      </c>
      <c r="F320" s="10" t="b">
        <f aca="false">TRUE()</f>
        <v>1</v>
      </c>
      <c r="G320" s="0" t="n">
        <v>3</v>
      </c>
      <c r="H320" s="0" t="n">
        <f aca="false">_xlfn.xlookup(G320, years!A$2:A$836, years!B$2:B$836)</f>
        <v>2000</v>
      </c>
      <c r="I320" s="2" t="n">
        <v>54</v>
      </c>
      <c r="J320" s="0" t="n">
        <v>0.656</v>
      </c>
      <c r="K320" s="0" t="n">
        <v>0.88</v>
      </c>
      <c r="L320" s="3" t="str">
        <f aca="false">IF(K320&gt;0.66,"High",IF(K320&gt;0.33&amp;K320&lt;=0.66,"Medium","Low"))</f>
        <v>High</v>
      </c>
      <c r="M320" s="0" t="n">
        <v>-5.425</v>
      </c>
      <c r="N320" s="3" t="n">
        <v>0.143</v>
      </c>
      <c r="O320" s="3" t="n">
        <v>0.0421</v>
      </c>
      <c r="P320" s="4" t="n">
        <v>0</v>
      </c>
      <c r="Q320" s="3" t="n">
        <v>0.294</v>
      </c>
      <c r="R320" s="3" t="n">
        <v>0.758</v>
      </c>
      <c r="S320" s="3" t="str">
        <f aca="false">IF(R320 &gt;= 0.5, "Positive", "Negative")</f>
        <v>Positive</v>
      </c>
      <c r="T320" s="2" t="n">
        <v>85.565</v>
      </c>
      <c r="U320" s="0" t="s">
        <v>29</v>
      </c>
    </row>
    <row r="321" customFormat="false" ht="14.25" hidden="false" customHeight="false" outlineLevel="0" collapsed="false">
      <c r="A321" s="0" t="n">
        <v>643</v>
      </c>
      <c r="B321" s="0" t="str">
        <f aca="false">_xlfn.xlookup(A321, artists!A$2:A$836, artists!B$2:B$836)</f>
        <v>Major Lazer</v>
      </c>
      <c r="C321" s="1" t="s">
        <v>367</v>
      </c>
      <c r="D321" s="2" t="n">
        <v>185351</v>
      </c>
      <c r="E321" s="2" t="n">
        <f aca="false">D321/1000</f>
        <v>185.351</v>
      </c>
      <c r="F321" s="10" t="b">
        <f aca="false">FALSE()</f>
        <v>0</v>
      </c>
      <c r="G321" s="0" t="n">
        <v>19</v>
      </c>
      <c r="H321" s="0" t="n">
        <f aca="false">_xlfn.xlookup(G321, years!A$2:A$836, years!B$2:B$836)</f>
        <v>2016</v>
      </c>
      <c r="I321" s="2" t="n">
        <v>0</v>
      </c>
      <c r="J321" s="0" t="n">
        <v>0.608</v>
      </c>
      <c r="K321" s="0" t="n">
        <v>0.798</v>
      </c>
      <c r="L321" s="3" t="str">
        <f aca="false">IF(K321&gt;0.66,"High",IF(K321&gt;0.33&amp;K321&lt;=0.66,"Medium","Low"))</f>
        <v>High</v>
      </c>
      <c r="M321" s="0" t="n">
        <v>-5.092</v>
      </c>
      <c r="N321" s="3" t="n">
        <v>0.0432</v>
      </c>
      <c r="O321" s="3" t="n">
        <v>0.0736</v>
      </c>
      <c r="P321" s="4" t="n">
        <v>0</v>
      </c>
      <c r="Q321" s="3" t="n">
        <v>0.156</v>
      </c>
      <c r="R321" s="3" t="n">
        <v>0.501</v>
      </c>
      <c r="S321" s="3" t="str">
        <f aca="false">IF(R321 &gt;= 0.5, "Positive", "Negative")</f>
        <v>Positive</v>
      </c>
      <c r="T321" s="2" t="n">
        <v>92.943</v>
      </c>
      <c r="U321" s="0" t="s">
        <v>53</v>
      </c>
    </row>
    <row r="322" customFormat="false" ht="14.25" hidden="false" customHeight="false" outlineLevel="0" collapsed="false">
      <c r="A322" s="0" t="n">
        <v>554</v>
      </c>
      <c r="B322" s="0" t="str">
        <f aca="false">_xlfn.xlookup(A322, artists!A$2:A$836, artists!B$2:B$836)</f>
        <v>ScHoolboy Q</v>
      </c>
      <c r="C322" s="1" t="s">
        <v>368</v>
      </c>
      <c r="D322" s="2" t="n">
        <v>299960</v>
      </c>
      <c r="E322" s="2" t="n">
        <f aca="false">D322/1000</f>
        <v>299.96</v>
      </c>
      <c r="F322" s="10" t="b">
        <f aca="false">TRUE()</f>
        <v>1</v>
      </c>
      <c r="G322" s="0" t="n">
        <v>17</v>
      </c>
      <c r="H322" s="0" t="n">
        <f aca="false">_xlfn.xlookup(G322, years!A$2:A$836, years!B$2:B$836)</f>
        <v>2014</v>
      </c>
      <c r="I322" s="2" t="n">
        <v>0</v>
      </c>
      <c r="J322" s="0" t="n">
        <v>0.826</v>
      </c>
      <c r="K322" s="0" t="n">
        <v>0.571</v>
      </c>
      <c r="L322" s="3" t="str">
        <f aca="false">IF(K322&gt;0.66,"High",IF(K322&gt;0.33&amp;K322&lt;=0.66,"Medium","Low"))</f>
        <v>Low</v>
      </c>
      <c r="M322" s="0" t="n">
        <v>-4.871</v>
      </c>
      <c r="N322" s="3" t="n">
        <v>0.064</v>
      </c>
      <c r="O322" s="3" t="n">
        <v>0.0239</v>
      </c>
      <c r="P322" s="4" t="n">
        <v>7.38E-006</v>
      </c>
      <c r="Q322" s="3" t="n">
        <v>0.207</v>
      </c>
      <c r="R322" s="3" t="n">
        <v>0.666</v>
      </c>
      <c r="S322" s="3" t="str">
        <f aca="false">IF(R322 &gt;= 0.5, "Positive", "Negative")</f>
        <v>Positive</v>
      </c>
      <c r="T322" s="2" t="n">
        <v>153.972</v>
      </c>
      <c r="U322" s="0" t="s">
        <v>24</v>
      </c>
    </row>
    <row r="323" customFormat="false" ht="14.25" hidden="false" customHeight="false" outlineLevel="0" collapsed="false">
      <c r="A323" s="0" t="n">
        <v>582</v>
      </c>
      <c r="B323" s="0" t="str">
        <f aca="false">_xlfn.xlookup(A323, artists!A$2:A$836, artists!B$2:B$836)</f>
        <v>Selena Gomez</v>
      </c>
      <c r="C323" s="1" t="s">
        <v>369</v>
      </c>
      <c r="D323" s="2" t="n">
        <v>231986</v>
      </c>
      <c r="E323" s="2" t="n">
        <f aca="false">D323/1000</f>
        <v>231.986</v>
      </c>
      <c r="F323" s="10" t="b">
        <f aca="false">FALSE()</f>
        <v>0</v>
      </c>
      <c r="G323" s="0" t="n">
        <v>16</v>
      </c>
      <c r="H323" s="0" t="n">
        <f aca="false">_xlfn.xlookup(G323, years!A$2:A$836, years!B$2:B$836)</f>
        <v>2013</v>
      </c>
      <c r="I323" s="2" t="n">
        <v>69</v>
      </c>
      <c r="J323" s="0" t="n">
        <v>0.546</v>
      </c>
      <c r="K323" s="0" t="n">
        <v>0.787</v>
      </c>
      <c r="L323" s="3" t="str">
        <f aca="false">IF(K323&gt;0.66,"High",IF(K323&gt;0.33&amp;K323&lt;=0.66,"Medium","Low"))</f>
        <v>High</v>
      </c>
      <c r="M323" s="0" t="n">
        <v>-4.1</v>
      </c>
      <c r="N323" s="3" t="n">
        <v>0.0517</v>
      </c>
      <c r="O323" s="3" t="n">
        <v>0.0101</v>
      </c>
      <c r="P323" s="4" t="n">
        <v>0.00021</v>
      </c>
      <c r="Q323" s="3" t="n">
        <v>0.0809</v>
      </c>
      <c r="R323" s="3" t="n">
        <v>0.573</v>
      </c>
      <c r="S323" s="3" t="str">
        <f aca="false">IF(R323 &gt;= 0.5, "Positive", "Negative")</f>
        <v>Positive</v>
      </c>
      <c r="T323" s="2" t="n">
        <v>79.979</v>
      </c>
      <c r="U323" s="0" t="s">
        <v>39</v>
      </c>
    </row>
    <row r="324" customFormat="false" ht="14.25" hidden="false" customHeight="false" outlineLevel="0" collapsed="false">
      <c r="A324" s="0" t="n">
        <v>57</v>
      </c>
      <c r="B324" s="0" t="str">
        <f aca="false">_xlfn.xlookup(A324, artists!A$2:A$836, artists!B$2:B$836)</f>
        <v>Christina Aguilera</v>
      </c>
      <c r="C324" s="1" t="s">
        <v>370</v>
      </c>
      <c r="D324" s="2" t="n">
        <v>203333</v>
      </c>
      <c r="E324" s="2" t="n">
        <f aca="false">D324/1000</f>
        <v>203.333</v>
      </c>
      <c r="F324" s="10" t="b">
        <f aca="false">FALSE()</f>
        <v>0</v>
      </c>
      <c r="G324" s="0" t="n">
        <v>2</v>
      </c>
      <c r="H324" s="0" t="n">
        <f aca="false">_xlfn.xlookup(G324, years!A$2:A$836, years!B$2:B$836)</f>
        <v>1999</v>
      </c>
      <c r="I324" s="2" t="n">
        <v>64</v>
      </c>
      <c r="J324" s="0" t="n">
        <v>0.829</v>
      </c>
      <c r="K324" s="0" t="n">
        <v>0.915</v>
      </c>
      <c r="L324" s="3" t="str">
        <f aca="false">IF(K324&gt;0.66,"High",IF(K324&gt;0.33&amp;K324&lt;=0.66,"Medium","Low"))</f>
        <v>High</v>
      </c>
      <c r="M324" s="0" t="n">
        <v>-3.205</v>
      </c>
      <c r="N324" s="3" t="n">
        <v>0.106</v>
      </c>
      <c r="O324" s="3" t="n">
        <v>0.226</v>
      </c>
      <c r="P324" s="4" t="n">
        <v>1.25E-005</v>
      </c>
      <c r="Q324" s="3" t="n">
        <v>0.246</v>
      </c>
      <c r="R324" s="3" t="n">
        <v>0.779</v>
      </c>
      <c r="S324" s="3" t="str">
        <f aca="false">IF(R324 &gt;= 0.5, "Positive", "Negative")</f>
        <v>Positive</v>
      </c>
      <c r="T324" s="2" t="n">
        <v>118.903</v>
      </c>
      <c r="U324" s="0" t="s">
        <v>39</v>
      </c>
    </row>
    <row r="325" customFormat="false" ht="14.25" hidden="false" customHeight="false" outlineLevel="0" collapsed="false">
      <c r="A325" s="0" t="n">
        <v>152</v>
      </c>
      <c r="B325" s="0" t="str">
        <f aca="false">_xlfn.xlookup(A325, artists!A$2:A$836, artists!B$2:B$836)</f>
        <v>Diddy</v>
      </c>
      <c r="C325" s="1" t="s">
        <v>371</v>
      </c>
      <c r="D325" s="2" t="n">
        <v>276786</v>
      </c>
      <c r="E325" s="2" t="n">
        <f aca="false">D325/1000</f>
        <v>276.786</v>
      </c>
      <c r="F325" s="10" t="b">
        <f aca="false">TRUE()</f>
        <v>1</v>
      </c>
      <c r="G325" s="0" t="n">
        <v>9</v>
      </c>
      <c r="H325" s="0" t="n">
        <f aca="false">_xlfn.xlookup(G325, years!A$2:A$836, years!B$2:B$836)</f>
        <v>2006</v>
      </c>
      <c r="I325" s="2" t="n">
        <v>55</v>
      </c>
      <c r="J325" s="0" t="n">
        <v>0.819</v>
      </c>
      <c r="K325" s="0" t="n">
        <v>0.485</v>
      </c>
      <c r="L325" s="3" t="str">
        <f aca="false">IF(K325&gt;0.66,"High",IF(K325&gt;0.33&amp;K325&lt;=0.66,"Medium","Low"))</f>
        <v>Low</v>
      </c>
      <c r="M325" s="0" t="n">
        <v>-6.45</v>
      </c>
      <c r="N325" s="3" t="n">
        <v>0.0756</v>
      </c>
      <c r="O325" s="3" t="n">
        <v>0.0176</v>
      </c>
      <c r="P325" s="4" t="n">
        <v>0</v>
      </c>
      <c r="Q325" s="3" t="n">
        <v>0.658</v>
      </c>
      <c r="R325" s="3" t="n">
        <v>0.386</v>
      </c>
      <c r="S325" s="3" t="str">
        <f aca="false">IF(R325 &gt;= 0.5, "Positive", "Negative")</f>
        <v>Negative</v>
      </c>
      <c r="T325" s="2" t="n">
        <v>96.998</v>
      </c>
      <c r="U325" s="0" t="s">
        <v>24</v>
      </c>
    </row>
    <row r="326" customFormat="false" ht="14.25" hidden="false" customHeight="false" outlineLevel="0" collapsed="false">
      <c r="A326" s="0" t="n">
        <v>273</v>
      </c>
      <c r="B326" s="0" t="str">
        <f aca="false">_xlfn.xlookup(A326, artists!A$2:A$836, artists!B$2:B$836)</f>
        <v>Special D.</v>
      </c>
      <c r="C326" s="1" t="s">
        <v>372</v>
      </c>
      <c r="D326" s="2" t="n">
        <v>185133</v>
      </c>
      <c r="E326" s="2" t="n">
        <f aca="false">D326/1000</f>
        <v>185.133</v>
      </c>
      <c r="F326" s="10" t="b">
        <f aca="false">FALSE()</f>
        <v>0</v>
      </c>
      <c r="G326" s="0" t="n">
        <v>7</v>
      </c>
      <c r="H326" s="0" t="n">
        <f aca="false">_xlfn.xlookup(G326, years!A$2:A$836, years!B$2:B$836)</f>
        <v>2004</v>
      </c>
      <c r="I326" s="2" t="n">
        <v>61</v>
      </c>
      <c r="J326" s="0" t="n">
        <v>0.739</v>
      </c>
      <c r="K326" s="0" t="n">
        <v>0.999</v>
      </c>
      <c r="L326" s="3" t="str">
        <f aca="false">IF(K326&gt;0.66,"High",IF(K326&gt;0.33&amp;K326&lt;=0.66,"Medium","Low"))</f>
        <v>High</v>
      </c>
      <c r="M326" s="0" t="n">
        <v>-5.077</v>
      </c>
      <c r="N326" s="3" t="n">
        <v>0.0803</v>
      </c>
      <c r="O326" s="3" t="n">
        <v>0.13</v>
      </c>
      <c r="P326" s="4" t="n">
        <v>0.00224</v>
      </c>
      <c r="Q326" s="3" t="n">
        <v>0.28</v>
      </c>
      <c r="R326" s="3" t="n">
        <v>0.501</v>
      </c>
      <c r="S326" s="3" t="str">
        <f aca="false">IF(R326 &gt;= 0.5, "Positive", "Negative")</f>
        <v>Positive</v>
      </c>
      <c r="T326" s="2" t="n">
        <v>139.982</v>
      </c>
      <c r="U326" s="0" t="s">
        <v>39</v>
      </c>
    </row>
    <row r="327" customFormat="false" ht="14.25" hidden="false" customHeight="false" outlineLevel="0" collapsed="false">
      <c r="A327" s="0" t="n">
        <v>272</v>
      </c>
      <c r="B327" s="0" t="str">
        <f aca="false">_xlfn.xlookup(A327, artists!A$2:A$836, artists!B$2:B$836)</f>
        <v>Scissor Sisters</v>
      </c>
      <c r="C327" s="1" t="s">
        <v>373</v>
      </c>
      <c r="D327" s="2" t="n">
        <v>266040</v>
      </c>
      <c r="E327" s="2" t="n">
        <f aca="false">D327/1000</f>
        <v>266.04</v>
      </c>
      <c r="F327" s="10" t="b">
        <f aca="false">FALSE()</f>
        <v>0</v>
      </c>
      <c r="G327" s="0" t="n">
        <v>7</v>
      </c>
      <c r="H327" s="0" t="n">
        <f aca="false">_xlfn.xlookup(G327, years!A$2:A$836, years!B$2:B$836)</f>
        <v>2004</v>
      </c>
      <c r="I327" s="2" t="n">
        <v>43</v>
      </c>
      <c r="J327" s="0" t="n">
        <v>0.803</v>
      </c>
      <c r="K327" s="0" t="n">
        <v>0.924</v>
      </c>
      <c r="L327" s="3" t="str">
        <f aca="false">IF(K327&gt;0.66,"High",IF(K327&gt;0.33&amp;K327&lt;=0.66,"Medium","Low"))</f>
        <v>High</v>
      </c>
      <c r="M327" s="0" t="n">
        <v>-6.466</v>
      </c>
      <c r="N327" s="3" t="n">
        <v>0.0391</v>
      </c>
      <c r="O327" s="3" t="n">
        <v>0.237</v>
      </c>
      <c r="P327" s="4" t="n">
        <v>0.0167</v>
      </c>
      <c r="Q327" s="3" t="n">
        <v>0.104</v>
      </c>
      <c r="R327" s="3" t="n">
        <v>0.788</v>
      </c>
      <c r="S327" s="3" t="str">
        <f aca="false">IF(R327 &gt;= 0.5, "Positive", "Negative")</f>
        <v>Positive</v>
      </c>
      <c r="T327" s="2" t="n">
        <v>116.972</v>
      </c>
      <c r="U327" s="0" t="s">
        <v>292</v>
      </c>
    </row>
    <row r="328" customFormat="false" ht="14.25" hidden="false" customHeight="false" outlineLevel="0" collapsed="false">
      <c r="A328" s="0" t="n">
        <v>521</v>
      </c>
      <c r="B328" s="0" t="str">
        <f aca="false">_xlfn.xlookup(A328, artists!A$2:A$836, artists!B$2:B$836)</f>
        <v>Diddy - Dirty Money</v>
      </c>
      <c r="C328" s="1" t="s">
        <v>374</v>
      </c>
      <c r="D328" s="2" t="n">
        <v>238693</v>
      </c>
      <c r="E328" s="2" t="n">
        <f aca="false">D328/1000</f>
        <v>238.693</v>
      </c>
      <c r="F328" s="10" t="b">
        <f aca="false">FALSE()</f>
        <v>0</v>
      </c>
      <c r="G328" s="0" t="n">
        <v>13</v>
      </c>
      <c r="H328" s="0" t="n">
        <f aca="false">_xlfn.xlookup(G328, years!A$2:A$836, years!B$2:B$836)</f>
        <v>2010</v>
      </c>
      <c r="I328" s="2" t="n">
        <v>69</v>
      </c>
      <c r="J328" s="0" t="n">
        <v>0.392</v>
      </c>
      <c r="K328" s="0" t="n">
        <v>0.839</v>
      </c>
      <c r="L328" s="3" t="str">
        <f aca="false">IF(K328&gt;0.66,"High",IF(K328&gt;0.33&amp;K328&lt;=0.66,"Medium","Low"))</f>
        <v>High</v>
      </c>
      <c r="M328" s="0" t="n">
        <v>-1.921</v>
      </c>
      <c r="N328" s="3" t="n">
        <v>0.193</v>
      </c>
      <c r="O328" s="3" t="n">
        <v>0.158</v>
      </c>
      <c r="P328" s="4" t="n">
        <v>0</v>
      </c>
      <c r="Q328" s="3" t="n">
        <v>0.3</v>
      </c>
      <c r="R328" s="3" t="n">
        <v>0.232</v>
      </c>
      <c r="S328" s="3" t="str">
        <f aca="false">IF(R328 &gt;= 0.5, "Positive", "Negative")</f>
        <v>Negative</v>
      </c>
      <c r="T328" s="2" t="n">
        <v>168.001</v>
      </c>
      <c r="U328" s="0" t="s">
        <v>31</v>
      </c>
    </row>
    <row r="329" customFormat="false" ht="14.25" hidden="false" customHeight="false" outlineLevel="0" collapsed="false">
      <c r="A329" s="0" t="n">
        <v>223</v>
      </c>
      <c r="B329" s="0" t="str">
        <f aca="false">_xlfn.xlookup(A329, artists!A$2:A$836, artists!B$2:B$836)</f>
        <v>Kelly Rowland</v>
      </c>
      <c r="C329" s="1" t="s">
        <v>375</v>
      </c>
      <c r="D329" s="2" t="n">
        <v>218106</v>
      </c>
      <c r="E329" s="2" t="n">
        <f aca="false">D329/1000</f>
        <v>218.106</v>
      </c>
      <c r="F329" s="10" t="b">
        <f aca="false">FALSE()</f>
        <v>0</v>
      </c>
      <c r="G329" s="0" t="n">
        <v>14</v>
      </c>
      <c r="H329" s="0" t="n">
        <f aca="false">_xlfn.xlookup(G329, years!A$2:A$836, years!B$2:B$836)</f>
        <v>2011</v>
      </c>
      <c r="I329" s="2" t="n">
        <v>59</v>
      </c>
      <c r="J329" s="0" t="n">
        <v>0.395</v>
      </c>
      <c r="K329" s="0" t="n">
        <v>0.876</v>
      </c>
      <c r="L329" s="3" t="str">
        <f aca="false">IF(K329&gt;0.66,"High",IF(K329&gt;0.33&amp;K329&lt;=0.66,"Medium","Low"))</f>
        <v>High</v>
      </c>
      <c r="M329" s="0" t="n">
        <v>-3.859</v>
      </c>
      <c r="N329" s="3" t="n">
        <v>0.138</v>
      </c>
      <c r="O329" s="3" t="n">
        <v>0.0173</v>
      </c>
      <c r="P329" s="4" t="n">
        <v>8.46E-006</v>
      </c>
      <c r="Q329" s="3" t="n">
        <v>0.362</v>
      </c>
      <c r="R329" s="3" t="n">
        <v>0.567</v>
      </c>
      <c r="S329" s="3" t="str">
        <f aca="false">IF(R329 &gt;= 0.5, "Positive", "Negative")</f>
        <v>Positive</v>
      </c>
      <c r="T329" s="2" t="n">
        <v>124.638</v>
      </c>
      <c r="U329" s="0" t="s">
        <v>31</v>
      </c>
    </row>
    <row r="330" customFormat="false" ht="14.25" hidden="false" customHeight="false" outlineLevel="0" collapsed="false">
      <c r="A330" s="0" t="n">
        <v>146</v>
      </c>
      <c r="B330" s="0" t="str">
        <f aca="false">_xlfn.xlookup(A330, artists!A$2:A$836, artists!B$2:B$836)</f>
        <v>Avril Lavigne</v>
      </c>
      <c r="C330" s="1" t="s">
        <v>376</v>
      </c>
      <c r="D330" s="2" t="n">
        <v>244506</v>
      </c>
      <c r="E330" s="2" t="n">
        <f aca="false">D330/1000</f>
        <v>244.506</v>
      </c>
      <c r="F330" s="10" t="b">
        <f aca="false">FALSE()</f>
        <v>0</v>
      </c>
      <c r="G330" s="0" t="n">
        <v>5</v>
      </c>
      <c r="H330" s="0" t="n">
        <f aca="false">_xlfn.xlookup(G330, years!A$2:A$836, years!B$2:B$836)</f>
        <v>2002</v>
      </c>
      <c r="I330" s="2" t="n">
        <v>78</v>
      </c>
      <c r="J330" s="0" t="n">
        <v>0.585</v>
      </c>
      <c r="K330" s="0" t="n">
        <v>0.776</v>
      </c>
      <c r="L330" s="3" t="str">
        <f aca="false">IF(K330&gt;0.66,"High",IF(K330&gt;0.33&amp;K330&lt;=0.66,"Medium","Low"))</f>
        <v>High</v>
      </c>
      <c r="M330" s="0" t="n">
        <v>-5.898</v>
      </c>
      <c r="N330" s="3" t="n">
        <v>0.0459</v>
      </c>
      <c r="O330" s="3" t="n">
        <v>0.0572</v>
      </c>
      <c r="P330" s="4" t="n">
        <v>7.74E-006</v>
      </c>
      <c r="Q330" s="3" t="n">
        <v>0.3</v>
      </c>
      <c r="R330" s="3" t="n">
        <v>0.427</v>
      </c>
      <c r="S330" s="3" t="str">
        <f aca="false">IF(R330 &gt;= 0.5, "Positive", "Negative")</f>
        <v>Negative</v>
      </c>
      <c r="T330" s="2" t="n">
        <v>77.987</v>
      </c>
      <c r="U330" s="0" t="s">
        <v>39</v>
      </c>
    </row>
    <row r="331" customFormat="false" ht="14.25" hidden="false" customHeight="false" outlineLevel="0" collapsed="false">
      <c r="A331" s="0" t="n">
        <v>238</v>
      </c>
      <c r="B331" s="0" t="str">
        <f aca="false">_xlfn.xlookup(A331, artists!A$2:A$836, artists!B$2:B$836)</f>
        <v>Daddy Yankee</v>
      </c>
      <c r="C331" s="1" t="s">
        <v>377</v>
      </c>
      <c r="D331" s="2" t="n">
        <v>193226</v>
      </c>
      <c r="E331" s="2" t="n">
        <f aca="false">D331/1000</f>
        <v>193.226</v>
      </c>
      <c r="F331" s="10" t="b">
        <f aca="false">FALSE()</f>
        <v>0</v>
      </c>
      <c r="G331" s="0" t="n">
        <v>22</v>
      </c>
      <c r="H331" s="0" t="n">
        <f aca="false">_xlfn.xlookup(G331, years!A$2:A$836, years!B$2:B$836)</f>
        <v>2019</v>
      </c>
      <c r="I331" s="2" t="n">
        <v>79</v>
      </c>
      <c r="J331" s="0" t="n">
        <v>0.737</v>
      </c>
      <c r="K331" s="0" t="n">
        <v>0.86</v>
      </c>
      <c r="L331" s="3" t="str">
        <f aca="false">IF(K331&gt;0.66,"High",IF(K331&gt;0.33&amp;K331&lt;=0.66,"Medium","Low"))</f>
        <v>High</v>
      </c>
      <c r="M331" s="0" t="n">
        <v>-2.652</v>
      </c>
      <c r="N331" s="3" t="n">
        <v>0.0593</v>
      </c>
      <c r="O331" s="3" t="n">
        <v>0.11</v>
      </c>
      <c r="P331" s="4" t="n">
        <v>1.94E-006</v>
      </c>
      <c r="Q331" s="3" t="n">
        <v>0.0574</v>
      </c>
      <c r="R331" s="3" t="n">
        <v>0.656</v>
      </c>
      <c r="S331" s="3" t="str">
        <f aca="false">IF(R331 &gt;= 0.5, "Positive", "Negative")</f>
        <v>Positive</v>
      </c>
      <c r="T331" s="2" t="n">
        <v>93.989</v>
      </c>
      <c r="U331" s="0" t="s">
        <v>312</v>
      </c>
    </row>
    <row r="332" customFormat="false" ht="14.25" hidden="false" customHeight="false" outlineLevel="0" collapsed="false">
      <c r="A332" s="0" t="n">
        <v>664</v>
      </c>
      <c r="B332" s="0" t="str">
        <f aca="false">_xlfn.xlookup(A332, artists!A$2:A$836, artists!B$2:B$836)</f>
        <v>Fetty Wap</v>
      </c>
      <c r="C332" s="1" t="s">
        <v>378</v>
      </c>
      <c r="D332" s="2" t="n">
        <v>213053</v>
      </c>
      <c r="E332" s="2" t="n">
        <f aca="false">D332/1000</f>
        <v>213.053</v>
      </c>
      <c r="F332" s="10" t="b">
        <f aca="false">TRUE()</f>
        <v>1</v>
      </c>
      <c r="G332" s="0" t="n">
        <v>18</v>
      </c>
      <c r="H332" s="0" t="n">
        <f aca="false">_xlfn.xlookup(G332, years!A$2:A$836, years!B$2:B$836)</f>
        <v>2015</v>
      </c>
      <c r="I332" s="2" t="n">
        <v>55</v>
      </c>
      <c r="J332" s="0" t="n">
        <v>0.748</v>
      </c>
      <c r="K332" s="0" t="n">
        <v>0.741</v>
      </c>
      <c r="L332" s="3" t="str">
        <f aca="false">IF(K332&gt;0.66,"High",IF(K332&gt;0.33&amp;K332&lt;=0.66,"Medium","Low"))</f>
        <v>High</v>
      </c>
      <c r="M332" s="0" t="n">
        <v>-3.103</v>
      </c>
      <c r="N332" s="3" t="n">
        <v>0.0531</v>
      </c>
      <c r="O332" s="3" t="n">
        <v>0.00419</v>
      </c>
      <c r="P332" s="4" t="n">
        <v>0</v>
      </c>
      <c r="Q332" s="3" t="n">
        <v>0.147</v>
      </c>
      <c r="R332" s="3" t="n">
        <v>0.537</v>
      </c>
      <c r="S332" s="3" t="str">
        <f aca="false">IF(R332 &gt;= 0.5, "Positive", "Negative")</f>
        <v>Positive</v>
      </c>
      <c r="T332" s="2" t="n">
        <v>128.077</v>
      </c>
      <c r="U332" s="0" t="s">
        <v>24</v>
      </c>
    </row>
    <row r="333" customFormat="false" ht="14.25" hidden="false" customHeight="false" outlineLevel="0" collapsed="false">
      <c r="A333" s="0" t="n">
        <v>659</v>
      </c>
      <c r="B333" s="0" t="str">
        <f aca="false">_xlfn.xlookup(A333, artists!A$2:A$836, artists!B$2:B$836)</f>
        <v>Years &amp; Years</v>
      </c>
      <c r="C333" s="1" t="s">
        <v>379</v>
      </c>
      <c r="D333" s="2" t="n">
        <v>255506</v>
      </c>
      <c r="E333" s="2" t="n">
        <f aca="false">D333/1000</f>
        <v>255.506</v>
      </c>
      <c r="F333" s="10" t="b">
        <f aca="false">FALSE()</f>
        <v>0</v>
      </c>
      <c r="G333" s="0" t="n">
        <v>18</v>
      </c>
      <c r="H333" s="0" t="n">
        <f aca="false">_xlfn.xlookup(G333, years!A$2:A$836, years!B$2:B$836)</f>
        <v>2015</v>
      </c>
      <c r="I333" s="2" t="n">
        <v>55</v>
      </c>
      <c r="J333" s="0" t="n">
        <v>0.667</v>
      </c>
      <c r="K333" s="0" t="n">
        <v>0.716</v>
      </c>
      <c r="L333" s="3" t="str">
        <f aca="false">IF(K333&gt;0.66,"High",IF(K333&gt;0.33&amp;K333&lt;=0.66,"Medium","Low"))</f>
        <v>High</v>
      </c>
      <c r="M333" s="0" t="n">
        <v>-5.21</v>
      </c>
      <c r="N333" s="3" t="n">
        <v>0.0349</v>
      </c>
      <c r="O333" s="3" t="n">
        <v>0.189</v>
      </c>
      <c r="P333" s="4" t="n">
        <v>0</v>
      </c>
      <c r="Q333" s="3" t="n">
        <v>0.104</v>
      </c>
      <c r="R333" s="3" t="n">
        <v>0.493</v>
      </c>
      <c r="S333" s="3" t="str">
        <f aca="false">IF(R333 &gt;= 0.5, "Positive", "Negative")</f>
        <v>Negative</v>
      </c>
      <c r="T333" s="2" t="n">
        <v>108.002</v>
      </c>
      <c r="U333" s="0" t="s">
        <v>22</v>
      </c>
    </row>
    <row r="334" customFormat="false" ht="14.25" hidden="false" customHeight="false" outlineLevel="0" collapsed="false">
      <c r="A334" s="0" t="n">
        <v>168</v>
      </c>
      <c r="B334" s="0" t="str">
        <f aca="false">_xlfn.xlookup(A334, artists!A$2:A$836, artists!B$2:B$836)</f>
        <v>LL Cool J</v>
      </c>
      <c r="C334" s="1" t="s">
        <v>380</v>
      </c>
      <c r="D334" s="2" t="n">
        <v>233973</v>
      </c>
      <c r="E334" s="2" t="n">
        <f aca="false">D334/1000</f>
        <v>233.973</v>
      </c>
      <c r="F334" s="10" t="b">
        <f aca="false">FALSE()</f>
        <v>0</v>
      </c>
      <c r="G334" s="0" t="n">
        <v>9</v>
      </c>
      <c r="H334" s="0" t="n">
        <f aca="false">_xlfn.xlookup(G334, years!A$2:A$836, years!B$2:B$836)</f>
        <v>2006</v>
      </c>
      <c r="I334" s="2" t="n">
        <v>42</v>
      </c>
      <c r="J334" s="0" t="n">
        <v>0.825</v>
      </c>
      <c r="K334" s="0" t="n">
        <v>0.876</v>
      </c>
      <c r="L334" s="3" t="str">
        <f aca="false">IF(K334&gt;0.66,"High",IF(K334&gt;0.33&amp;K334&lt;=0.66,"Medium","Low"))</f>
        <v>High</v>
      </c>
      <c r="M334" s="0" t="n">
        <v>-6.556</v>
      </c>
      <c r="N334" s="3" t="n">
        <v>0.211</v>
      </c>
      <c r="O334" s="3" t="n">
        <v>0.00928</v>
      </c>
      <c r="P334" s="4" t="n">
        <v>1.2E-005</v>
      </c>
      <c r="Q334" s="3" t="n">
        <v>0.205</v>
      </c>
      <c r="R334" s="3" t="n">
        <v>0.48</v>
      </c>
      <c r="S334" s="3" t="str">
        <f aca="false">IF(R334 &gt;= 0.5, "Positive", "Negative")</f>
        <v>Negative</v>
      </c>
      <c r="T334" s="2" t="n">
        <v>120.066</v>
      </c>
      <c r="U334" s="0" t="s">
        <v>31</v>
      </c>
    </row>
    <row r="335" customFormat="false" ht="14.25" hidden="false" customHeight="false" outlineLevel="0" collapsed="false">
      <c r="A335" s="0" t="n">
        <v>365</v>
      </c>
      <c r="B335" s="0" t="str">
        <f aca="false">_xlfn.xlookup(A335, artists!A$2:A$836, artists!B$2:B$836)</f>
        <v>Gym Class Heroes</v>
      </c>
      <c r="C335" s="1" t="s">
        <v>381</v>
      </c>
      <c r="D335" s="2" t="n">
        <v>216317</v>
      </c>
      <c r="E335" s="2" t="n">
        <f aca="false">D335/1000</f>
        <v>216.317</v>
      </c>
      <c r="F335" s="10" t="b">
        <f aca="false">TRUE()</f>
        <v>1</v>
      </c>
      <c r="G335" s="0" t="n">
        <v>11</v>
      </c>
      <c r="H335" s="0" t="n">
        <f aca="false">_xlfn.xlookup(G335, years!A$2:A$836, years!B$2:B$836)</f>
        <v>2008</v>
      </c>
      <c r="I335" s="2" t="n">
        <v>54</v>
      </c>
      <c r="J335" s="0" t="n">
        <v>0.687</v>
      </c>
      <c r="K335" s="0" t="n">
        <v>0.668</v>
      </c>
      <c r="L335" s="3" t="str">
        <f aca="false">IF(K335&gt;0.66,"High",IF(K335&gt;0.33&amp;K335&lt;=0.66,"Medium","Low"))</f>
        <v>High</v>
      </c>
      <c r="M335" s="0" t="n">
        <v>-4.061</v>
      </c>
      <c r="N335" s="3" t="n">
        <v>0.0282</v>
      </c>
      <c r="O335" s="3" t="n">
        <v>0.0253</v>
      </c>
      <c r="P335" s="4" t="n">
        <v>0</v>
      </c>
      <c r="Q335" s="3" t="n">
        <v>0.744</v>
      </c>
      <c r="R335" s="3" t="n">
        <v>0.418</v>
      </c>
      <c r="S335" s="3" t="str">
        <f aca="false">IF(R335 &gt;= 0.5, "Positive", "Negative")</f>
        <v>Negative</v>
      </c>
      <c r="T335" s="2" t="n">
        <v>113.053</v>
      </c>
      <c r="U335" s="0" t="s">
        <v>24</v>
      </c>
    </row>
    <row r="336" customFormat="false" ht="14.25" hidden="false" customHeight="false" outlineLevel="0" collapsed="false">
      <c r="A336" s="0" t="n">
        <v>241</v>
      </c>
      <c r="B336" s="0" t="str">
        <f aca="false">_xlfn.xlookup(A336, artists!A$2:A$836, artists!B$2:B$836)</f>
        <v>Gwen Stefani</v>
      </c>
      <c r="C336" s="1" t="s">
        <v>382</v>
      </c>
      <c r="D336" s="2" t="n">
        <v>189333</v>
      </c>
      <c r="E336" s="2" t="n">
        <f aca="false">D336/1000</f>
        <v>189.333</v>
      </c>
      <c r="F336" s="10" t="b">
        <f aca="false">FALSE()</f>
        <v>0</v>
      </c>
      <c r="G336" s="0" t="n">
        <v>7</v>
      </c>
      <c r="H336" s="0" t="n">
        <f aca="false">_xlfn.xlookup(G336, years!A$2:A$836, years!B$2:B$836)</f>
        <v>2004</v>
      </c>
      <c r="I336" s="2" t="n">
        <v>59</v>
      </c>
      <c r="J336" s="0" t="n">
        <v>0.709</v>
      </c>
      <c r="K336" s="0" t="n">
        <v>0.721</v>
      </c>
      <c r="L336" s="3" t="str">
        <f aca="false">IF(K336&gt;0.66,"High",IF(K336&gt;0.33&amp;K336&lt;=0.66,"Medium","Low"))</f>
        <v>High</v>
      </c>
      <c r="M336" s="0" t="n">
        <v>-3.52</v>
      </c>
      <c r="N336" s="3" t="n">
        <v>0.0281</v>
      </c>
      <c r="O336" s="3" t="n">
        <v>0.0322</v>
      </c>
      <c r="P336" s="4" t="n">
        <v>0.000309</v>
      </c>
      <c r="Q336" s="3" t="n">
        <v>0.355</v>
      </c>
      <c r="R336" s="3" t="n">
        <v>0.801</v>
      </c>
      <c r="S336" s="3" t="str">
        <f aca="false">IF(R336 &gt;= 0.5, "Positive", "Negative")</f>
        <v>Positive</v>
      </c>
      <c r="T336" s="2" t="n">
        <v>112.019</v>
      </c>
      <c r="U336" s="0" t="s">
        <v>33</v>
      </c>
    </row>
    <row r="337" customFormat="false" ht="14.25" hidden="false" customHeight="false" outlineLevel="0" collapsed="false">
      <c r="A337" s="0" t="n">
        <v>566</v>
      </c>
      <c r="B337" s="0" t="str">
        <f aca="false">_xlfn.xlookup(A337, artists!A$2:A$836, artists!B$2:B$836)</f>
        <v>Demi Lovato</v>
      </c>
      <c r="C337" s="1" t="s">
        <v>383</v>
      </c>
      <c r="D337" s="2" t="n">
        <v>214746</v>
      </c>
      <c r="E337" s="2" t="n">
        <f aca="false">D337/1000</f>
        <v>214.746</v>
      </c>
      <c r="F337" s="10" t="b">
        <f aca="false">TRUE()</f>
        <v>1</v>
      </c>
      <c r="G337" s="0" t="n">
        <v>18</v>
      </c>
      <c r="H337" s="0" t="n">
        <f aca="false">_xlfn.xlookup(G337, years!A$2:A$836, years!B$2:B$836)</f>
        <v>2015</v>
      </c>
      <c r="I337" s="2" t="n">
        <v>0</v>
      </c>
      <c r="J337" s="0" t="n">
        <v>0.586</v>
      </c>
      <c r="K337" s="0" t="n">
        <v>0.613</v>
      </c>
      <c r="L337" s="3" t="str">
        <f aca="false">IF(K337&gt;0.66,"High",IF(K337&gt;0.33&amp;K337&lt;=0.66,"Medium","Low"))</f>
        <v>Low</v>
      </c>
      <c r="M337" s="0" t="n">
        <v>-5.593</v>
      </c>
      <c r="N337" s="3" t="n">
        <v>0.0386</v>
      </c>
      <c r="O337" s="3" t="n">
        <v>0.00441</v>
      </c>
      <c r="P337" s="4" t="n">
        <v>0.000183</v>
      </c>
      <c r="Q337" s="3" t="n">
        <v>0.0853</v>
      </c>
      <c r="R337" s="3" t="n">
        <v>0.319</v>
      </c>
      <c r="S337" s="3" t="str">
        <f aca="false">IF(R337 &gt;= 0.5, "Positive", "Negative")</f>
        <v>Negative</v>
      </c>
      <c r="T337" s="2" t="n">
        <v>114.101</v>
      </c>
      <c r="U337" s="0" t="s">
        <v>39</v>
      </c>
    </row>
    <row r="338" customFormat="false" ht="14.25" hidden="false" customHeight="false" outlineLevel="0" collapsed="false">
      <c r="A338" s="0" t="n">
        <v>608</v>
      </c>
      <c r="B338" s="0" t="str">
        <f aca="false">_xlfn.xlookup(A338, artists!A$2:A$836, artists!B$2:B$836)</f>
        <v>Tove Lo</v>
      </c>
      <c r="C338" s="1" t="s">
        <v>384</v>
      </c>
      <c r="D338" s="2" t="n">
        <v>197815</v>
      </c>
      <c r="E338" s="2" t="n">
        <f aca="false">D338/1000</f>
        <v>197.815</v>
      </c>
      <c r="F338" s="10" t="b">
        <f aca="false">TRUE()</f>
        <v>1</v>
      </c>
      <c r="G338" s="0" t="n">
        <v>19</v>
      </c>
      <c r="H338" s="0" t="n">
        <f aca="false">_xlfn.xlookup(G338, years!A$2:A$836, years!B$2:B$836)</f>
        <v>2016</v>
      </c>
      <c r="I338" s="2" t="n">
        <v>0</v>
      </c>
      <c r="J338" s="0" t="n">
        <v>0.674</v>
      </c>
      <c r="K338" s="0" t="n">
        <v>0.71</v>
      </c>
      <c r="L338" s="3" t="str">
        <f aca="false">IF(K338&gt;0.66,"High",IF(K338&gt;0.33&amp;K338&lt;=0.66,"Medium","Low"))</f>
        <v>High</v>
      </c>
      <c r="M338" s="0" t="n">
        <v>-7.042</v>
      </c>
      <c r="N338" s="3" t="n">
        <v>0.111</v>
      </c>
      <c r="O338" s="3" t="n">
        <v>0.343</v>
      </c>
      <c r="P338" s="4" t="n">
        <v>6.71E-006</v>
      </c>
      <c r="Q338" s="3" t="n">
        <v>0.129</v>
      </c>
      <c r="R338" s="3" t="n">
        <v>0.234</v>
      </c>
      <c r="S338" s="3" t="str">
        <f aca="false">IF(R338 &gt;= 0.5, "Positive", "Negative")</f>
        <v>Negative</v>
      </c>
      <c r="T338" s="2" t="n">
        <v>101.983</v>
      </c>
      <c r="U338" s="0" t="s">
        <v>22</v>
      </c>
    </row>
    <row r="339" customFormat="false" ht="14.25" hidden="false" customHeight="false" outlineLevel="0" collapsed="false">
      <c r="A339" s="0" t="n">
        <v>637</v>
      </c>
      <c r="B339" s="0" t="str">
        <f aca="false">_xlfn.xlookup(A339, artists!A$2:A$836, artists!B$2:B$836)</f>
        <v>Echosmith</v>
      </c>
      <c r="C339" s="1" t="s">
        <v>385</v>
      </c>
      <c r="D339" s="2" t="n">
        <v>237626</v>
      </c>
      <c r="E339" s="2" t="n">
        <f aca="false">D339/1000</f>
        <v>237.626</v>
      </c>
      <c r="F339" s="10" t="b">
        <f aca="false">FALSE()</f>
        <v>0</v>
      </c>
      <c r="G339" s="0" t="n">
        <v>16</v>
      </c>
      <c r="H339" s="0" t="n">
        <f aca="false">_xlfn.xlookup(G339, years!A$2:A$836, years!B$2:B$836)</f>
        <v>2013</v>
      </c>
      <c r="I339" s="2" t="n">
        <v>71</v>
      </c>
      <c r="J339" s="0" t="n">
        <v>0.719</v>
      </c>
      <c r="K339" s="0" t="n">
        <v>0.671</v>
      </c>
      <c r="L339" s="3" t="str">
        <f aca="false">IF(K339&gt;0.66,"High",IF(K339&gt;0.33&amp;K339&lt;=0.66,"Medium","Low"))</f>
        <v>High</v>
      </c>
      <c r="M339" s="0" t="n">
        <v>-6.279</v>
      </c>
      <c r="N339" s="3" t="n">
        <v>0.0336</v>
      </c>
      <c r="O339" s="3" t="n">
        <v>0.0372</v>
      </c>
      <c r="P339" s="4" t="n">
        <v>8.21E-006</v>
      </c>
      <c r="Q339" s="3" t="n">
        <v>0.12</v>
      </c>
      <c r="R339" s="3" t="n">
        <v>0.786</v>
      </c>
      <c r="S339" s="3" t="str">
        <f aca="false">IF(R339 &gt;= 0.5, "Positive", "Negative")</f>
        <v>Positive</v>
      </c>
      <c r="T339" s="2" t="n">
        <v>130.027</v>
      </c>
      <c r="U339" s="0" t="s">
        <v>39</v>
      </c>
    </row>
    <row r="340" customFormat="false" ht="14.25" hidden="false" customHeight="false" outlineLevel="0" collapsed="false">
      <c r="A340" s="0" t="n">
        <v>484</v>
      </c>
      <c r="B340" s="0" t="str">
        <f aca="false">_xlfn.xlookup(A340, artists!A$2:A$836, artists!B$2:B$836)</f>
        <v>Mike Posner</v>
      </c>
      <c r="C340" s="1" t="s">
        <v>386</v>
      </c>
      <c r="D340" s="2" t="n">
        <v>213293</v>
      </c>
      <c r="E340" s="2" t="n">
        <f aca="false">D340/1000</f>
        <v>213.293</v>
      </c>
      <c r="F340" s="10" t="b">
        <f aca="false">FALSE()</f>
        <v>0</v>
      </c>
      <c r="G340" s="0" t="n">
        <v>13</v>
      </c>
      <c r="H340" s="0" t="n">
        <f aca="false">_xlfn.xlookup(G340, years!A$2:A$836, years!B$2:B$836)</f>
        <v>2010</v>
      </c>
      <c r="I340" s="2" t="n">
        <v>75</v>
      </c>
      <c r="J340" s="0" t="n">
        <v>0.768</v>
      </c>
      <c r="K340" s="0" t="n">
        <v>0.82</v>
      </c>
      <c r="L340" s="3" t="str">
        <f aca="false">IF(K340&gt;0.66,"High",IF(K340&gt;0.33&amp;K340&lt;=0.66,"Medium","Low"))</f>
        <v>High</v>
      </c>
      <c r="M340" s="0" t="n">
        <v>-4.63</v>
      </c>
      <c r="N340" s="3" t="n">
        <v>0.0474</v>
      </c>
      <c r="O340" s="3" t="n">
        <v>0.179</v>
      </c>
      <c r="P340" s="4" t="n">
        <v>0</v>
      </c>
      <c r="Q340" s="3" t="n">
        <v>0.689</v>
      </c>
      <c r="R340" s="3" t="n">
        <v>0.625</v>
      </c>
      <c r="S340" s="3" t="str">
        <f aca="false">IF(R340 &gt;= 0.5, "Positive", "Negative")</f>
        <v>Positive</v>
      </c>
      <c r="T340" s="2" t="n">
        <v>129.965</v>
      </c>
      <c r="U340" s="0" t="s">
        <v>53</v>
      </c>
    </row>
    <row r="341" customFormat="false" ht="14.25" hidden="false" customHeight="false" outlineLevel="0" collapsed="false">
      <c r="A341" s="0" t="n">
        <v>772</v>
      </c>
      <c r="B341" s="0" t="str">
        <f aca="false">_xlfn.xlookup(A341, artists!A$2:A$836, artists!B$2:B$836)</f>
        <v>Maluma</v>
      </c>
      <c r="C341" s="1" t="s">
        <v>387</v>
      </c>
      <c r="D341" s="2" t="n">
        <v>184720</v>
      </c>
      <c r="E341" s="2" t="n">
        <f aca="false">D341/1000</f>
        <v>184.72</v>
      </c>
      <c r="F341" s="10" t="b">
        <f aca="false">FALSE()</f>
        <v>0</v>
      </c>
      <c r="G341" s="0" t="n">
        <v>21</v>
      </c>
      <c r="H341" s="0" t="n">
        <f aca="false">_xlfn.xlookup(G341, years!A$2:A$836, years!B$2:B$836)</f>
        <v>2018</v>
      </c>
      <c r="I341" s="2" t="n">
        <v>69</v>
      </c>
      <c r="J341" s="0" t="n">
        <v>0.722</v>
      </c>
      <c r="K341" s="0" t="n">
        <v>0.738</v>
      </c>
      <c r="L341" s="3" t="str">
        <f aca="false">IF(K341&gt;0.66,"High",IF(K341&gt;0.33&amp;K341&lt;=0.66,"Medium","Low"))</f>
        <v>High</v>
      </c>
      <c r="M341" s="0" t="n">
        <v>-6.073</v>
      </c>
      <c r="N341" s="3" t="n">
        <v>0.247</v>
      </c>
      <c r="O341" s="3" t="n">
        <v>0.328</v>
      </c>
      <c r="P341" s="4" t="n">
        <v>1.47E-005</v>
      </c>
      <c r="Q341" s="3" t="n">
        <v>0.198</v>
      </c>
      <c r="R341" s="3" t="n">
        <v>0.748</v>
      </c>
      <c r="S341" s="3" t="str">
        <f aca="false">IF(R341 &gt;= 0.5, "Positive", "Negative")</f>
        <v>Positive</v>
      </c>
      <c r="T341" s="2" t="n">
        <v>198.075</v>
      </c>
      <c r="U341" s="0" t="s">
        <v>312</v>
      </c>
    </row>
    <row r="342" customFormat="false" ht="14.25" hidden="false" customHeight="false" outlineLevel="0" collapsed="false">
      <c r="A342" s="0" t="n">
        <v>425</v>
      </c>
      <c r="B342" s="0" t="str">
        <f aca="false">_xlfn.xlookup(A342, artists!A$2:A$836, artists!B$2:B$836)</f>
        <v>OneRepublic</v>
      </c>
      <c r="C342" s="1" t="s">
        <v>388</v>
      </c>
      <c r="D342" s="2" t="n">
        <v>257386</v>
      </c>
      <c r="E342" s="2" t="n">
        <f aca="false">D342/1000</f>
        <v>257.386</v>
      </c>
      <c r="F342" s="10" t="b">
        <f aca="false">FALSE()</f>
        <v>0</v>
      </c>
      <c r="G342" s="0" t="n">
        <v>17</v>
      </c>
      <c r="H342" s="0" t="n">
        <f aca="false">_xlfn.xlookup(G342, years!A$2:A$836, years!B$2:B$836)</f>
        <v>2014</v>
      </c>
      <c r="I342" s="2" t="n">
        <v>62</v>
      </c>
      <c r="J342" s="0" t="n">
        <v>0.663</v>
      </c>
      <c r="K342" s="0" t="n">
        <v>0.705</v>
      </c>
      <c r="L342" s="3" t="str">
        <f aca="false">IF(K342&gt;0.66,"High",IF(K342&gt;0.33&amp;K342&lt;=0.66,"Medium","Low"))</f>
        <v>High</v>
      </c>
      <c r="M342" s="0" t="n">
        <v>-4.972</v>
      </c>
      <c r="N342" s="3" t="n">
        <v>0.0385</v>
      </c>
      <c r="O342" s="3" t="n">
        <v>0.0654</v>
      </c>
      <c r="P342" s="4" t="n">
        <v>0</v>
      </c>
      <c r="Q342" s="3" t="n">
        <v>0.117</v>
      </c>
      <c r="R342" s="3" t="n">
        <v>0.477</v>
      </c>
      <c r="S342" s="3" t="str">
        <f aca="false">IF(R342 &gt;= 0.5, "Positive", "Negative")</f>
        <v>Negative</v>
      </c>
      <c r="T342" s="2" t="n">
        <v>122.014</v>
      </c>
      <c r="U342" s="0" t="s">
        <v>39</v>
      </c>
    </row>
    <row r="343" customFormat="false" ht="14.25" hidden="false" customHeight="false" outlineLevel="0" collapsed="false">
      <c r="A343" s="0" t="n">
        <v>81</v>
      </c>
      <c r="B343" s="0" t="str">
        <f aca="false">_xlfn.xlookup(A343, artists!A$2:A$836, artists!B$2:B$836)</f>
        <v>Nelly</v>
      </c>
      <c r="C343" s="1" t="s">
        <v>389</v>
      </c>
      <c r="D343" s="2" t="n">
        <v>287000</v>
      </c>
      <c r="E343" s="2" t="n">
        <f aca="false">D343/1000</f>
        <v>287</v>
      </c>
      <c r="F343" s="10" t="b">
        <f aca="false">TRUE()</f>
        <v>1</v>
      </c>
      <c r="G343" s="0" t="n">
        <v>3</v>
      </c>
      <c r="H343" s="0" t="n">
        <f aca="false">_xlfn.xlookup(G343, years!A$2:A$836, years!B$2:B$836)</f>
        <v>2000</v>
      </c>
      <c r="I343" s="2" t="n">
        <v>68</v>
      </c>
      <c r="J343" s="0" t="n">
        <v>0.865</v>
      </c>
      <c r="K343" s="0" t="n">
        <v>0.664</v>
      </c>
      <c r="L343" s="3" t="str">
        <f aca="false">IF(K343&gt;0.66,"High",IF(K343&gt;0.33&amp;K343&lt;=0.66,"Medium","Low"))</f>
        <v>High</v>
      </c>
      <c r="M343" s="0" t="n">
        <v>-6.822</v>
      </c>
      <c r="N343" s="3" t="n">
        <v>0.108</v>
      </c>
      <c r="O343" s="3" t="n">
        <v>0.00689</v>
      </c>
      <c r="P343" s="4" t="n">
        <v>0</v>
      </c>
      <c r="Q343" s="3" t="n">
        <v>0.142</v>
      </c>
      <c r="R343" s="3" t="n">
        <v>0.565</v>
      </c>
      <c r="S343" s="3" t="str">
        <f aca="false">IF(R343 &gt;= 0.5, "Positive", "Negative")</f>
        <v>Positive</v>
      </c>
      <c r="T343" s="2" t="n">
        <v>162.831</v>
      </c>
      <c r="U343" s="0" t="s">
        <v>31</v>
      </c>
    </row>
    <row r="344" customFormat="false" ht="14.25" hidden="false" customHeight="false" outlineLevel="0" collapsed="false">
      <c r="A344" s="0" t="n">
        <v>7</v>
      </c>
      <c r="B344" s="0" t="str">
        <f aca="false">_xlfn.xlookup(A344, artists!A$2:A$836, artists!B$2:B$836)</f>
        <v>Eminem</v>
      </c>
      <c r="C344" s="1" t="s">
        <v>390</v>
      </c>
      <c r="D344" s="2" t="n">
        <v>297520</v>
      </c>
      <c r="E344" s="2" t="n">
        <f aca="false">D344/1000</f>
        <v>297.52</v>
      </c>
      <c r="F344" s="10" t="b">
        <f aca="false">TRUE()</f>
        <v>1</v>
      </c>
      <c r="G344" s="0" t="n">
        <v>12</v>
      </c>
      <c r="H344" s="0" t="n">
        <f aca="false">_xlfn.xlookup(G344, years!A$2:A$836, years!B$2:B$836)</f>
        <v>2009</v>
      </c>
      <c r="I344" s="2" t="n">
        <v>70</v>
      </c>
      <c r="J344" s="0" t="n">
        <v>0.516</v>
      </c>
      <c r="K344" s="0" t="n">
        <v>0.874</v>
      </c>
      <c r="L344" s="3" t="str">
        <f aca="false">IF(K344&gt;0.66,"High",IF(K344&gt;0.33&amp;K344&lt;=0.66,"Medium","Low"))</f>
        <v>High</v>
      </c>
      <c r="M344" s="0" t="n">
        <v>-2.571</v>
      </c>
      <c r="N344" s="3" t="n">
        <v>0.186</v>
      </c>
      <c r="O344" s="3" t="n">
        <v>0.0864</v>
      </c>
      <c r="P344" s="4" t="n">
        <v>0</v>
      </c>
      <c r="Q344" s="3" t="n">
        <v>0.173</v>
      </c>
      <c r="R344" s="3" t="n">
        <v>0.391</v>
      </c>
      <c r="S344" s="3" t="str">
        <f aca="false">IF(R344 &gt;= 0.5, "Positive", "Negative")</f>
        <v>Negative</v>
      </c>
      <c r="T344" s="2" t="n">
        <v>169.561</v>
      </c>
      <c r="U344" s="0" t="s">
        <v>29</v>
      </c>
    </row>
    <row r="345" customFormat="false" ht="14.25" hidden="false" customHeight="false" outlineLevel="0" collapsed="false">
      <c r="A345" s="0" t="n">
        <v>366</v>
      </c>
      <c r="B345" s="0" t="str">
        <f aca="false">_xlfn.xlookup(A345, artists!A$2:A$836, artists!B$2:B$836)</f>
        <v>Soulja Boy</v>
      </c>
      <c r="C345" s="1" t="s">
        <v>391</v>
      </c>
      <c r="D345" s="2" t="n">
        <v>221933</v>
      </c>
      <c r="E345" s="2" t="n">
        <f aca="false">D345/1000</f>
        <v>221.933</v>
      </c>
      <c r="F345" s="10" t="b">
        <f aca="false">FALSE()</f>
        <v>0</v>
      </c>
      <c r="G345" s="0" t="n">
        <v>10</v>
      </c>
      <c r="H345" s="0" t="n">
        <f aca="false">_xlfn.xlookup(G345, years!A$2:A$836, years!B$2:B$836)</f>
        <v>2007</v>
      </c>
      <c r="I345" s="2" t="n">
        <v>74</v>
      </c>
      <c r="J345" s="0" t="n">
        <v>0.736</v>
      </c>
      <c r="K345" s="0" t="n">
        <v>0.74</v>
      </c>
      <c r="L345" s="3" t="str">
        <f aca="false">IF(K345&gt;0.66,"High",IF(K345&gt;0.33&amp;K345&lt;=0.66,"Medium","Low"))</f>
        <v>High</v>
      </c>
      <c r="M345" s="0" t="n">
        <v>-2.18</v>
      </c>
      <c r="N345" s="3" t="n">
        <v>0.0786</v>
      </c>
      <c r="O345" s="3" t="n">
        <v>0.515</v>
      </c>
      <c r="P345" s="4" t="n">
        <v>0</v>
      </c>
      <c r="Q345" s="3" t="n">
        <v>0.0468</v>
      </c>
      <c r="R345" s="3" t="n">
        <v>0.803</v>
      </c>
      <c r="S345" s="3" t="str">
        <f aca="false">IF(R345 &gt;= 0.5, "Positive", "Negative")</f>
        <v>Positive</v>
      </c>
      <c r="T345" s="2" t="n">
        <v>140.141</v>
      </c>
      <c r="U345" s="0" t="s">
        <v>24</v>
      </c>
    </row>
    <row r="346" customFormat="false" ht="14.25" hidden="false" customHeight="false" outlineLevel="0" collapsed="false">
      <c r="A346" s="0" t="n">
        <v>70</v>
      </c>
      <c r="B346" s="0" t="str">
        <f aca="false">_xlfn.xlookup(A346, artists!A$2:A$836, artists!B$2:B$836)</f>
        <v>Savage Garden</v>
      </c>
      <c r="C346" s="1" t="s">
        <v>392</v>
      </c>
      <c r="D346" s="2" t="n">
        <v>281466</v>
      </c>
      <c r="E346" s="2" t="n">
        <f aca="false">D346/1000</f>
        <v>281.466</v>
      </c>
      <c r="F346" s="10" t="b">
        <f aca="false">FALSE()</f>
        <v>0</v>
      </c>
      <c r="G346" s="0" t="n">
        <v>2</v>
      </c>
      <c r="H346" s="0" t="n">
        <f aca="false">_xlfn.xlookup(G346, years!A$2:A$836, years!B$2:B$836)</f>
        <v>1999</v>
      </c>
      <c r="I346" s="2" t="n">
        <v>54</v>
      </c>
      <c r="J346" s="0" t="n">
        <v>0.581</v>
      </c>
      <c r="K346" s="0" t="n">
        <v>0.607</v>
      </c>
      <c r="L346" s="3" t="str">
        <f aca="false">IF(K346&gt;0.66,"High",IF(K346&gt;0.33&amp;K346&lt;=0.66,"Medium","Low"))</f>
        <v>Low</v>
      </c>
      <c r="M346" s="0" t="n">
        <v>-8.458</v>
      </c>
      <c r="N346" s="3" t="n">
        <v>0.028</v>
      </c>
      <c r="O346" s="3" t="n">
        <v>0.189</v>
      </c>
      <c r="P346" s="4" t="n">
        <v>1.6E-006</v>
      </c>
      <c r="Q346" s="3" t="n">
        <v>0.0882</v>
      </c>
      <c r="R346" s="3" t="n">
        <v>0.213</v>
      </c>
      <c r="S346" s="3" t="str">
        <f aca="false">IF(R346 &gt;= 0.5, "Positive", "Negative")</f>
        <v>Negative</v>
      </c>
      <c r="T346" s="2" t="n">
        <v>102.03</v>
      </c>
      <c r="U346" s="0" t="s">
        <v>39</v>
      </c>
    </row>
    <row r="347" customFormat="false" ht="14.25" hidden="false" customHeight="false" outlineLevel="0" collapsed="false">
      <c r="A347" s="0" t="n">
        <v>141</v>
      </c>
      <c r="B347" s="0" t="str">
        <f aca="false">_xlfn.xlookup(A347, artists!A$2:A$836, artists!B$2:B$836)</f>
        <v>K-Ci &amp; JoJo</v>
      </c>
      <c r="C347" s="1" t="s">
        <v>393</v>
      </c>
      <c r="D347" s="2" t="n">
        <v>262773</v>
      </c>
      <c r="E347" s="2" t="n">
        <f aca="false">D347/1000</f>
        <v>262.773</v>
      </c>
      <c r="F347" s="10" t="b">
        <f aca="false">FALSE()</f>
        <v>0</v>
      </c>
      <c r="G347" s="0" t="n">
        <v>22</v>
      </c>
      <c r="H347" s="0" t="n">
        <f aca="false">_xlfn.xlookup(G347, years!A$2:A$836, years!B$2:B$836)</f>
        <v>2019</v>
      </c>
      <c r="I347" s="2" t="n">
        <v>30</v>
      </c>
      <c r="J347" s="0" t="n">
        <v>0.68</v>
      </c>
      <c r="K347" s="0" t="n">
        <v>0.644</v>
      </c>
      <c r="L347" s="3" t="str">
        <f aca="false">IF(K347&gt;0.66,"High",IF(K347&gt;0.33&amp;K347&lt;=0.66,"Medium","Low"))</f>
        <v>Low</v>
      </c>
      <c r="M347" s="0" t="n">
        <v>-4.507</v>
      </c>
      <c r="N347" s="3" t="n">
        <v>0.0258</v>
      </c>
      <c r="O347" s="3" t="n">
        <v>0.084</v>
      </c>
      <c r="P347" s="4" t="n">
        <v>0</v>
      </c>
      <c r="Q347" s="3" t="n">
        <v>0.549</v>
      </c>
      <c r="R347" s="3" t="n">
        <v>0.484</v>
      </c>
      <c r="S347" s="3" t="str">
        <f aca="false">IF(R347 &gt;= 0.5, "Positive", "Negative")</f>
        <v>Negative</v>
      </c>
      <c r="T347" s="2" t="n">
        <v>116.097</v>
      </c>
      <c r="U347" s="0" t="s">
        <v>33</v>
      </c>
    </row>
    <row r="348" customFormat="false" ht="14.25" hidden="false" customHeight="false" outlineLevel="0" collapsed="false">
      <c r="A348" s="0" t="n">
        <v>318</v>
      </c>
      <c r="B348" s="0" t="str">
        <f aca="false">_xlfn.xlookup(A348, artists!A$2:A$836, artists!B$2:B$836)</f>
        <v>Gnarls Barkley</v>
      </c>
      <c r="C348" s="1" t="s">
        <v>393</v>
      </c>
      <c r="D348" s="2" t="n">
        <v>177466</v>
      </c>
      <c r="E348" s="2" t="n">
        <f aca="false">D348/1000</f>
        <v>177.466</v>
      </c>
      <c r="F348" s="10" t="b">
        <f aca="false">FALSE()</f>
        <v>0</v>
      </c>
      <c r="G348" s="0" t="n">
        <v>9</v>
      </c>
      <c r="H348" s="0" t="n">
        <f aca="false">_xlfn.xlookup(G348, years!A$2:A$836, years!B$2:B$836)</f>
        <v>2006</v>
      </c>
      <c r="I348" s="2" t="n">
        <v>74</v>
      </c>
      <c r="J348" s="0" t="n">
        <v>0.855</v>
      </c>
      <c r="K348" s="0" t="n">
        <v>0.587</v>
      </c>
      <c r="L348" s="3" t="str">
        <f aca="false">IF(K348&gt;0.66,"High",IF(K348&gt;0.33&amp;K348&lt;=0.66,"Medium","Low"))</f>
        <v>Low</v>
      </c>
      <c r="M348" s="0" t="n">
        <v>-4.589</v>
      </c>
      <c r="N348" s="3" t="n">
        <v>0.0336</v>
      </c>
      <c r="O348" s="3" t="n">
        <v>0.0505</v>
      </c>
      <c r="P348" s="4" t="n">
        <v>0.00714</v>
      </c>
      <c r="Q348" s="3" t="n">
        <v>0.105</v>
      </c>
      <c r="R348" s="3" t="n">
        <v>0.64</v>
      </c>
      <c r="S348" s="3" t="str">
        <f aca="false">IF(R348 &gt;= 0.5, "Positive", "Negative")</f>
        <v>Positive</v>
      </c>
      <c r="T348" s="2" t="n">
        <v>111.97</v>
      </c>
      <c r="U348" s="0" t="s">
        <v>174</v>
      </c>
    </row>
    <row r="349" customFormat="false" ht="14.25" hidden="false" customHeight="false" outlineLevel="0" collapsed="false">
      <c r="A349" s="0" t="n">
        <v>681</v>
      </c>
      <c r="B349" s="0" t="str">
        <f aca="false">_xlfn.xlookup(A349, artists!A$2:A$836, artists!B$2:B$836)</f>
        <v>BØRNS</v>
      </c>
      <c r="C349" s="1" t="s">
        <v>394</v>
      </c>
      <c r="D349" s="2" t="n">
        <v>218173</v>
      </c>
      <c r="E349" s="2" t="n">
        <f aca="false">D349/1000</f>
        <v>218.173</v>
      </c>
      <c r="F349" s="10" t="b">
        <f aca="false">FALSE()</f>
        <v>0</v>
      </c>
      <c r="G349" s="0" t="n">
        <v>18</v>
      </c>
      <c r="H349" s="0" t="n">
        <f aca="false">_xlfn.xlookup(G349, years!A$2:A$836, years!B$2:B$836)</f>
        <v>2015</v>
      </c>
      <c r="I349" s="2" t="n">
        <v>0</v>
      </c>
      <c r="J349" s="0" t="n">
        <v>0.373</v>
      </c>
      <c r="K349" s="0" t="n">
        <v>0.858</v>
      </c>
      <c r="L349" s="3" t="str">
        <f aca="false">IF(K349&gt;0.66,"High",IF(K349&gt;0.33&amp;K349&lt;=0.66,"Medium","Low"))</f>
        <v>High</v>
      </c>
      <c r="M349" s="0" t="n">
        <v>-6.536</v>
      </c>
      <c r="N349" s="3" t="n">
        <v>0.0889</v>
      </c>
      <c r="O349" s="3" t="n">
        <v>0.00407</v>
      </c>
      <c r="P349" s="4" t="n">
        <v>0.0016</v>
      </c>
      <c r="Q349" s="3" t="n">
        <v>0.256</v>
      </c>
      <c r="R349" s="3" t="n">
        <v>0.605</v>
      </c>
      <c r="S349" s="3" t="str">
        <f aca="false">IF(R349 &gt;= 0.5, "Positive", "Negative")</f>
        <v>Positive</v>
      </c>
      <c r="T349" s="2" t="n">
        <v>120.063</v>
      </c>
      <c r="U349" s="0" t="s">
        <v>35</v>
      </c>
    </row>
    <row r="350" customFormat="false" ht="14.25" hidden="false" customHeight="false" outlineLevel="0" collapsed="false">
      <c r="A350" s="0" t="n">
        <v>90</v>
      </c>
      <c r="B350" s="0" t="str">
        <f aca="false">_xlfn.xlookup(A350, artists!A$2:A$836, artists!B$2:B$836)</f>
        <v>Faithless</v>
      </c>
      <c r="C350" s="1" t="s">
        <v>395</v>
      </c>
      <c r="D350" s="2" t="n">
        <v>222435</v>
      </c>
      <c r="E350" s="2" t="n">
        <f aca="false">D350/1000</f>
        <v>222.435</v>
      </c>
      <c r="F350" s="10" t="b">
        <f aca="false">FALSE()</f>
        <v>0</v>
      </c>
      <c r="G350" s="0" t="n">
        <v>18</v>
      </c>
      <c r="H350" s="0" t="n">
        <f aca="false">_xlfn.xlookup(G350, years!A$2:A$836, years!B$2:B$836)</f>
        <v>2015</v>
      </c>
      <c r="I350" s="2" t="n">
        <v>53</v>
      </c>
      <c r="J350" s="0" t="n">
        <v>0.645</v>
      </c>
      <c r="K350" s="0" t="n">
        <v>0.903</v>
      </c>
      <c r="L350" s="3" t="str">
        <f aca="false">IF(K350&gt;0.66,"High",IF(K350&gt;0.33&amp;K350&lt;=0.66,"Medium","Low"))</f>
        <v>High</v>
      </c>
      <c r="M350" s="0" t="n">
        <v>-10.587</v>
      </c>
      <c r="N350" s="3" t="n">
        <v>0.0441</v>
      </c>
      <c r="O350" s="3" t="n">
        <v>0.00188</v>
      </c>
      <c r="P350" s="4" t="n">
        <v>0.799</v>
      </c>
      <c r="Q350" s="3" t="n">
        <v>0.147</v>
      </c>
      <c r="R350" s="3" t="n">
        <v>0.61</v>
      </c>
      <c r="S350" s="3" t="str">
        <f aca="false">IF(R350 &gt;= 0.5, "Positive", "Negative")</f>
        <v>Positive</v>
      </c>
      <c r="T350" s="2" t="n">
        <v>135.977</v>
      </c>
      <c r="U350" s="0" t="s">
        <v>22</v>
      </c>
    </row>
    <row r="351" customFormat="false" ht="14.25" hidden="false" customHeight="false" outlineLevel="0" collapsed="false">
      <c r="A351" s="0" t="n">
        <v>628</v>
      </c>
      <c r="B351" s="0" t="str">
        <f aca="false">_xlfn.xlookup(A351, artists!A$2:A$836, artists!B$2:B$836)</f>
        <v>Ed Sheeran</v>
      </c>
      <c r="C351" s="1" t="s">
        <v>396</v>
      </c>
      <c r="D351" s="2" t="n">
        <v>206186</v>
      </c>
      <c r="E351" s="2" t="n">
        <f aca="false">D351/1000</f>
        <v>206.186</v>
      </c>
      <c r="F351" s="10" t="b">
        <f aca="false">TRUE()</f>
        <v>1</v>
      </c>
      <c r="G351" s="0" t="n">
        <v>22</v>
      </c>
      <c r="H351" s="0" t="n">
        <f aca="false">_xlfn.xlookup(G351, years!A$2:A$836, years!B$2:B$836)</f>
        <v>2019</v>
      </c>
      <c r="I351" s="2" t="n">
        <v>64</v>
      </c>
      <c r="J351" s="0" t="n">
        <v>0.746</v>
      </c>
      <c r="K351" s="0" t="n">
        <v>0.787</v>
      </c>
      <c r="L351" s="3" t="str">
        <f aca="false">IF(K351&gt;0.66,"High",IF(K351&gt;0.33&amp;K351&lt;=0.66,"Medium","Low"))</f>
        <v>High</v>
      </c>
      <c r="M351" s="0" t="n">
        <v>-6.373</v>
      </c>
      <c r="N351" s="3" t="n">
        <v>0.12</v>
      </c>
      <c r="O351" s="3" t="n">
        <v>0.214</v>
      </c>
      <c r="P351" s="4" t="n">
        <v>0</v>
      </c>
      <c r="Q351" s="3" t="n">
        <v>0.0669</v>
      </c>
      <c r="R351" s="3" t="n">
        <v>0.607</v>
      </c>
      <c r="S351" s="3" t="str">
        <f aca="false">IF(R351 &gt;= 0.5, "Positive", "Negative")</f>
        <v>Positive</v>
      </c>
      <c r="T351" s="2" t="n">
        <v>95.005</v>
      </c>
      <c r="U351" s="0" t="s">
        <v>39</v>
      </c>
    </row>
    <row r="352" customFormat="false" ht="14.25" hidden="false" customHeight="false" outlineLevel="0" collapsed="false">
      <c r="A352" s="0" t="n">
        <v>188</v>
      </c>
      <c r="B352" s="0" t="str">
        <f aca="false">_xlfn.xlookup(A352, artists!A$2:A$836, artists!B$2:B$836)</f>
        <v>Blazin' Squad</v>
      </c>
      <c r="C352" s="1" t="s">
        <v>397</v>
      </c>
      <c r="D352" s="2" t="n">
        <v>188693</v>
      </c>
      <c r="E352" s="2" t="n">
        <f aca="false">D352/1000</f>
        <v>188.693</v>
      </c>
      <c r="F352" s="10" t="b">
        <f aca="false">FALSE()</f>
        <v>0</v>
      </c>
      <c r="G352" s="0" t="n">
        <v>15</v>
      </c>
      <c r="H352" s="0" t="n">
        <f aca="false">_xlfn.xlookup(G352, years!A$2:A$836, years!B$2:B$836)</f>
        <v>2012</v>
      </c>
      <c r="I352" s="2" t="n">
        <v>40</v>
      </c>
      <c r="J352" s="0" t="n">
        <v>0.661</v>
      </c>
      <c r="K352" s="0" t="n">
        <v>0.746</v>
      </c>
      <c r="L352" s="3" t="str">
        <f aca="false">IF(K352&gt;0.66,"High",IF(K352&gt;0.33&amp;K352&lt;=0.66,"Medium","Low"))</f>
        <v>High</v>
      </c>
      <c r="M352" s="0" t="n">
        <v>-5.153</v>
      </c>
      <c r="N352" s="3" t="n">
        <v>0.042</v>
      </c>
      <c r="O352" s="3" t="n">
        <v>0.109</v>
      </c>
      <c r="P352" s="4" t="n">
        <v>0</v>
      </c>
      <c r="Q352" s="3" t="n">
        <v>0.325</v>
      </c>
      <c r="R352" s="3" t="n">
        <v>0.502</v>
      </c>
      <c r="S352" s="3" t="str">
        <f aca="false">IF(R352 &gt;= 0.5, "Positive", "Negative")</f>
        <v>Positive</v>
      </c>
      <c r="T352" s="2" t="n">
        <v>144.188</v>
      </c>
      <c r="U352" s="0" t="s">
        <v>118</v>
      </c>
    </row>
    <row r="353" customFormat="false" ht="14.25" hidden="false" customHeight="false" outlineLevel="0" collapsed="false">
      <c r="A353" s="0" t="n">
        <v>439</v>
      </c>
      <c r="B353" s="0" t="str">
        <f aca="false">_xlfn.xlookup(A353, artists!A$2:A$836, artists!B$2:B$836)</f>
        <v>Taylor Swift</v>
      </c>
      <c r="C353" s="1" t="s">
        <v>398</v>
      </c>
      <c r="D353" s="2" t="n">
        <v>178426</v>
      </c>
      <c r="E353" s="2" t="n">
        <f aca="false">D353/1000</f>
        <v>178.426</v>
      </c>
      <c r="F353" s="10" t="b">
        <f aca="false">FALSE()</f>
        <v>0</v>
      </c>
      <c r="G353" s="0" t="n">
        <v>22</v>
      </c>
      <c r="H353" s="0" t="n">
        <f aca="false">_xlfn.xlookup(G353, years!A$2:A$836, years!B$2:B$836)</f>
        <v>2019</v>
      </c>
      <c r="I353" s="2" t="n">
        <v>78</v>
      </c>
      <c r="J353" s="0" t="n">
        <v>0.552</v>
      </c>
      <c r="K353" s="0" t="n">
        <v>0.702</v>
      </c>
      <c r="L353" s="3" t="str">
        <f aca="false">IF(K353&gt;0.66,"High",IF(K353&gt;0.33&amp;K353&lt;=0.66,"Medium","Low"))</f>
        <v>High</v>
      </c>
      <c r="M353" s="0" t="n">
        <v>-5.707</v>
      </c>
      <c r="N353" s="3" t="n">
        <v>0.157</v>
      </c>
      <c r="O353" s="3" t="n">
        <v>0.117</v>
      </c>
      <c r="P353" s="4" t="n">
        <v>2.06E-005</v>
      </c>
      <c r="Q353" s="3" t="n">
        <v>0.105</v>
      </c>
      <c r="R353" s="3" t="n">
        <v>0.564</v>
      </c>
      <c r="S353" s="3" t="str">
        <f aca="false">IF(R353 &gt;= 0.5, "Positive", "Negative")</f>
        <v>Positive</v>
      </c>
      <c r="T353" s="2" t="n">
        <v>169.994</v>
      </c>
      <c r="U353" s="0" t="s">
        <v>39</v>
      </c>
    </row>
    <row r="354" customFormat="false" ht="14.25" hidden="false" customHeight="false" outlineLevel="0" collapsed="false">
      <c r="A354" s="0" t="n">
        <v>601</v>
      </c>
      <c r="B354" s="0" t="str">
        <f aca="false">_xlfn.xlookup(A354, artists!A$2:A$836, artists!B$2:B$836)</f>
        <v>Florida Georgia Line</v>
      </c>
      <c r="C354" s="1" t="s">
        <v>399</v>
      </c>
      <c r="D354" s="2" t="n">
        <v>208960</v>
      </c>
      <c r="E354" s="2" t="n">
        <f aca="false">D354/1000</f>
        <v>208.96</v>
      </c>
      <c r="F354" s="10" t="b">
        <f aca="false">FALSE()</f>
        <v>0</v>
      </c>
      <c r="G354" s="0" t="n">
        <v>15</v>
      </c>
      <c r="H354" s="0" t="n">
        <f aca="false">_xlfn.xlookup(G354, years!A$2:A$836, years!B$2:B$836)</f>
        <v>2012</v>
      </c>
      <c r="I354" s="2" t="n">
        <v>57</v>
      </c>
      <c r="J354" s="0" t="n">
        <v>0.457</v>
      </c>
      <c r="K354" s="0" t="n">
        <v>0.948</v>
      </c>
      <c r="L354" s="3" t="str">
        <f aca="false">IF(K354&gt;0.66,"High",IF(K354&gt;0.33&amp;K354&lt;=0.66,"Medium","Low"))</f>
        <v>High</v>
      </c>
      <c r="M354" s="0" t="n">
        <v>-3.364</v>
      </c>
      <c r="N354" s="3" t="n">
        <v>0.0354</v>
      </c>
      <c r="O354" s="3" t="n">
        <v>0.0191</v>
      </c>
      <c r="P354" s="4" t="n">
        <v>0</v>
      </c>
      <c r="Q354" s="3" t="n">
        <v>0.0536</v>
      </c>
      <c r="R354" s="3" t="n">
        <v>0.878</v>
      </c>
      <c r="S354" s="3" t="str">
        <f aca="false">IF(R354 &gt;= 0.5, "Positive", "Negative")</f>
        <v>Positive</v>
      </c>
      <c r="T354" s="2" t="n">
        <v>148</v>
      </c>
      <c r="U354" s="0" t="s">
        <v>150</v>
      </c>
    </row>
    <row r="355" customFormat="false" ht="14.25" hidden="false" customHeight="false" outlineLevel="0" collapsed="false">
      <c r="A355" s="0" t="n">
        <v>430</v>
      </c>
      <c r="B355" s="0" t="str">
        <f aca="false">_xlfn.xlookup(A355, artists!A$2:A$836, artists!B$2:B$836)</f>
        <v>David Archuleta</v>
      </c>
      <c r="C355" s="1" t="s">
        <v>400</v>
      </c>
      <c r="D355" s="2" t="n">
        <v>213520</v>
      </c>
      <c r="E355" s="2" t="n">
        <f aca="false">D355/1000</f>
        <v>213.52</v>
      </c>
      <c r="F355" s="10" t="b">
        <f aca="false">FALSE()</f>
        <v>0</v>
      </c>
      <c r="G355" s="0" t="n">
        <v>11</v>
      </c>
      <c r="H355" s="0" t="n">
        <f aca="false">_xlfn.xlookup(G355, years!A$2:A$836, years!B$2:B$836)</f>
        <v>2008</v>
      </c>
      <c r="I355" s="2" t="n">
        <v>67</v>
      </c>
      <c r="J355" s="0" t="n">
        <v>0.57</v>
      </c>
      <c r="K355" s="0" t="n">
        <v>0.664</v>
      </c>
      <c r="L355" s="3" t="str">
        <f aca="false">IF(K355&gt;0.66,"High",IF(K355&gt;0.33&amp;K355&lt;=0.66,"Medium","Low"))</f>
        <v>High</v>
      </c>
      <c r="M355" s="0" t="n">
        <v>-4.718</v>
      </c>
      <c r="N355" s="3" t="n">
        <v>0.0322</v>
      </c>
      <c r="O355" s="3" t="n">
        <v>0.00836</v>
      </c>
      <c r="P355" s="4" t="n">
        <v>1.2E-005</v>
      </c>
      <c r="Q355" s="3" t="n">
        <v>0.0719</v>
      </c>
      <c r="R355" s="3" t="n">
        <v>0.487</v>
      </c>
      <c r="S355" s="3" t="str">
        <f aca="false">IF(R355 &gt;= 0.5, "Positive", "Negative")</f>
        <v>Negative</v>
      </c>
      <c r="T355" s="2" t="n">
        <v>162.084</v>
      </c>
      <c r="U355" s="0" t="s">
        <v>39</v>
      </c>
    </row>
    <row r="356" customFormat="false" ht="14.25" hidden="false" customHeight="false" outlineLevel="0" collapsed="false">
      <c r="A356" s="0" t="n">
        <v>364</v>
      </c>
      <c r="B356" s="0" t="str">
        <f aca="false">_xlfn.xlookup(A356, artists!A$2:A$836, artists!B$2:B$836)</f>
        <v>September</v>
      </c>
      <c r="C356" s="1" t="s">
        <v>401</v>
      </c>
      <c r="D356" s="2" t="n">
        <v>209800</v>
      </c>
      <c r="E356" s="2" t="n">
        <f aca="false">D356/1000</f>
        <v>209.8</v>
      </c>
      <c r="F356" s="10" t="b">
        <f aca="false">FALSE()</f>
        <v>0</v>
      </c>
      <c r="G356" s="0" t="n">
        <v>10</v>
      </c>
      <c r="H356" s="0" t="n">
        <f aca="false">_xlfn.xlookup(G356, years!A$2:A$836, years!B$2:B$836)</f>
        <v>2007</v>
      </c>
      <c r="I356" s="2" t="n">
        <v>65</v>
      </c>
      <c r="J356" s="0" t="n">
        <v>0.767</v>
      </c>
      <c r="K356" s="0" t="n">
        <v>0.881</v>
      </c>
      <c r="L356" s="3" t="str">
        <f aca="false">IF(K356&gt;0.66,"High",IF(K356&gt;0.33&amp;K356&lt;=0.66,"Medium","Low"))</f>
        <v>High</v>
      </c>
      <c r="M356" s="0" t="n">
        <v>-3.988</v>
      </c>
      <c r="N356" s="3" t="n">
        <v>0.0301</v>
      </c>
      <c r="O356" s="3" t="n">
        <v>0.00133</v>
      </c>
      <c r="P356" s="4" t="n">
        <v>0.000139</v>
      </c>
      <c r="Q356" s="3" t="n">
        <v>0.0551</v>
      </c>
      <c r="R356" s="3" t="n">
        <v>0.961</v>
      </c>
      <c r="S356" s="3" t="str">
        <f aca="false">IF(R356 &gt;= 0.5, "Positive", "Negative")</f>
        <v>Positive</v>
      </c>
      <c r="T356" s="2" t="n">
        <v>130.018</v>
      </c>
      <c r="U356" s="0" t="s">
        <v>22</v>
      </c>
    </row>
    <row r="357" customFormat="false" ht="14.25" hidden="false" customHeight="false" outlineLevel="0" collapsed="false">
      <c r="A357" s="0" t="n">
        <v>176</v>
      </c>
      <c r="B357" s="0" t="str">
        <f aca="false">_xlfn.xlookup(A357, artists!A$2:A$836, artists!B$2:B$836)</f>
        <v>Justin Timberlake</v>
      </c>
      <c r="C357" s="1" t="s">
        <v>402</v>
      </c>
      <c r="D357" s="2" t="n">
        <v>288333</v>
      </c>
      <c r="E357" s="2" t="n">
        <f aca="false">D357/1000</f>
        <v>288.333</v>
      </c>
      <c r="F357" s="10" t="b">
        <f aca="false">FALSE()</f>
        <v>0</v>
      </c>
      <c r="G357" s="0" t="n">
        <v>5</v>
      </c>
      <c r="H357" s="0" t="n">
        <f aca="false">_xlfn.xlookup(G357, years!A$2:A$836, years!B$2:B$836)</f>
        <v>2002</v>
      </c>
      <c r="I357" s="2" t="n">
        <v>73</v>
      </c>
      <c r="J357" s="0" t="n">
        <v>0.624</v>
      </c>
      <c r="K357" s="0" t="n">
        <v>0.654</v>
      </c>
      <c r="L357" s="3" t="str">
        <f aca="false">IF(K357&gt;0.66,"High",IF(K357&gt;0.33&amp;K357&lt;=0.66,"Medium","Low"))</f>
        <v>Low</v>
      </c>
      <c r="M357" s="0" t="n">
        <v>-6.582</v>
      </c>
      <c r="N357" s="3" t="n">
        <v>0.183</v>
      </c>
      <c r="O357" s="3" t="n">
        <v>0.577</v>
      </c>
      <c r="P357" s="4" t="n">
        <v>0</v>
      </c>
      <c r="Q357" s="3" t="n">
        <v>0.104</v>
      </c>
      <c r="R357" s="3" t="n">
        <v>0.564</v>
      </c>
      <c r="S357" s="3" t="str">
        <f aca="false">IF(R357 &gt;= 0.5, "Positive", "Negative")</f>
        <v>Positive</v>
      </c>
      <c r="T357" s="2" t="n">
        <v>73.898</v>
      </c>
      <c r="U357" s="0" t="s">
        <v>39</v>
      </c>
    </row>
    <row r="358" customFormat="false" ht="14.25" hidden="false" customHeight="false" outlineLevel="0" collapsed="false">
      <c r="A358" s="0" t="n">
        <v>365</v>
      </c>
      <c r="B358" s="0" t="str">
        <f aca="false">_xlfn.xlookup(A358, artists!A$2:A$836, artists!B$2:B$836)</f>
        <v>Gym Class Heroes</v>
      </c>
      <c r="C358" s="1" t="s">
        <v>403</v>
      </c>
      <c r="D358" s="2" t="n">
        <v>237173</v>
      </c>
      <c r="E358" s="2" t="n">
        <f aca="false">D358/1000</f>
        <v>237.173</v>
      </c>
      <c r="F358" s="10" t="b">
        <f aca="false">FALSE()</f>
        <v>0</v>
      </c>
      <c r="G358" s="0" t="n">
        <v>10</v>
      </c>
      <c r="H358" s="0" t="n">
        <f aca="false">_xlfn.xlookup(G358, years!A$2:A$836, years!B$2:B$836)</f>
        <v>2007</v>
      </c>
      <c r="I358" s="2" t="n">
        <v>59</v>
      </c>
      <c r="J358" s="0" t="n">
        <v>0.584</v>
      </c>
      <c r="K358" s="0" t="n">
        <v>0.681</v>
      </c>
      <c r="L358" s="3" t="str">
        <f aca="false">IF(K358&gt;0.66,"High",IF(K358&gt;0.33&amp;K358&lt;=0.66,"Medium","Low"))</f>
        <v>High</v>
      </c>
      <c r="M358" s="0" t="n">
        <v>-5.084</v>
      </c>
      <c r="N358" s="3" t="n">
        <v>0.0781</v>
      </c>
      <c r="O358" s="3" t="n">
        <v>0.495</v>
      </c>
      <c r="P358" s="4" t="n">
        <v>0</v>
      </c>
      <c r="Q358" s="3" t="n">
        <v>0.289</v>
      </c>
      <c r="R358" s="3" t="n">
        <v>0.821</v>
      </c>
      <c r="S358" s="3" t="str">
        <f aca="false">IF(R358 &gt;= 0.5, "Positive", "Negative")</f>
        <v>Positive</v>
      </c>
      <c r="T358" s="2" t="n">
        <v>79.702</v>
      </c>
      <c r="U358" s="0" t="s">
        <v>24</v>
      </c>
    </row>
    <row r="359" customFormat="false" ht="14.25" hidden="false" customHeight="false" outlineLevel="0" collapsed="false">
      <c r="A359" s="0" t="n">
        <v>579</v>
      </c>
      <c r="B359" s="0" t="str">
        <f aca="false">_xlfn.xlookup(A359, artists!A$2:A$836, artists!B$2:B$836)</f>
        <v>The Neighbourhood</v>
      </c>
      <c r="C359" s="1" t="s">
        <v>404</v>
      </c>
      <c r="D359" s="2" t="n">
        <v>260173</v>
      </c>
      <c r="E359" s="2" t="n">
        <f aca="false">D359/1000</f>
        <v>260.173</v>
      </c>
      <c r="F359" s="10" t="b">
        <f aca="false">FALSE()</f>
        <v>0</v>
      </c>
      <c r="G359" s="0" t="n">
        <v>18</v>
      </c>
      <c r="H359" s="0" t="n">
        <f aca="false">_xlfn.xlookup(G359, years!A$2:A$836, years!B$2:B$836)</f>
        <v>2015</v>
      </c>
      <c r="I359" s="2" t="n">
        <v>85</v>
      </c>
      <c r="J359" s="0" t="n">
        <v>0.588</v>
      </c>
      <c r="K359" s="0" t="n">
        <v>0.521</v>
      </c>
      <c r="L359" s="3" t="str">
        <f aca="false">IF(K359&gt;0.66,"High",IF(K359&gt;0.33&amp;K359&lt;=0.66,"Medium","Low"))</f>
        <v>Low</v>
      </c>
      <c r="M359" s="0" t="n">
        <v>-9.461</v>
      </c>
      <c r="N359" s="3" t="n">
        <v>0.0329</v>
      </c>
      <c r="O359" s="3" t="n">
        <v>0.0678</v>
      </c>
      <c r="P359" s="4" t="n">
        <v>0.149</v>
      </c>
      <c r="Q359" s="3" t="n">
        <v>0.123</v>
      </c>
      <c r="R359" s="3" t="n">
        <v>0.337</v>
      </c>
      <c r="S359" s="3" t="str">
        <f aca="false">IF(R359 &gt;= 0.5, "Positive", "Negative")</f>
        <v>Negative</v>
      </c>
      <c r="T359" s="2" t="n">
        <v>85.012</v>
      </c>
      <c r="U359" s="0" t="s">
        <v>35</v>
      </c>
    </row>
    <row r="360" customFormat="false" ht="14.25" hidden="false" customHeight="false" outlineLevel="0" collapsed="false">
      <c r="A360" s="0" t="n">
        <v>312</v>
      </c>
      <c r="B360" s="0" t="str">
        <f aca="false">_xlfn.xlookup(A360, artists!A$2:A$836, artists!B$2:B$836)</f>
        <v>Stereophonics</v>
      </c>
      <c r="C360" s="1" t="s">
        <v>405</v>
      </c>
      <c r="D360" s="2" t="n">
        <v>297426</v>
      </c>
      <c r="E360" s="2" t="n">
        <f aca="false">D360/1000</f>
        <v>297.426</v>
      </c>
      <c r="F360" s="10" t="b">
        <f aca="false">FALSE()</f>
        <v>0</v>
      </c>
      <c r="G360" s="0" t="n">
        <v>8</v>
      </c>
      <c r="H360" s="0" t="n">
        <f aca="false">_xlfn.xlookup(G360, years!A$2:A$836, years!B$2:B$836)</f>
        <v>2005</v>
      </c>
      <c r="I360" s="2" t="n">
        <v>69</v>
      </c>
      <c r="J360" s="0" t="n">
        <v>0.506</v>
      </c>
      <c r="K360" s="0" t="n">
        <v>0.93</v>
      </c>
      <c r="L360" s="3" t="str">
        <f aca="false">IF(K360&gt;0.66,"High",IF(K360&gt;0.33&amp;K360&lt;=0.66,"Medium","Low"))</f>
        <v>High</v>
      </c>
      <c r="M360" s="0" t="n">
        <v>-3.499</v>
      </c>
      <c r="N360" s="3" t="n">
        <v>0.0675</v>
      </c>
      <c r="O360" s="3" t="n">
        <v>0.129</v>
      </c>
      <c r="P360" s="4" t="n">
        <v>0.00682</v>
      </c>
      <c r="Q360" s="3" t="n">
        <v>0.0931</v>
      </c>
      <c r="R360" s="3" t="n">
        <v>0.305</v>
      </c>
      <c r="S360" s="3" t="str">
        <f aca="false">IF(R360 &gt;= 0.5, "Positive", "Negative")</f>
        <v>Negative</v>
      </c>
      <c r="T360" s="2" t="n">
        <v>146.994</v>
      </c>
      <c r="U360" s="0" t="s">
        <v>35</v>
      </c>
    </row>
    <row r="361" customFormat="false" ht="14.25" hidden="false" customHeight="false" outlineLevel="0" collapsed="false">
      <c r="A361" s="0" t="n">
        <v>415</v>
      </c>
      <c r="B361" s="0" t="str">
        <f aca="false">_xlfn.xlookup(A361, artists!A$2:A$836, artists!B$2:B$836)</f>
        <v>Danity Kane</v>
      </c>
      <c r="C361" s="1" t="s">
        <v>406</v>
      </c>
      <c r="D361" s="2" t="n">
        <v>244266</v>
      </c>
      <c r="E361" s="2" t="n">
        <f aca="false">D361/1000</f>
        <v>244.266</v>
      </c>
      <c r="F361" s="10" t="b">
        <f aca="false">FALSE()</f>
        <v>0</v>
      </c>
      <c r="G361" s="0" t="n">
        <v>11</v>
      </c>
      <c r="H361" s="0" t="n">
        <f aca="false">_xlfn.xlookup(G361, years!A$2:A$836, years!B$2:B$836)</f>
        <v>2008</v>
      </c>
      <c r="I361" s="2" t="n">
        <v>57</v>
      </c>
      <c r="J361" s="0" t="n">
        <v>0.774</v>
      </c>
      <c r="K361" s="0" t="n">
        <v>0.653</v>
      </c>
      <c r="L361" s="3" t="str">
        <f aca="false">IF(K361&gt;0.66,"High",IF(K361&gt;0.33&amp;K361&lt;=0.66,"Medium","Low"))</f>
        <v>Low</v>
      </c>
      <c r="M361" s="0" t="n">
        <v>-5.158</v>
      </c>
      <c r="N361" s="3" t="n">
        <v>0.05</v>
      </c>
      <c r="O361" s="3" t="n">
        <v>0.0912</v>
      </c>
      <c r="P361" s="4" t="n">
        <v>0</v>
      </c>
      <c r="Q361" s="3" t="n">
        <v>0.151</v>
      </c>
      <c r="R361" s="3" t="n">
        <v>0.818</v>
      </c>
      <c r="S361" s="3" t="str">
        <f aca="false">IF(R361 &gt;= 0.5, "Positive", "Negative")</f>
        <v>Positive</v>
      </c>
      <c r="T361" s="2" t="n">
        <v>120.01</v>
      </c>
      <c r="U361" s="0" t="s">
        <v>33</v>
      </c>
    </row>
    <row r="362" customFormat="false" ht="14.25" hidden="false" customHeight="false" outlineLevel="0" collapsed="false">
      <c r="A362" s="0" t="n">
        <v>204</v>
      </c>
      <c r="B362" s="0" t="str">
        <f aca="false">_xlfn.xlookup(A362, artists!A$2:A$836, artists!B$2:B$836)</f>
        <v>Youngbloodz</v>
      </c>
      <c r="C362" s="1" t="s">
        <v>407</v>
      </c>
      <c r="D362" s="2" t="n">
        <v>298600</v>
      </c>
      <c r="E362" s="2" t="n">
        <f aca="false">D362/1000</f>
        <v>298.6</v>
      </c>
      <c r="F362" s="10" t="b">
        <f aca="false">TRUE()</f>
        <v>1</v>
      </c>
      <c r="G362" s="0" t="n">
        <v>6</v>
      </c>
      <c r="H362" s="0" t="n">
        <f aca="false">_xlfn.xlookup(G362, years!A$2:A$836, years!B$2:B$836)</f>
        <v>2003</v>
      </c>
      <c r="I362" s="2" t="n">
        <v>54</v>
      </c>
      <c r="J362" s="0" t="n">
        <v>0.772</v>
      </c>
      <c r="K362" s="0" t="n">
        <v>0.724</v>
      </c>
      <c r="L362" s="3" t="str">
        <f aca="false">IF(K362&gt;0.66,"High",IF(K362&gt;0.33&amp;K362&lt;=0.66,"Medium","Low"))</f>
        <v>High</v>
      </c>
      <c r="M362" s="0" t="n">
        <v>-5.799</v>
      </c>
      <c r="N362" s="3" t="n">
        <v>0.307</v>
      </c>
      <c r="O362" s="3" t="n">
        <v>0.0149</v>
      </c>
      <c r="P362" s="4" t="n">
        <v>0</v>
      </c>
      <c r="Q362" s="3" t="n">
        <v>0.355</v>
      </c>
      <c r="R362" s="3" t="n">
        <v>0.518</v>
      </c>
      <c r="S362" s="3" t="str">
        <f aca="false">IF(R362 &gt;= 0.5, "Positive", "Negative")</f>
        <v>Positive</v>
      </c>
      <c r="T362" s="2" t="n">
        <v>84.038</v>
      </c>
      <c r="U362" s="0" t="s">
        <v>24</v>
      </c>
    </row>
    <row r="363" customFormat="false" ht="14.25" hidden="false" customHeight="false" outlineLevel="0" collapsed="false">
      <c r="A363" s="0" t="n">
        <v>100</v>
      </c>
      <c r="B363" s="0" t="str">
        <f aca="false">_xlfn.xlookup(A363, artists!A$2:A$836, artists!B$2:B$836)</f>
        <v>Jennifer Lopez</v>
      </c>
      <c r="C363" s="1" t="s">
        <v>408</v>
      </c>
      <c r="D363" s="2" t="n">
        <v>237266</v>
      </c>
      <c r="E363" s="2" t="n">
        <f aca="false">D363/1000</f>
        <v>237.266</v>
      </c>
      <c r="F363" s="10" t="b">
        <f aca="false">FALSE()</f>
        <v>0</v>
      </c>
      <c r="G363" s="0" t="n">
        <v>15</v>
      </c>
      <c r="H363" s="0" t="n">
        <f aca="false">_xlfn.xlookup(G363, years!A$2:A$836, years!B$2:B$836)</f>
        <v>2012</v>
      </c>
      <c r="I363" s="2" t="n">
        <v>0</v>
      </c>
      <c r="J363" s="0" t="n">
        <v>0.797</v>
      </c>
      <c r="K363" s="0" t="n">
        <v>0.867</v>
      </c>
      <c r="L363" s="3" t="str">
        <f aca="false">IF(K363&gt;0.66,"High",IF(K363&gt;0.33&amp;K363&lt;=0.66,"Medium","Low"))</f>
        <v>High</v>
      </c>
      <c r="M363" s="0" t="n">
        <v>-5.242</v>
      </c>
      <c r="N363" s="3" t="n">
        <v>0.0696</v>
      </c>
      <c r="O363" s="3" t="n">
        <v>0.0158</v>
      </c>
      <c r="P363" s="4" t="n">
        <v>2.79E-006</v>
      </c>
      <c r="Q363" s="3" t="n">
        <v>0.0868</v>
      </c>
      <c r="R363" s="3" t="n">
        <v>0.716</v>
      </c>
      <c r="S363" s="3" t="str">
        <f aca="false">IF(R363 &gt;= 0.5, "Positive", "Negative")</f>
        <v>Positive</v>
      </c>
      <c r="T363" s="2" t="n">
        <v>127.974</v>
      </c>
      <c r="U363" s="0" t="s">
        <v>31</v>
      </c>
    </row>
    <row r="364" customFormat="false" ht="14.25" hidden="false" customHeight="false" outlineLevel="0" collapsed="false">
      <c r="A364" s="0" t="n">
        <v>818</v>
      </c>
      <c r="B364" s="0" t="str">
        <f aca="false">_xlfn.xlookup(A364, artists!A$2:A$836, artists!B$2:B$836)</f>
        <v>Tones And I</v>
      </c>
      <c r="C364" s="1" t="s">
        <v>409</v>
      </c>
      <c r="D364" s="2" t="n">
        <v>209438</v>
      </c>
      <c r="E364" s="2" t="n">
        <f aca="false">D364/1000</f>
        <v>209.438</v>
      </c>
      <c r="F364" s="10" t="b">
        <f aca="false">FALSE()</f>
        <v>0</v>
      </c>
      <c r="G364" s="0" t="n">
        <v>22</v>
      </c>
      <c r="H364" s="0" t="n">
        <f aca="false">_xlfn.xlookup(G364, years!A$2:A$836, years!B$2:B$836)</f>
        <v>2019</v>
      </c>
      <c r="I364" s="2" t="n">
        <v>78</v>
      </c>
      <c r="J364" s="0" t="n">
        <v>0.824</v>
      </c>
      <c r="K364" s="0" t="n">
        <v>0.588</v>
      </c>
      <c r="L364" s="3" t="str">
        <f aca="false">IF(K364&gt;0.66,"High",IF(K364&gt;0.33&amp;K364&lt;=0.66,"Medium","Low"))</f>
        <v>Low</v>
      </c>
      <c r="M364" s="0" t="n">
        <v>-6.4</v>
      </c>
      <c r="N364" s="3" t="n">
        <v>0.0924</v>
      </c>
      <c r="O364" s="3" t="n">
        <v>0.692</v>
      </c>
      <c r="P364" s="4" t="n">
        <v>0.000104</v>
      </c>
      <c r="Q364" s="3" t="n">
        <v>0.149</v>
      </c>
      <c r="R364" s="3" t="n">
        <v>0.513</v>
      </c>
      <c r="S364" s="3" t="str">
        <f aca="false">IF(R364 &gt;= 0.5, "Positive", "Negative")</f>
        <v>Positive</v>
      </c>
      <c r="T364" s="2" t="n">
        <v>98.027</v>
      </c>
      <c r="U364" s="0" t="s">
        <v>39</v>
      </c>
    </row>
    <row r="365" customFormat="false" ht="14.25" hidden="false" customHeight="false" outlineLevel="0" collapsed="false">
      <c r="A365" s="0" t="n">
        <v>30</v>
      </c>
      <c r="B365" s="0" t="str">
        <f aca="false">_xlfn.xlookup(A365, artists!A$2:A$836, artists!B$2:B$836)</f>
        <v>Debelah Morgan</v>
      </c>
      <c r="C365" s="1" t="s">
        <v>410</v>
      </c>
      <c r="D365" s="2" t="n">
        <v>220106</v>
      </c>
      <c r="E365" s="2" t="n">
        <f aca="false">D365/1000</f>
        <v>220.106</v>
      </c>
      <c r="F365" s="10" t="b">
        <f aca="false">FALSE()</f>
        <v>0</v>
      </c>
      <c r="G365" s="0" t="n">
        <v>3</v>
      </c>
      <c r="H365" s="0" t="n">
        <f aca="false">_xlfn.xlookup(G365, years!A$2:A$836, years!B$2:B$836)</f>
        <v>2000</v>
      </c>
      <c r="I365" s="2" t="n">
        <v>49</v>
      </c>
      <c r="J365" s="0" t="n">
        <v>0.85</v>
      </c>
      <c r="K365" s="0" t="n">
        <v>0.674</v>
      </c>
      <c r="L365" s="3" t="str">
        <f aca="false">IF(K365&gt;0.66,"High",IF(K365&gt;0.33&amp;K365&lt;=0.66,"Medium","Low"))</f>
        <v>High</v>
      </c>
      <c r="M365" s="0" t="n">
        <v>-7.981</v>
      </c>
      <c r="N365" s="3" t="n">
        <v>0.0373</v>
      </c>
      <c r="O365" s="3" t="n">
        <v>0.309</v>
      </c>
      <c r="P365" s="4" t="n">
        <v>0.000645</v>
      </c>
      <c r="Q365" s="3" t="n">
        <v>0.0356</v>
      </c>
      <c r="R365" s="3" t="n">
        <v>0.74</v>
      </c>
      <c r="S365" s="3" t="str">
        <f aca="false">IF(R365 &gt;= 0.5, "Positive", "Negative")</f>
        <v>Positive</v>
      </c>
      <c r="T365" s="2" t="n">
        <v>115.005</v>
      </c>
      <c r="U365" s="0" t="s">
        <v>33</v>
      </c>
    </row>
    <row r="366" customFormat="false" ht="14.25" hidden="false" customHeight="false" outlineLevel="0" collapsed="false">
      <c r="A366" s="0" t="n">
        <v>408</v>
      </c>
      <c r="B366" s="0" t="str">
        <f aca="false">_xlfn.xlookup(A366, artists!A$2:A$836, artists!B$2:B$836)</f>
        <v>Dizzee Rascal</v>
      </c>
      <c r="C366" s="1" t="s">
        <v>411</v>
      </c>
      <c r="D366" s="2" t="n">
        <v>204093</v>
      </c>
      <c r="E366" s="2" t="n">
        <f aca="false">D366/1000</f>
        <v>204.093</v>
      </c>
      <c r="F366" s="10" t="b">
        <f aca="false">FALSE()</f>
        <v>0</v>
      </c>
      <c r="G366" s="0" t="n">
        <v>14</v>
      </c>
      <c r="H366" s="0" t="n">
        <f aca="false">_xlfn.xlookup(G366, years!A$2:A$836, years!B$2:B$836)</f>
        <v>2011</v>
      </c>
      <c r="I366" s="2" t="n">
        <v>68</v>
      </c>
      <c r="J366" s="0" t="n">
        <v>0.878</v>
      </c>
      <c r="K366" s="0" t="n">
        <v>0.746</v>
      </c>
      <c r="L366" s="3" t="str">
        <f aca="false">IF(K366&gt;0.66,"High",IF(K366&gt;0.33&amp;K366&lt;=0.66,"Medium","Low"))</f>
        <v>High</v>
      </c>
      <c r="M366" s="0" t="n">
        <v>-4.281</v>
      </c>
      <c r="N366" s="3" t="n">
        <v>0.0451</v>
      </c>
      <c r="O366" s="3" t="n">
        <v>0.0476</v>
      </c>
      <c r="P366" s="4" t="n">
        <v>0</v>
      </c>
      <c r="Q366" s="3" t="n">
        <v>0.154</v>
      </c>
      <c r="R366" s="3" t="n">
        <v>0.792</v>
      </c>
      <c r="S366" s="3" t="str">
        <f aca="false">IF(R366 &gt;= 0.5, "Positive", "Negative")</f>
        <v>Positive</v>
      </c>
      <c r="T366" s="2" t="n">
        <v>111.996</v>
      </c>
      <c r="U366" s="0" t="s">
        <v>53</v>
      </c>
    </row>
    <row r="367" customFormat="false" ht="14.25" hidden="false" customHeight="false" outlineLevel="0" collapsed="false">
      <c r="A367" s="0" t="n">
        <v>336</v>
      </c>
      <c r="B367" s="0" t="str">
        <f aca="false">_xlfn.xlookup(A367, artists!A$2:A$836, artists!B$2:B$836)</f>
        <v>Fall Out Boy</v>
      </c>
      <c r="C367" s="1" t="s">
        <v>412</v>
      </c>
      <c r="D367" s="2" t="n">
        <v>180266</v>
      </c>
      <c r="E367" s="2" t="n">
        <f aca="false">D367/1000</f>
        <v>180.266</v>
      </c>
      <c r="F367" s="10" t="b">
        <f aca="false">FALSE()</f>
        <v>0</v>
      </c>
      <c r="G367" s="0" t="n">
        <v>8</v>
      </c>
      <c r="H367" s="0" t="n">
        <f aca="false">_xlfn.xlookup(G367, years!A$2:A$836, years!B$2:B$836)</f>
        <v>2005</v>
      </c>
      <c r="I367" s="2" t="n">
        <v>74</v>
      </c>
      <c r="J367" s="0" t="n">
        <v>0.622</v>
      </c>
      <c r="K367" s="0" t="n">
        <v>0.961</v>
      </c>
      <c r="L367" s="3" t="str">
        <f aca="false">IF(K367&gt;0.66,"High",IF(K367&gt;0.33&amp;K367&lt;=0.66,"Medium","Low"))</f>
        <v>High</v>
      </c>
      <c r="M367" s="0" t="n">
        <v>-3.198</v>
      </c>
      <c r="N367" s="3" t="n">
        <v>0.154</v>
      </c>
      <c r="O367" s="3" t="n">
        <v>0.00523</v>
      </c>
      <c r="P367" s="4" t="n">
        <v>0</v>
      </c>
      <c r="Q367" s="3" t="n">
        <v>0.0854</v>
      </c>
      <c r="R367" s="3" t="n">
        <v>0.449</v>
      </c>
      <c r="S367" s="3" t="str">
        <f aca="false">IF(R367 &gt;= 0.5, "Positive", "Negative")</f>
        <v>Negative</v>
      </c>
      <c r="T367" s="2" t="n">
        <v>114.452</v>
      </c>
      <c r="U367" s="0" t="s">
        <v>43</v>
      </c>
    </row>
    <row r="368" customFormat="false" ht="14.25" hidden="false" customHeight="false" outlineLevel="0" collapsed="false">
      <c r="A368" s="0" t="n">
        <v>380</v>
      </c>
      <c r="B368" s="0" t="str">
        <f aca="false">_xlfn.xlookup(A368, artists!A$2:A$836, artists!B$2:B$836)</f>
        <v>Robyn</v>
      </c>
      <c r="C368" s="1" t="s">
        <v>413</v>
      </c>
      <c r="D368" s="2" t="n">
        <v>288670</v>
      </c>
      <c r="E368" s="2" t="n">
        <f aca="false">D368/1000</f>
        <v>288.67</v>
      </c>
      <c r="F368" s="10" t="b">
        <f aca="false">FALSE()</f>
        <v>0</v>
      </c>
      <c r="G368" s="0" t="n">
        <v>13</v>
      </c>
      <c r="H368" s="0" t="n">
        <f aca="false">_xlfn.xlookup(G368, years!A$2:A$836, years!B$2:B$836)</f>
        <v>2010</v>
      </c>
      <c r="I368" s="2" t="n">
        <v>0</v>
      </c>
      <c r="J368" s="0" t="n">
        <v>0.687</v>
      </c>
      <c r="K368" s="0" t="n">
        <v>0.865</v>
      </c>
      <c r="L368" s="3" t="str">
        <f aca="false">IF(K368&gt;0.66,"High",IF(K368&gt;0.33&amp;K368&lt;=0.66,"Medium","Low"))</f>
        <v>High</v>
      </c>
      <c r="M368" s="0" t="n">
        <v>-4.663</v>
      </c>
      <c r="N368" s="3" t="n">
        <v>0.0349</v>
      </c>
      <c r="O368" s="3" t="n">
        <v>0.0743</v>
      </c>
      <c r="P368" s="4" t="n">
        <v>0.225</v>
      </c>
      <c r="Q368" s="3" t="n">
        <v>0.0966</v>
      </c>
      <c r="R368" s="3" t="n">
        <v>0.261</v>
      </c>
      <c r="S368" s="3" t="str">
        <f aca="false">IF(R368 &gt;= 0.5, "Positive", "Negative")</f>
        <v>Negative</v>
      </c>
      <c r="T368" s="2" t="n">
        <v>117.015</v>
      </c>
      <c r="U368" s="0" t="s">
        <v>22</v>
      </c>
    </row>
    <row r="369" customFormat="false" ht="14.25" hidden="false" customHeight="false" outlineLevel="0" collapsed="false">
      <c r="A369" s="0" t="n">
        <v>603</v>
      </c>
      <c r="B369" s="0" t="str">
        <f aca="false">_xlfn.xlookup(A369, artists!A$2:A$836, artists!B$2:B$836)</f>
        <v>Sam Smith</v>
      </c>
      <c r="C369" s="1" t="s">
        <v>414</v>
      </c>
      <c r="D369" s="2" t="n">
        <v>171029</v>
      </c>
      <c r="E369" s="2" t="n">
        <f aca="false">D369/1000</f>
        <v>171.029</v>
      </c>
      <c r="F369" s="10" t="b">
        <f aca="false">FALSE()</f>
        <v>0</v>
      </c>
      <c r="G369" s="0" t="n">
        <v>22</v>
      </c>
      <c r="H369" s="0" t="n">
        <f aca="false">_xlfn.xlookup(G369, years!A$2:A$836, years!B$2:B$836)</f>
        <v>2019</v>
      </c>
      <c r="I369" s="2" t="n">
        <v>75</v>
      </c>
      <c r="J369" s="0" t="n">
        <v>0.741</v>
      </c>
      <c r="K369" s="0" t="n">
        <v>0.52</v>
      </c>
      <c r="L369" s="3" t="str">
        <f aca="false">IF(K369&gt;0.66,"High",IF(K369&gt;0.33&amp;K369&lt;=0.66,"Medium","Low"))</f>
        <v>Low</v>
      </c>
      <c r="M369" s="0" t="n">
        <v>-7.513</v>
      </c>
      <c r="N369" s="3" t="n">
        <v>0.0656</v>
      </c>
      <c r="O369" s="3" t="n">
        <v>0.45</v>
      </c>
      <c r="P369" s="4" t="n">
        <v>1.97E-006</v>
      </c>
      <c r="Q369" s="3" t="n">
        <v>0.222</v>
      </c>
      <c r="R369" s="3" t="n">
        <v>0.347</v>
      </c>
      <c r="S369" s="3" t="str">
        <f aca="false">IF(R369 &gt;= 0.5, "Positive", "Negative")</f>
        <v>Negative</v>
      </c>
      <c r="T369" s="2" t="n">
        <v>102.998</v>
      </c>
      <c r="U369" s="0" t="s">
        <v>39</v>
      </c>
    </row>
    <row r="370" customFormat="false" ht="14.25" hidden="false" customHeight="false" outlineLevel="0" collapsed="false">
      <c r="A370" s="0" t="n">
        <v>218</v>
      </c>
      <c r="B370" s="0" t="str">
        <f aca="false">_xlfn.xlookup(A370, artists!A$2:A$836, artists!B$2:B$836)</f>
        <v>Electric Six</v>
      </c>
      <c r="C370" s="1" t="s">
        <v>415</v>
      </c>
      <c r="D370" s="2" t="n">
        <v>214600</v>
      </c>
      <c r="E370" s="2" t="n">
        <f aca="false">D370/1000</f>
        <v>214.6</v>
      </c>
      <c r="F370" s="10" t="b">
        <f aca="false">FALSE()</f>
        <v>0</v>
      </c>
      <c r="G370" s="0" t="n">
        <v>6</v>
      </c>
      <c r="H370" s="0" t="n">
        <f aca="false">_xlfn.xlookup(G370, years!A$2:A$836, years!B$2:B$836)</f>
        <v>2003</v>
      </c>
      <c r="I370" s="2" t="n">
        <v>0</v>
      </c>
      <c r="J370" s="0" t="n">
        <v>0.66</v>
      </c>
      <c r="K370" s="0" t="n">
        <v>0.698</v>
      </c>
      <c r="L370" s="3" t="str">
        <f aca="false">IF(K370&gt;0.66,"High",IF(K370&gt;0.33&amp;K370&lt;=0.66,"Medium","Low"))</f>
        <v>High</v>
      </c>
      <c r="M370" s="0" t="n">
        <v>-4.722</v>
      </c>
      <c r="N370" s="3" t="n">
        <v>0.0302</v>
      </c>
      <c r="O370" s="3" t="n">
        <v>1.92E-005</v>
      </c>
      <c r="P370" s="4" t="n">
        <v>0.166</v>
      </c>
      <c r="Q370" s="3" t="n">
        <v>0.0517</v>
      </c>
      <c r="R370" s="3" t="n">
        <v>0.511</v>
      </c>
      <c r="S370" s="3" t="str">
        <f aca="false">IF(R370 &gt;= 0.5, "Positive", "Negative")</f>
        <v>Positive</v>
      </c>
      <c r="T370" s="2" t="n">
        <v>123.005</v>
      </c>
      <c r="U370" s="0" t="s">
        <v>43</v>
      </c>
    </row>
    <row r="371" customFormat="false" ht="14.25" hidden="false" customHeight="false" outlineLevel="0" collapsed="false">
      <c r="A371" s="0" t="n">
        <v>399</v>
      </c>
      <c r="B371" s="0" t="str">
        <f aca="false">_xlfn.xlookup(A371, artists!A$2:A$836, artists!B$2:B$836)</f>
        <v>Kardinal Offishall</v>
      </c>
      <c r="C371" s="1" t="s">
        <v>416</v>
      </c>
      <c r="D371" s="2" t="n">
        <v>246053</v>
      </c>
      <c r="E371" s="2" t="n">
        <f aca="false">D371/1000</f>
        <v>246.053</v>
      </c>
      <c r="F371" s="10" t="b">
        <f aca="false">TRUE()</f>
        <v>1</v>
      </c>
      <c r="G371" s="0" t="n">
        <v>11</v>
      </c>
      <c r="H371" s="0" t="n">
        <f aca="false">_xlfn.xlookup(G371, years!A$2:A$836, years!B$2:B$836)</f>
        <v>2008</v>
      </c>
      <c r="I371" s="2" t="n">
        <v>75</v>
      </c>
      <c r="J371" s="0" t="n">
        <v>0.949</v>
      </c>
      <c r="K371" s="0" t="n">
        <v>0.79</v>
      </c>
      <c r="L371" s="3" t="str">
        <f aca="false">IF(K371&gt;0.66,"High",IF(K371&gt;0.33&amp;K371&lt;=0.66,"Medium","Low"))</f>
        <v>High</v>
      </c>
      <c r="M371" s="0" t="n">
        <v>-5.957</v>
      </c>
      <c r="N371" s="3" t="n">
        <v>0.0756</v>
      </c>
      <c r="O371" s="3" t="n">
        <v>0.00437</v>
      </c>
      <c r="P371" s="4" t="n">
        <v>0</v>
      </c>
      <c r="Q371" s="3" t="n">
        <v>0.0816</v>
      </c>
      <c r="R371" s="3" t="n">
        <v>0.807</v>
      </c>
      <c r="S371" s="3" t="str">
        <f aca="false">IF(R371 &gt;= 0.5, "Positive", "Negative")</f>
        <v>Positive</v>
      </c>
      <c r="T371" s="2" t="n">
        <v>117.002</v>
      </c>
      <c r="U371" s="0" t="s">
        <v>31</v>
      </c>
    </row>
    <row r="372" customFormat="false" ht="14.25" hidden="false" customHeight="false" outlineLevel="0" collapsed="false">
      <c r="A372" s="0" t="n">
        <v>600</v>
      </c>
      <c r="B372" s="0" t="str">
        <f aca="false">_xlfn.xlookup(A372, artists!A$2:A$836, artists!B$2:B$836)</f>
        <v>Ariana Grande</v>
      </c>
      <c r="C372" s="1" t="s">
        <v>417</v>
      </c>
      <c r="D372" s="2" t="n">
        <v>235946</v>
      </c>
      <c r="E372" s="2" t="n">
        <f aca="false">D372/1000</f>
        <v>235.946</v>
      </c>
      <c r="F372" s="10" t="b">
        <f aca="false">FALSE()</f>
        <v>0</v>
      </c>
      <c r="G372" s="0" t="n">
        <v>19</v>
      </c>
      <c r="H372" s="0" t="n">
        <f aca="false">_xlfn.xlookup(G372, years!A$2:A$836, years!B$2:B$836)</f>
        <v>2016</v>
      </c>
      <c r="I372" s="2" t="n">
        <v>0</v>
      </c>
      <c r="J372" s="0" t="n">
        <v>0.677</v>
      </c>
      <c r="K372" s="0" t="n">
        <v>0.604</v>
      </c>
      <c r="L372" s="3" t="str">
        <f aca="false">IF(K372&gt;0.66,"High",IF(K372&gt;0.33&amp;K372&lt;=0.66,"Medium","Low"))</f>
        <v>Low</v>
      </c>
      <c r="M372" s="0" t="n">
        <v>-5.32</v>
      </c>
      <c r="N372" s="3" t="n">
        <v>0.0385</v>
      </c>
      <c r="O372" s="3" t="n">
        <v>0.0612</v>
      </c>
      <c r="P372" s="4" t="n">
        <v>0</v>
      </c>
      <c r="Q372" s="3" t="n">
        <v>0.353</v>
      </c>
      <c r="R372" s="3" t="n">
        <v>0.297</v>
      </c>
      <c r="S372" s="3" t="str">
        <f aca="false">IF(R372 &gt;= 0.5, "Positive", "Negative")</f>
        <v>Negative</v>
      </c>
      <c r="T372" s="2" t="n">
        <v>134.052</v>
      </c>
      <c r="U372" s="0" t="s">
        <v>39</v>
      </c>
    </row>
    <row r="373" customFormat="false" ht="14.25" hidden="false" customHeight="false" outlineLevel="0" collapsed="false">
      <c r="A373" s="0" t="n">
        <v>699</v>
      </c>
      <c r="B373" s="0" t="str">
        <f aca="false">_xlfn.xlookup(A373, artists!A$2:A$836, artists!B$2:B$836)</f>
        <v>Charlie Puth</v>
      </c>
      <c r="C373" s="1" t="s">
        <v>418</v>
      </c>
      <c r="D373" s="2" t="n">
        <v>199133</v>
      </c>
      <c r="E373" s="2" t="n">
        <f aca="false">D373/1000</f>
        <v>199.133</v>
      </c>
      <c r="F373" s="10" t="b">
        <f aca="false">FALSE()</f>
        <v>0</v>
      </c>
      <c r="G373" s="0" t="n">
        <v>19</v>
      </c>
      <c r="H373" s="0" t="n">
        <f aca="false">_xlfn.xlookup(G373, years!A$2:A$836, years!B$2:B$836)</f>
        <v>2016</v>
      </c>
      <c r="I373" s="2" t="n">
        <v>62</v>
      </c>
      <c r="J373" s="0" t="n">
        <v>0.696</v>
      </c>
      <c r="K373" s="0" t="n">
        <v>0.517</v>
      </c>
      <c r="L373" s="3" t="str">
        <f aca="false">IF(K373&gt;0.66,"High",IF(K373&gt;0.33&amp;K373&lt;=0.66,"Medium","Low"))</f>
        <v>Low</v>
      </c>
      <c r="M373" s="0" t="n">
        <v>-8.379</v>
      </c>
      <c r="N373" s="3" t="n">
        <v>0.0366</v>
      </c>
      <c r="O373" s="3" t="n">
        <v>0.364</v>
      </c>
      <c r="P373" s="4" t="n">
        <v>0</v>
      </c>
      <c r="Q373" s="3" t="n">
        <v>0.197</v>
      </c>
      <c r="R373" s="3" t="n">
        <v>0.23</v>
      </c>
      <c r="S373" s="3" t="str">
        <f aca="false">IF(R373 &gt;= 0.5, "Positive", "Negative")</f>
        <v>Negative</v>
      </c>
      <c r="T373" s="2" t="n">
        <v>112.291</v>
      </c>
      <c r="U373" s="0" t="s">
        <v>39</v>
      </c>
    </row>
    <row r="374" customFormat="false" ht="14.25" hidden="false" customHeight="false" outlineLevel="0" collapsed="false">
      <c r="A374" s="0" t="n">
        <v>58</v>
      </c>
      <c r="B374" s="0" t="str">
        <f aca="false">_xlfn.xlookup(A374, artists!A$2:A$836, artists!B$2:B$836)</f>
        <v>Red Hot Chili Peppers</v>
      </c>
      <c r="C374" s="1" t="s">
        <v>419</v>
      </c>
      <c r="D374" s="2" t="n">
        <v>282160</v>
      </c>
      <c r="E374" s="2" t="n">
        <f aca="false">D374/1000</f>
        <v>282.16</v>
      </c>
      <c r="F374" s="10" t="b">
        <f aca="false">FALSE()</f>
        <v>0</v>
      </c>
      <c r="G374" s="0" t="n">
        <v>9</v>
      </c>
      <c r="H374" s="0" t="n">
        <f aca="false">_xlfn.xlookup(G374, years!A$2:A$836, years!B$2:B$836)</f>
        <v>2006</v>
      </c>
      <c r="I374" s="2" t="n">
        <v>76</v>
      </c>
      <c r="J374" s="0" t="n">
        <v>0.556</v>
      </c>
      <c r="K374" s="0" t="n">
        <v>0.913</v>
      </c>
      <c r="L374" s="3" t="str">
        <f aca="false">IF(K374&gt;0.66,"High",IF(K374&gt;0.33&amp;K374&lt;=0.66,"Medium","Low"))</f>
        <v>High</v>
      </c>
      <c r="M374" s="0" t="n">
        <v>-2.36</v>
      </c>
      <c r="N374" s="3" t="n">
        <v>0.0437</v>
      </c>
      <c r="O374" s="3" t="n">
        <v>0.0193</v>
      </c>
      <c r="P374" s="4" t="n">
        <v>8.59E-006</v>
      </c>
      <c r="Q374" s="3" t="n">
        <v>0.346</v>
      </c>
      <c r="R374" s="3" t="n">
        <v>0.73</v>
      </c>
      <c r="S374" s="3" t="str">
        <f aca="false">IF(R374 &gt;= 0.5, "Positive", "Negative")</f>
        <v>Positive</v>
      </c>
      <c r="T374" s="2" t="n">
        <v>96.184</v>
      </c>
      <c r="U374" s="0" t="s">
        <v>43</v>
      </c>
    </row>
    <row r="375" customFormat="false" ht="14.25" hidden="false" customHeight="false" outlineLevel="0" collapsed="false">
      <c r="A375" s="0" t="n">
        <v>476</v>
      </c>
      <c r="B375" s="0" t="str">
        <f aca="false">_xlfn.xlookup(A375, artists!A$2:A$836, artists!B$2:B$836)</f>
        <v>Lucenzo</v>
      </c>
      <c r="C375" s="1" t="s">
        <v>420</v>
      </c>
      <c r="D375" s="2" t="n">
        <v>213986</v>
      </c>
      <c r="E375" s="2" t="n">
        <f aca="false">D375/1000</f>
        <v>213.986</v>
      </c>
      <c r="F375" s="10" t="b">
        <f aca="false">FALSE()</f>
        <v>0</v>
      </c>
      <c r="G375" s="0" t="n">
        <v>14</v>
      </c>
      <c r="H375" s="0" t="n">
        <f aca="false">_xlfn.xlookup(G375, years!A$2:A$836, years!B$2:B$836)</f>
        <v>2011</v>
      </c>
      <c r="I375" s="2" t="n">
        <v>0</v>
      </c>
      <c r="J375" s="0" t="n">
        <v>0.622</v>
      </c>
      <c r="K375" s="0" t="n">
        <v>0.942</v>
      </c>
      <c r="L375" s="3" t="str">
        <f aca="false">IF(K375&gt;0.66,"High",IF(K375&gt;0.33&amp;K375&lt;=0.66,"Medium","Low"))</f>
        <v>High</v>
      </c>
      <c r="M375" s="0" t="n">
        <v>-6.365</v>
      </c>
      <c r="N375" s="3" t="n">
        <v>0.112</v>
      </c>
      <c r="O375" s="3" t="n">
        <v>0.00713</v>
      </c>
      <c r="P375" s="4" t="n">
        <v>0</v>
      </c>
      <c r="Q375" s="3" t="n">
        <v>0.0715</v>
      </c>
      <c r="R375" s="3" t="n">
        <v>0.773</v>
      </c>
      <c r="S375" s="3" t="str">
        <f aca="false">IF(R375 &gt;= 0.5, "Positive", "Negative")</f>
        <v>Positive</v>
      </c>
      <c r="T375" s="2" t="n">
        <v>130.003</v>
      </c>
      <c r="U375" s="0" t="s">
        <v>312</v>
      </c>
    </row>
    <row r="376" customFormat="false" ht="14.25" hidden="false" customHeight="false" outlineLevel="0" collapsed="false">
      <c r="A376" s="0" t="n">
        <v>110</v>
      </c>
      <c r="B376" s="0" t="str">
        <f aca="false">_xlfn.xlookup(A376, artists!A$2:A$836, artists!B$2:B$836)</f>
        <v>Gorillaz</v>
      </c>
      <c r="C376" s="1" t="s">
        <v>421</v>
      </c>
      <c r="D376" s="2" t="n">
        <v>244999</v>
      </c>
      <c r="E376" s="2" t="n">
        <f aca="false">D376/1000</f>
        <v>244.999</v>
      </c>
      <c r="F376" s="10" t="b">
        <f aca="false">FALSE()</f>
        <v>0</v>
      </c>
      <c r="G376" s="0" t="n">
        <v>8</v>
      </c>
      <c r="H376" s="0" t="n">
        <f aca="false">_xlfn.xlookup(G376, years!A$2:A$836, years!B$2:B$836)</f>
        <v>2005</v>
      </c>
      <c r="I376" s="2" t="n">
        <v>73</v>
      </c>
      <c r="J376" s="0" t="n">
        <v>0.76</v>
      </c>
      <c r="K376" s="0" t="n">
        <v>0.891</v>
      </c>
      <c r="L376" s="3" t="str">
        <f aca="false">IF(K376&gt;0.66,"High",IF(K376&gt;0.33&amp;K376&lt;=0.66,"Medium","Low"))</f>
        <v>High</v>
      </c>
      <c r="M376" s="0" t="n">
        <v>-5.852</v>
      </c>
      <c r="N376" s="3" t="n">
        <v>0.0372</v>
      </c>
      <c r="O376" s="3" t="n">
        <v>0.0229</v>
      </c>
      <c r="P376" s="4" t="n">
        <v>0.0869</v>
      </c>
      <c r="Q376" s="3" t="n">
        <v>0.298</v>
      </c>
      <c r="R376" s="3" t="n">
        <v>0.966</v>
      </c>
      <c r="S376" s="3" t="str">
        <f aca="false">IF(R376 &gt;= 0.5, "Positive", "Negative")</f>
        <v>Positive</v>
      </c>
      <c r="T376" s="2" t="n">
        <v>120.264</v>
      </c>
      <c r="U376" s="0" t="s">
        <v>29</v>
      </c>
    </row>
    <row r="377" customFormat="false" ht="14.25" hidden="false" customHeight="false" outlineLevel="0" collapsed="false">
      <c r="A377" s="0" t="n">
        <v>398</v>
      </c>
      <c r="B377" s="0" t="str">
        <f aca="false">_xlfn.xlookup(A377, artists!A$2:A$836, artists!B$2:B$836)</f>
        <v>Katy Perry</v>
      </c>
      <c r="C377" s="1" t="s">
        <v>422</v>
      </c>
      <c r="D377" s="2" t="n">
        <v>215672</v>
      </c>
      <c r="E377" s="2" t="n">
        <f aca="false">D377/1000</f>
        <v>215.672</v>
      </c>
      <c r="F377" s="10" t="b">
        <f aca="false">FALSE()</f>
        <v>0</v>
      </c>
      <c r="G377" s="0" t="n">
        <v>16</v>
      </c>
      <c r="H377" s="0" t="n">
        <f aca="false">_xlfn.xlookup(G377, years!A$2:A$836, years!B$2:B$836)</f>
        <v>2013</v>
      </c>
      <c r="I377" s="2" t="n">
        <v>74</v>
      </c>
      <c r="J377" s="0" t="n">
        <v>0.647</v>
      </c>
      <c r="K377" s="0" t="n">
        <v>0.585</v>
      </c>
      <c r="L377" s="3" t="str">
        <f aca="false">IF(K377&gt;0.66,"High",IF(K377&gt;0.33&amp;K377&lt;=0.66,"Medium","Low"))</f>
        <v>Low</v>
      </c>
      <c r="M377" s="0" t="n">
        <v>-6.123</v>
      </c>
      <c r="N377" s="3" t="n">
        <v>0.0512</v>
      </c>
      <c r="O377" s="3" t="n">
        <v>0.00314</v>
      </c>
      <c r="P377" s="4" t="n">
        <v>0</v>
      </c>
      <c r="Q377" s="3" t="n">
        <v>0.165</v>
      </c>
      <c r="R377" s="3" t="n">
        <v>0.353</v>
      </c>
      <c r="S377" s="3" t="str">
        <f aca="false">IF(R377 &gt;= 0.5, "Positive", "Negative")</f>
        <v>Negative</v>
      </c>
      <c r="T377" s="2" t="n">
        <v>131.934</v>
      </c>
      <c r="U377" s="0" t="s">
        <v>39</v>
      </c>
    </row>
    <row r="378" customFormat="false" ht="14.25" hidden="false" customHeight="false" outlineLevel="0" collapsed="false">
      <c r="A378" s="0" t="n">
        <v>443</v>
      </c>
      <c r="B378" s="0" t="str">
        <f aca="false">_xlfn.xlookup(A378, artists!A$2:A$836, artists!B$2:B$836)</f>
        <v>Kid Cudi</v>
      </c>
      <c r="C378" s="1" t="s">
        <v>423</v>
      </c>
      <c r="D378" s="2" t="n">
        <v>221240</v>
      </c>
      <c r="E378" s="2" t="n">
        <f aca="false">D378/1000</f>
        <v>221.24</v>
      </c>
      <c r="F378" s="10" t="b">
        <f aca="false">FALSE()</f>
        <v>0</v>
      </c>
      <c r="G378" s="0" t="n">
        <v>12</v>
      </c>
      <c r="H378" s="0" t="n">
        <f aca="false">_xlfn.xlookup(G378, years!A$2:A$836, years!B$2:B$836)</f>
        <v>2009</v>
      </c>
      <c r="I378" s="2" t="n">
        <v>72</v>
      </c>
      <c r="J378" s="0" t="n">
        <v>0.88</v>
      </c>
      <c r="K378" s="0" t="n">
        <v>0.443</v>
      </c>
      <c r="L378" s="3" t="str">
        <f aca="false">IF(K378&gt;0.66,"High",IF(K378&gt;0.33&amp;K378&lt;=0.66,"Medium","Low"))</f>
        <v>Low</v>
      </c>
      <c r="M378" s="0" t="n">
        <v>-6.359</v>
      </c>
      <c r="N378" s="3" t="n">
        <v>0.0653</v>
      </c>
      <c r="O378" s="3" t="n">
        <v>0.462</v>
      </c>
      <c r="P378" s="4" t="n">
        <v>7.13E-006</v>
      </c>
      <c r="Q378" s="3" t="n">
        <v>0.122</v>
      </c>
      <c r="R378" s="3" t="n">
        <v>0.803</v>
      </c>
      <c r="S378" s="3" t="str">
        <f aca="false">IF(R378 &gt;= 0.5, "Positive", "Negative")</f>
        <v>Positive</v>
      </c>
      <c r="T378" s="2" t="n">
        <v>138.018</v>
      </c>
      <c r="U378" s="0" t="s">
        <v>29</v>
      </c>
    </row>
    <row r="379" customFormat="false" ht="14.25" hidden="false" customHeight="false" outlineLevel="0" collapsed="false">
      <c r="A379" s="0" t="n">
        <v>236</v>
      </c>
      <c r="B379" s="0" t="str">
        <f aca="false">_xlfn.xlookup(A379, artists!A$2:A$836, artists!B$2:B$836)</f>
        <v>Maroon 5</v>
      </c>
      <c r="C379" s="1" t="s">
        <v>424</v>
      </c>
      <c r="D379" s="2" t="n">
        <v>225066</v>
      </c>
      <c r="E379" s="2" t="n">
        <f aca="false">D379/1000</f>
        <v>225.066</v>
      </c>
      <c r="F379" s="10" t="b">
        <f aca="false">FALSE()</f>
        <v>0</v>
      </c>
      <c r="G379" s="0" t="n">
        <v>15</v>
      </c>
      <c r="H379" s="0" t="n">
        <f aca="false">_xlfn.xlookup(G379, years!A$2:A$836, years!B$2:B$836)</f>
        <v>2012</v>
      </c>
      <c r="I379" s="2" t="n">
        <v>66</v>
      </c>
      <c r="J379" s="0" t="n">
        <v>0.656</v>
      </c>
      <c r="K379" s="0" t="n">
        <v>0.674</v>
      </c>
      <c r="L379" s="3" t="str">
        <f aca="false">IF(K379&gt;0.66,"High",IF(K379&gt;0.33&amp;K379&lt;=0.66,"Medium","Low"))</f>
        <v>High</v>
      </c>
      <c r="M379" s="0" t="n">
        <v>-5.473</v>
      </c>
      <c r="N379" s="3" t="n">
        <v>0.0269</v>
      </c>
      <c r="O379" s="3" t="n">
        <v>0.00242</v>
      </c>
      <c r="P379" s="4" t="n">
        <v>0</v>
      </c>
      <c r="Q379" s="3" t="n">
        <v>0.255</v>
      </c>
      <c r="R379" s="3" t="n">
        <v>0.369</v>
      </c>
      <c r="S379" s="3" t="str">
        <f aca="false">IF(R379 &gt;= 0.5, "Positive", "Negative")</f>
        <v>Negative</v>
      </c>
      <c r="T379" s="2" t="n">
        <v>120.001</v>
      </c>
      <c r="U379" s="0" t="s">
        <v>39</v>
      </c>
    </row>
    <row r="380" customFormat="false" ht="14.25" hidden="false" customHeight="false" outlineLevel="0" collapsed="false">
      <c r="A380" s="0" t="n">
        <v>165</v>
      </c>
      <c r="B380" s="0" t="str">
        <f aca="false">_xlfn.xlookup(A380, artists!A$2:A$836, artists!B$2:B$836)</f>
        <v>Dirty Vegas</v>
      </c>
      <c r="C380" s="1" t="s">
        <v>425</v>
      </c>
      <c r="D380" s="2" t="n">
        <v>432146</v>
      </c>
      <c r="E380" s="2" t="n">
        <f aca="false">D380/1000</f>
        <v>432.146</v>
      </c>
      <c r="F380" s="10" t="b">
        <f aca="false">FALSE()</f>
        <v>0</v>
      </c>
      <c r="G380" s="0" t="n">
        <v>5</v>
      </c>
      <c r="H380" s="0" t="n">
        <f aca="false">_xlfn.xlookup(G380, years!A$2:A$836, years!B$2:B$836)</f>
        <v>2002</v>
      </c>
      <c r="I380" s="2" t="n">
        <v>48</v>
      </c>
      <c r="J380" s="0" t="n">
        <v>0.786</v>
      </c>
      <c r="K380" s="0" t="n">
        <v>0.853</v>
      </c>
      <c r="L380" s="3" t="str">
        <f aca="false">IF(K380&gt;0.66,"High",IF(K380&gt;0.33&amp;K380&lt;=0.66,"Medium","Low"))</f>
        <v>High</v>
      </c>
      <c r="M380" s="0" t="n">
        <v>-8.274</v>
      </c>
      <c r="N380" s="3" t="n">
        <v>0.0688</v>
      </c>
      <c r="O380" s="3" t="n">
        <v>0.0499</v>
      </c>
      <c r="P380" s="4" t="n">
        <v>0.0872</v>
      </c>
      <c r="Q380" s="3" t="n">
        <v>0.35</v>
      </c>
      <c r="R380" s="3" t="n">
        <v>0.309</v>
      </c>
      <c r="S380" s="3" t="str">
        <f aca="false">IF(R380 &gt;= 0.5, "Positive", "Negative")</f>
        <v>Negative</v>
      </c>
      <c r="T380" s="2" t="n">
        <v>126.99</v>
      </c>
      <c r="U380" s="0" t="s">
        <v>48</v>
      </c>
    </row>
    <row r="381" customFormat="false" ht="14.25" hidden="false" customHeight="false" outlineLevel="0" collapsed="false">
      <c r="A381" s="0" t="n">
        <v>260</v>
      </c>
      <c r="B381" s="0" t="str">
        <f aca="false">_xlfn.xlookup(A381, artists!A$2:A$836, artists!B$2:B$836)</f>
        <v>T.I.</v>
      </c>
      <c r="C381" s="1" t="s">
        <v>426</v>
      </c>
      <c r="D381" s="2" t="n">
        <v>299746</v>
      </c>
      <c r="E381" s="2" t="n">
        <f aca="false">D381/1000</f>
        <v>299.746</v>
      </c>
      <c r="F381" s="10" t="b">
        <f aca="false">TRUE()</f>
        <v>1</v>
      </c>
      <c r="G381" s="0" t="n">
        <v>11</v>
      </c>
      <c r="H381" s="0" t="n">
        <f aca="false">_xlfn.xlookup(G381, years!A$2:A$836, years!B$2:B$836)</f>
        <v>2008</v>
      </c>
      <c r="I381" s="2" t="n">
        <v>68</v>
      </c>
      <c r="J381" s="0" t="n">
        <v>0.713</v>
      </c>
      <c r="K381" s="0" t="n">
        <v>0.746</v>
      </c>
      <c r="L381" s="3" t="str">
        <f aca="false">IF(K381&gt;0.66,"High",IF(K381&gt;0.33&amp;K381&lt;=0.66,"Medium","Low"))</f>
        <v>High</v>
      </c>
      <c r="M381" s="0" t="n">
        <v>-4.99</v>
      </c>
      <c r="N381" s="3" t="n">
        <v>0.259</v>
      </c>
      <c r="O381" s="3" t="n">
        <v>0.0402</v>
      </c>
      <c r="P381" s="4" t="n">
        <v>0</v>
      </c>
      <c r="Q381" s="3" t="n">
        <v>0.601</v>
      </c>
      <c r="R381" s="3" t="n">
        <v>0.47</v>
      </c>
      <c r="S381" s="3" t="str">
        <f aca="false">IF(R381 &gt;= 0.5, "Positive", "Negative")</f>
        <v>Negative</v>
      </c>
      <c r="T381" s="2" t="n">
        <v>135.021</v>
      </c>
      <c r="U381" s="0" t="s">
        <v>24</v>
      </c>
    </row>
    <row r="382" customFormat="false" ht="14.25" hidden="false" customHeight="false" outlineLevel="0" collapsed="false">
      <c r="A382" s="0" t="n">
        <v>514</v>
      </c>
      <c r="B382" s="0" t="str">
        <f aca="false">_xlfn.xlookup(A382, artists!A$2:A$836, artists!B$2:B$836)</f>
        <v>Olly Murs</v>
      </c>
      <c r="C382" s="1" t="s">
        <v>427</v>
      </c>
      <c r="D382" s="2" t="n">
        <v>206373</v>
      </c>
      <c r="E382" s="2" t="n">
        <f aca="false">D382/1000</f>
        <v>206.373</v>
      </c>
      <c r="F382" s="10" t="b">
        <f aca="false">FALSE()</f>
        <v>0</v>
      </c>
      <c r="G382" s="0" t="n">
        <v>15</v>
      </c>
      <c r="H382" s="0" t="n">
        <f aca="false">_xlfn.xlookup(G382, years!A$2:A$836, years!B$2:B$836)</f>
        <v>2012</v>
      </c>
      <c r="I382" s="2" t="n">
        <v>59</v>
      </c>
      <c r="J382" s="0" t="n">
        <v>0.512</v>
      </c>
      <c r="K382" s="0" t="n">
        <v>0.828</v>
      </c>
      <c r="L382" s="3" t="str">
        <f aca="false">IF(K382&gt;0.66,"High",IF(K382&gt;0.33&amp;K382&lt;=0.66,"Medium","Low"))</f>
        <v>High</v>
      </c>
      <c r="M382" s="0" t="n">
        <v>-4.672</v>
      </c>
      <c r="N382" s="3" t="n">
        <v>0.0454</v>
      </c>
      <c r="O382" s="3" t="n">
        <v>0.00627</v>
      </c>
      <c r="P382" s="4" t="n">
        <v>8.73E-006</v>
      </c>
      <c r="Q382" s="3" t="n">
        <v>0.119</v>
      </c>
      <c r="R382" s="3" t="n">
        <v>0.34</v>
      </c>
      <c r="S382" s="3" t="str">
        <f aca="false">IF(R382 &gt;= 0.5, "Positive", "Negative")</f>
        <v>Negative</v>
      </c>
      <c r="T382" s="2" t="n">
        <v>124.021</v>
      </c>
      <c r="U382" s="0" t="s">
        <v>22</v>
      </c>
    </row>
    <row r="383" customFormat="false" ht="14.25" hidden="false" customHeight="false" outlineLevel="0" collapsed="false">
      <c r="A383" s="0" t="n">
        <v>378</v>
      </c>
      <c r="B383" s="0" t="str">
        <f aca="false">_xlfn.xlookup(A383, artists!A$2:A$836, artists!B$2:B$836)</f>
        <v>All Time Low</v>
      </c>
      <c r="C383" s="1" t="s">
        <v>428</v>
      </c>
      <c r="D383" s="2" t="n">
        <v>182826</v>
      </c>
      <c r="E383" s="2" t="n">
        <f aca="false">D383/1000</f>
        <v>182.826</v>
      </c>
      <c r="F383" s="10" t="b">
        <f aca="false">FALSE()</f>
        <v>0</v>
      </c>
      <c r="G383" s="0" t="n">
        <v>10</v>
      </c>
      <c r="H383" s="0" t="n">
        <f aca="false">_xlfn.xlookup(G383, years!A$2:A$836, years!B$2:B$836)</f>
        <v>2007</v>
      </c>
      <c r="I383" s="2" t="n">
        <v>76</v>
      </c>
      <c r="J383" s="0" t="n">
        <v>0.459</v>
      </c>
      <c r="K383" s="0" t="n">
        <v>0.895</v>
      </c>
      <c r="L383" s="3" t="str">
        <f aca="false">IF(K383&gt;0.66,"High",IF(K383&gt;0.33&amp;K383&lt;=0.66,"Medium","Low"))</f>
        <v>High</v>
      </c>
      <c r="M383" s="0" t="n">
        <v>-3.126</v>
      </c>
      <c r="N383" s="3" t="n">
        <v>0.0805</v>
      </c>
      <c r="O383" s="3" t="n">
        <v>0.00725</v>
      </c>
      <c r="P383" s="4" t="n">
        <v>0</v>
      </c>
      <c r="Q383" s="3" t="n">
        <v>0.206</v>
      </c>
      <c r="R383" s="3" t="n">
        <v>0.572</v>
      </c>
      <c r="S383" s="3" t="str">
        <f aca="false">IF(R383 &gt;= 0.5, "Positive", "Negative")</f>
        <v>Positive</v>
      </c>
      <c r="T383" s="2" t="n">
        <v>181.04</v>
      </c>
      <c r="U383" s="0" t="s">
        <v>43</v>
      </c>
    </row>
    <row r="384" customFormat="false" ht="14.25" hidden="false" customHeight="false" outlineLevel="0" collapsed="false">
      <c r="A384" s="0" t="n">
        <v>192</v>
      </c>
      <c r="B384" s="0" t="str">
        <f aca="false">_xlfn.xlookup(A384, artists!A$2:A$836, artists!B$2:B$836)</f>
        <v>Beyoncé</v>
      </c>
      <c r="C384" s="1" t="s">
        <v>429</v>
      </c>
      <c r="D384" s="2" t="n">
        <v>240280</v>
      </c>
      <c r="E384" s="2" t="n">
        <f aca="false">D384/1000</f>
        <v>240.28</v>
      </c>
      <c r="F384" s="10" t="b">
        <f aca="false">FALSE()</f>
        <v>0</v>
      </c>
      <c r="G384" s="0" t="n">
        <v>10</v>
      </c>
      <c r="H384" s="0" t="n">
        <f aca="false">_xlfn.xlookup(G384, years!A$2:A$836, years!B$2:B$836)</f>
        <v>2007</v>
      </c>
      <c r="I384" s="2" t="n">
        <v>57</v>
      </c>
      <c r="J384" s="0" t="n">
        <v>0.644</v>
      </c>
      <c r="K384" s="0" t="n">
        <v>0.746</v>
      </c>
      <c r="L384" s="3" t="str">
        <f aca="false">IF(K384&gt;0.66,"High",IF(K384&gt;0.33&amp;K384&lt;=0.66,"Medium","Low"))</f>
        <v>High</v>
      </c>
      <c r="M384" s="0" t="n">
        <v>-4.941</v>
      </c>
      <c r="N384" s="3" t="n">
        <v>0.341</v>
      </c>
      <c r="O384" s="3" t="n">
        <v>0.0071</v>
      </c>
      <c r="P384" s="4" t="n">
        <v>1.22E-005</v>
      </c>
      <c r="Q384" s="3" t="n">
        <v>0.0743</v>
      </c>
      <c r="R384" s="3" t="n">
        <v>0.355</v>
      </c>
      <c r="S384" s="3" t="str">
        <f aca="false">IF(R384 &gt;= 0.5, "Positive", "Negative")</f>
        <v>Negative</v>
      </c>
      <c r="T384" s="2" t="n">
        <v>105.253</v>
      </c>
      <c r="U384" s="0" t="s">
        <v>33</v>
      </c>
    </row>
    <row r="385" customFormat="false" ht="14.25" hidden="false" customHeight="false" outlineLevel="0" collapsed="false">
      <c r="A385" s="0" t="n">
        <v>571</v>
      </c>
      <c r="B385" s="0" t="str">
        <f aca="false">_xlfn.xlookup(A385, artists!A$2:A$836, artists!B$2:B$836)</f>
        <v>Imagine Dragons</v>
      </c>
      <c r="C385" s="1" t="s">
        <v>430</v>
      </c>
      <c r="D385" s="2" t="n">
        <v>177506</v>
      </c>
      <c r="E385" s="2" t="n">
        <f aca="false">D385/1000</f>
        <v>177.506</v>
      </c>
      <c r="F385" s="10" t="b">
        <f aca="false">FALSE()</f>
        <v>0</v>
      </c>
      <c r="G385" s="0" t="n">
        <v>15</v>
      </c>
      <c r="H385" s="0" t="n">
        <f aca="false">_xlfn.xlookup(G385, years!A$2:A$836, years!B$2:B$836)</f>
        <v>2012</v>
      </c>
      <c r="I385" s="2" t="n">
        <v>81</v>
      </c>
      <c r="J385" s="0" t="n">
        <v>0.505</v>
      </c>
      <c r="K385" s="0" t="n">
        <v>0.71</v>
      </c>
      <c r="L385" s="3" t="str">
        <f aca="false">IF(K385&gt;0.66,"High",IF(K385&gt;0.33&amp;K385&lt;=0.66,"Medium","Low"))</f>
        <v>High</v>
      </c>
      <c r="M385" s="0" t="n">
        <v>-3.015</v>
      </c>
      <c r="N385" s="3" t="n">
        <v>0.0321</v>
      </c>
      <c r="O385" s="3" t="n">
        <v>0.19</v>
      </c>
      <c r="P385" s="4" t="n">
        <v>0.00025</v>
      </c>
      <c r="Q385" s="3" t="n">
        <v>0.269</v>
      </c>
      <c r="R385" s="3" t="n">
        <v>0.428</v>
      </c>
      <c r="S385" s="3" t="str">
        <f aca="false">IF(R385 &gt;= 0.5, "Positive", "Negative")</f>
        <v>Negative</v>
      </c>
      <c r="T385" s="2" t="n">
        <v>89.938</v>
      </c>
      <c r="U385" s="0" t="s">
        <v>43</v>
      </c>
    </row>
    <row r="386" customFormat="false" ht="14.25" hidden="false" customHeight="false" outlineLevel="0" collapsed="false">
      <c r="A386" s="0" t="n">
        <v>14</v>
      </c>
      <c r="B386" s="0" t="str">
        <f aca="false">_xlfn.xlookup(A386, artists!A$2:A$836, artists!B$2:B$836)</f>
        <v>Sting</v>
      </c>
      <c r="C386" s="1" t="s">
        <v>431</v>
      </c>
      <c r="D386" s="2" t="n">
        <v>285960</v>
      </c>
      <c r="E386" s="2" t="n">
        <f aca="false">D386/1000</f>
        <v>285.96</v>
      </c>
      <c r="F386" s="10" t="b">
        <f aca="false">FALSE()</f>
        <v>0</v>
      </c>
      <c r="G386" s="0" t="n">
        <v>2</v>
      </c>
      <c r="H386" s="0" t="n">
        <f aca="false">_xlfn.xlookup(G386, years!A$2:A$836, years!B$2:B$836)</f>
        <v>1999</v>
      </c>
      <c r="I386" s="2" t="n">
        <v>62</v>
      </c>
      <c r="J386" s="0" t="n">
        <v>0.586</v>
      </c>
      <c r="K386" s="0" t="n">
        <v>0.659</v>
      </c>
      <c r="L386" s="3" t="str">
        <f aca="false">IF(K386&gt;0.66,"High",IF(K386&gt;0.33&amp;K386&lt;=0.66,"Medium","Low"))</f>
        <v>Low</v>
      </c>
      <c r="M386" s="0" t="n">
        <v>-7.92</v>
      </c>
      <c r="N386" s="3" t="n">
        <v>0.0304</v>
      </c>
      <c r="O386" s="3" t="n">
        <v>0.011</v>
      </c>
      <c r="P386" s="4" t="n">
        <v>0</v>
      </c>
      <c r="Q386" s="3" t="n">
        <v>0.106</v>
      </c>
      <c r="R386" s="3" t="n">
        <v>0.147</v>
      </c>
      <c r="S386" s="3" t="str">
        <f aca="false">IF(R386 &gt;= 0.5, "Positive", "Negative")</f>
        <v>Negative</v>
      </c>
      <c r="T386" s="2" t="n">
        <v>111.989</v>
      </c>
      <c r="U386" s="0" t="s">
        <v>35</v>
      </c>
    </row>
    <row r="387" customFormat="false" ht="14.25" hidden="false" customHeight="false" outlineLevel="0" collapsed="false">
      <c r="A387" s="0" t="n">
        <v>77</v>
      </c>
      <c r="B387" s="0" t="str">
        <f aca="false">_xlfn.xlookup(A387, artists!A$2:A$836, artists!B$2:B$836)</f>
        <v>Creed</v>
      </c>
      <c r="C387" s="1" t="s">
        <v>432</v>
      </c>
      <c r="D387" s="2" t="n">
        <v>242000</v>
      </c>
      <c r="E387" s="2" t="n">
        <f aca="false">D387/1000</f>
        <v>242</v>
      </c>
      <c r="F387" s="10" t="b">
        <f aca="false">FALSE()</f>
        <v>0</v>
      </c>
      <c r="G387" s="0" t="n">
        <v>18</v>
      </c>
      <c r="H387" s="0" t="n">
        <f aca="false">_xlfn.xlookup(G387, years!A$2:A$836, years!B$2:B$836)</f>
        <v>2015</v>
      </c>
      <c r="I387" s="2" t="n">
        <v>47</v>
      </c>
      <c r="J387" s="0" t="n">
        <v>0.38</v>
      </c>
      <c r="K387" s="0" t="n">
        <v>0.725</v>
      </c>
      <c r="L387" s="3" t="str">
        <f aca="false">IF(K387&gt;0.66,"High",IF(K387&gt;0.33&amp;K387&lt;=0.66,"Medium","Low"))</f>
        <v>High</v>
      </c>
      <c r="M387" s="0" t="n">
        <v>-6.094</v>
      </c>
      <c r="N387" s="3" t="n">
        <v>0.0365</v>
      </c>
      <c r="O387" s="3" t="n">
        <v>0.00571</v>
      </c>
      <c r="P387" s="4" t="n">
        <v>0.00015</v>
      </c>
      <c r="Q387" s="3" t="n">
        <v>0.3</v>
      </c>
      <c r="R387" s="3" t="n">
        <v>0.202</v>
      </c>
      <c r="S387" s="3" t="str">
        <f aca="false">IF(R387 &gt;= 0.5, "Positive", "Negative")</f>
        <v>Negative</v>
      </c>
      <c r="T387" s="2" t="n">
        <v>130.581</v>
      </c>
      <c r="U387" s="0" t="s">
        <v>221</v>
      </c>
    </row>
    <row r="388" customFormat="false" ht="14.25" hidden="false" customHeight="false" outlineLevel="0" collapsed="false">
      <c r="A388" s="0" t="n">
        <v>363</v>
      </c>
      <c r="B388" s="0" t="str">
        <f aca="false">_xlfn.xlookup(A388, artists!A$2:A$836, artists!B$2:B$836)</f>
        <v>Alex Gaudino</v>
      </c>
      <c r="C388" s="1" t="s">
        <v>433</v>
      </c>
      <c r="D388" s="2" t="n">
        <v>223111</v>
      </c>
      <c r="E388" s="2" t="n">
        <f aca="false">D388/1000</f>
        <v>223.111</v>
      </c>
      <c r="F388" s="10" t="b">
        <f aca="false">FALSE()</f>
        <v>0</v>
      </c>
      <c r="G388" s="0" t="n">
        <v>10</v>
      </c>
      <c r="H388" s="0" t="n">
        <f aca="false">_xlfn.xlookup(G388, years!A$2:A$836, years!B$2:B$836)</f>
        <v>2007</v>
      </c>
      <c r="I388" s="2" t="n">
        <v>73</v>
      </c>
      <c r="J388" s="0" t="n">
        <v>0.627</v>
      </c>
      <c r="K388" s="0" t="n">
        <v>0.954</v>
      </c>
      <c r="L388" s="3" t="str">
        <f aca="false">IF(K388&gt;0.66,"High",IF(K388&gt;0.33&amp;K388&lt;=0.66,"Medium","Low"))</f>
        <v>High</v>
      </c>
      <c r="M388" s="0" t="n">
        <v>-4.804</v>
      </c>
      <c r="N388" s="3" t="n">
        <v>0.0425</v>
      </c>
      <c r="O388" s="3" t="n">
        <v>0.0015</v>
      </c>
      <c r="P388" s="4" t="n">
        <v>0.000814</v>
      </c>
      <c r="Q388" s="3" t="n">
        <v>0.292</v>
      </c>
      <c r="R388" s="3" t="n">
        <v>0.312</v>
      </c>
      <c r="S388" s="3" t="str">
        <f aca="false">IF(R388 &gt;= 0.5, "Positive", "Negative")</f>
        <v>Negative</v>
      </c>
      <c r="T388" s="2" t="n">
        <v>128.016</v>
      </c>
      <c r="U388" s="0" t="s">
        <v>48</v>
      </c>
    </row>
    <row r="389" customFormat="false" ht="14.25" hidden="false" customHeight="false" outlineLevel="0" collapsed="false">
      <c r="A389" s="0" t="n">
        <v>291</v>
      </c>
      <c r="B389" s="0" t="str">
        <f aca="false">_xlfn.xlookup(A389, artists!A$2:A$836, artists!B$2:B$836)</f>
        <v>Chris Brown</v>
      </c>
      <c r="C389" s="1" t="s">
        <v>434</v>
      </c>
      <c r="D389" s="2" t="n">
        <v>276560</v>
      </c>
      <c r="E389" s="2" t="n">
        <f aca="false">D389/1000</f>
        <v>276.56</v>
      </c>
      <c r="F389" s="10" t="b">
        <f aca="false">TRUE()</f>
        <v>1</v>
      </c>
      <c r="G389" s="0" t="n">
        <v>14</v>
      </c>
      <c r="H389" s="0" t="n">
        <f aca="false">_xlfn.xlookup(G389, years!A$2:A$836, years!B$2:B$836)</f>
        <v>2011</v>
      </c>
      <c r="I389" s="2" t="n">
        <v>68</v>
      </c>
      <c r="J389" s="0" t="n">
        <v>0.692</v>
      </c>
      <c r="K389" s="0" t="n">
        <v>0.736</v>
      </c>
      <c r="L389" s="3" t="str">
        <f aca="false">IF(K389&gt;0.66,"High",IF(K389&gt;0.33&amp;K389&lt;=0.66,"Medium","Low"))</f>
        <v>High</v>
      </c>
      <c r="M389" s="0" t="n">
        <v>-5.109</v>
      </c>
      <c r="N389" s="3" t="n">
        <v>0.11</v>
      </c>
      <c r="O389" s="3" t="n">
        <v>0.0324</v>
      </c>
      <c r="P389" s="4" t="n">
        <v>0</v>
      </c>
      <c r="Q389" s="3" t="n">
        <v>0.0787</v>
      </c>
      <c r="R389" s="3" t="n">
        <v>0.217</v>
      </c>
      <c r="S389" s="3" t="str">
        <f aca="false">IF(R389 &gt;= 0.5, "Positive", "Negative")</f>
        <v>Negative</v>
      </c>
      <c r="T389" s="2" t="n">
        <v>73.987</v>
      </c>
      <c r="U389" s="0" t="s">
        <v>31</v>
      </c>
    </row>
    <row r="390" customFormat="false" ht="14.25" hidden="false" customHeight="false" outlineLevel="0" collapsed="false">
      <c r="A390" s="0" t="n">
        <v>283</v>
      </c>
      <c r="B390" s="0" t="str">
        <f aca="false">_xlfn.xlookup(A390, artists!A$2:A$836, artists!B$2:B$836)</f>
        <v>Rihanna</v>
      </c>
      <c r="C390" s="1" t="s">
        <v>435</v>
      </c>
      <c r="D390" s="2" t="n">
        <v>225146</v>
      </c>
      <c r="E390" s="2" t="n">
        <f aca="false">D390/1000</f>
        <v>225.146</v>
      </c>
      <c r="F390" s="10" t="b">
        <f aca="false">FALSE()</f>
        <v>0</v>
      </c>
      <c r="G390" s="0" t="n">
        <v>15</v>
      </c>
      <c r="H390" s="0" t="n">
        <f aca="false">_xlfn.xlookup(G390, years!A$2:A$836, years!B$2:B$836)</f>
        <v>2012</v>
      </c>
      <c r="I390" s="2" t="n">
        <v>75</v>
      </c>
      <c r="J390" s="0" t="n">
        <v>0.564</v>
      </c>
      <c r="K390" s="0" t="n">
        <v>0.71</v>
      </c>
      <c r="L390" s="3" t="str">
        <f aca="false">IF(K390&gt;0.66,"High",IF(K390&gt;0.33&amp;K390&lt;=0.66,"Medium","Low"))</f>
        <v>High</v>
      </c>
      <c r="M390" s="0" t="n">
        <v>-4.92</v>
      </c>
      <c r="N390" s="3" t="n">
        <v>0.0461</v>
      </c>
      <c r="O390" s="3" t="n">
        <v>0.00125</v>
      </c>
      <c r="P390" s="4" t="n">
        <v>0</v>
      </c>
      <c r="Q390" s="3" t="n">
        <v>0.109</v>
      </c>
      <c r="R390" s="3" t="n">
        <v>0.393</v>
      </c>
      <c r="S390" s="3" t="str">
        <f aca="false">IF(R390 &gt;= 0.5, "Positive", "Negative")</f>
        <v>Negative</v>
      </c>
      <c r="T390" s="2" t="n">
        <v>91.972</v>
      </c>
      <c r="U390" s="0" t="s">
        <v>31</v>
      </c>
    </row>
    <row r="391" customFormat="false" ht="14.25" hidden="false" customHeight="false" outlineLevel="0" collapsed="false">
      <c r="A391" s="0" t="n">
        <v>269</v>
      </c>
      <c r="B391" s="0" t="str">
        <f aca="false">_xlfn.xlookup(A391, artists!A$2:A$836, artists!B$2:B$836)</f>
        <v>Kanye West</v>
      </c>
      <c r="C391" s="1" t="s">
        <v>436</v>
      </c>
      <c r="D391" s="2" t="n">
        <v>233400</v>
      </c>
      <c r="E391" s="2" t="n">
        <f aca="false">D391/1000</f>
        <v>233.4</v>
      </c>
      <c r="F391" s="10" t="b">
        <f aca="false">TRUE()</f>
        <v>1</v>
      </c>
      <c r="G391" s="0" t="n">
        <v>8</v>
      </c>
      <c r="H391" s="0" t="n">
        <f aca="false">_xlfn.xlookup(G391, years!A$2:A$836, years!B$2:B$836)</f>
        <v>2005</v>
      </c>
      <c r="I391" s="2" t="n">
        <v>61</v>
      </c>
      <c r="J391" s="0" t="n">
        <v>0.672</v>
      </c>
      <c r="K391" s="0" t="n">
        <v>0.814</v>
      </c>
      <c r="L391" s="3" t="str">
        <f aca="false">IF(K391&gt;0.66,"High",IF(K391&gt;0.33&amp;K391&lt;=0.66,"Medium","Low"))</f>
        <v>High</v>
      </c>
      <c r="M391" s="0" t="n">
        <v>-3.768</v>
      </c>
      <c r="N391" s="3" t="n">
        <v>0.27</v>
      </c>
      <c r="O391" s="3" t="n">
        <v>0.258</v>
      </c>
      <c r="P391" s="4" t="n">
        <v>0</v>
      </c>
      <c r="Q391" s="3" t="n">
        <v>0.164</v>
      </c>
      <c r="R391" s="3" t="n">
        <v>0.379</v>
      </c>
      <c r="S391" s="3" t="str">
        <f aca="false">IF(R391 &gt;= 0.5, "Positive", "Negative")</f>
        <v>Negative</v>
      </c>
      <c r="T391" s="2" t="n">
        <v>97.043</v>
      </c>
      <c r="U391" s="0" t="s">
        <v>29</v>
      </c>
    </row>
    <row r="392" customFormat="false" ht="14.25" hidden="false" customHeight="false" outlineLevel="0" collapsed="false">
      <c r="A392" s="0" t="n">
        <v>179</v>
      </c>
      <c r="B392" s="0" t="str">
        <f aca="false">_xlfn.xlookup(A392, artists!A$2:A$836, artists!B$2:B$836)</f>
        <v>Alicia Keys</v>
      </c>
      <c r="C392" s="1" t="s">
        <v>437</v>
      </c>
      <c r="D392" s="2" t="n">
        <v>284160</v>
      </c>
      <c r="E392" s="2" t="n">
        <f aca="false">D392/1000</f>
        <v>284.16</v>
      </c>
      <c r="F392" s="10" t="b">
        <f aca="false">FALSE()</f>
        <v>0</v>
      </c>
      <c r="G392" s="0" t="n">
        <v>6</v>
      </c>
      <c r="H392" s="0" t="n">
        <f aca="false">_xlfn.xlookup(G392, years!A$2:A$836, years!B$2:B$836)</f>
        <v>2003</v>
      </c>
      <c r="I392" s="2" t="n">
        <v>55</v>
      </c>
      <c r="J392" s="0" t="n">
        <v>0.663</v>
      </c>
      <c r="K392" s="0" t="n">
        <v>0.465</v>
      </c>
      <c r="L392" s="3" t="str">
        <f aca="false">IF(K392&gt;0.66,"High",IF(K392&gt;0.33&amp;K392&lt;=0.66,"Medium","Low"))</f>
        <v>Low</v>
      </c>
      <c r="M392" s="0" t="n">
        <v>-9.711</v>
      </c>
      <c r="N392" s="3" t="n">
        <v>0.0317</v>
      </c>
      <c r="O392" s="3" t="n">
        <v>0.555</v>
      </c>
      <c r="P392" s="4" t="n">
        <v>0.00183</v>
      </c>
      <c r="Q392" s="3" t="n">
        <v>0.125</v>
      </c>
      <c r="R392" s="3" t="n">
        <v>0.279</v>
      </c>
      <c r="S392" s="3" t="str">
        <f aca="false">IF(R392 &gt;= 0.5, "Positive", "Negative")</f>
        <v>Negative</v>
      </c>
      <c r="T392" s="2" t="n">
        <v>127.932</v>
      </c>
      <c r="U392" s="0" t="s">
        <v>33</v>
      </c>
    </row>
    <row r="393" customFormat="false" ht="14.25" hidden="false" customHeight="false" outlineLevel="0" collapsed="false">
      <c r="A393" s="0" t="n">
        <v>31</v>
      </c>
      <c r="B393" s="0" t="str">
        <f aca="false">_xlfn.xlookup(A393, artists!A$2:A$836, artists!B$2:B$836)</f>
        <v>Madonna</v>
      </c>
      <c r="C393" s="1" t="s">
        <v>438</v>
      </c>
      <c r="D393" s="2" t="n">
        <v>276360</v>
      </c>
      <c r="E393" s="2" t="n">
        <f aca="false">D393/1000</f>
        <v>276.36</v>
      </c>
      <c r="F393" s="10" t="b">
        <f aca="false">FALSE()</f>
        <v>0</v>
      </c>
      <c r="G393" s="0" t="n">
        <v>6</v>
      </c>
      <c r="H393" s="0" t="n">
        <f aca="false">_xlfn.xlookup(G393, years!A$2:A$836, years!B$2:B$836)</f>
        <v>2003</v>
      </c>
      <c r="I393" s="2" t="n">
        <v>53</v>
      </c>
      <c r="J393" s="0" t="n">
        <v>0.792</v>
      </c>
      <c r="K393" s="0" t="n">
        <v>0.797</v>
      </c>
      <c r="L393" s="3" t="str">
        <f aca="false">IF(K393&gt;0.66,"High",IF(K393&gt;0.33&amp;K393&lt;=0.66,"Medium","Low"))</f>
        <v>High</v>
      </c>
      <c r="M393" s="0" t="n">
        <v>-5.166</v>
      </c>
      <c r="N393" s="3" t="n">
        <v>0.0901</v>
      </c>
      <c r="O393" s="3" t="n">
        <v>0.062</v>
      </c>
      <c r="P393" s="4" t="n">
        <v>0.00325</v>
      </c>
      <c r="Q393" s="3" t="n">
        <v>0.0896</v>
      </c>
      <c r="R393" s="3" t="n">
        <v>0.491</v>
      </c>
      <c r="S393" s="3" t="str">
        <f aca="false">IF(R393 &gt;= 0.5, "Positive", "Negative")</f>
        <v>Negative</v>
      </c>
      <c r="T393" s="2" t="n">
        <v>123.993</v>
      </c>
      <c r="U393" s="0" t="s">
        <v>39</v>
      </c>
    </row>
    <row r="394" customFormat="false" ht="14.25" hidden="false" customHeight="false" outlineLevel="0" collapsed="false">
      <c r="A394" s="0" t="n">
        <v>471</v>
      </c>
      <c r="B394" s="0" t="str">
        <f aca="false">_xlfn.xlookup(A394, artists!A$2:A$836, artists!B$2:B$836)</f>
        <v>Kesha</v>
      </c>
      <c r="C394" s="1" t="s">
        <v>439</v>
      </c>
      <c r="D394" s="2" t="n">
        <v>211920</v>
      </c>
      <c r="E394" s="2" t="n">
        <f aca="false">D394/1000</f>
        <v>211.92</v>
      </c>
      <c r="F394" s="10" t="b">
        <f aca="false">FALSE()</f>
        <v>0</v>
      </c>
      <c r="G394" s="0" t="n">
        <v>15</v>
      </c>
      <c r="H394" s="0" t="n">
        <f aca="false">_xlfn.xlookup(G394, years!A$2:A$836, years!B$2:B$836)</f>
        <v>2012</v>
      </c>
      <c r="I394" s="2" t="n">
        <v>78</v>
      </c>
      <c r="J394" s="0" t="n">
        <v>0.711</v>
      </c>
      <c r="K394" s="0" t="n">
        <v>0.7</v>
      </c>
      <c r="L394" s="3" t="str">
        <f aca="false">IF(K394&gt;0.66,"High",IF(K394&gt;0.33&amp;K394&lt;=0.66,"Medium","Low"))</f>
        <v>High</v>
      </c>
      <c r="M394" s="0" t="n">
        <v>-4.805</v>
      </c>
      <c r="N394" s="3" t="n">
        <v>0.046</v>
      </c>
      <c r="O394" s="3" t="n">
        <v>0.00498</v>
      </c>
      <c r="P394" s="4" t="n">
        <v>0.000125</v>
      </c>
      <c r="Q394" s="3" t="n">
        <v>0.215</v>
      </c>
      <c r="R394" s="3" t="n">
        <v>0.801</v>
      </c>
      <c r="S394" s="3" t="str">
        <f aca="false">IF(R394 &gt;= 0.5, "Positive", "Negative")</f>
        <v>Positive</v>
      </c>
      <c r="T394" s="2" t="n">
        <v>128.001</v>
      </c>
      <c r="U394" s="0" t="s">
        <v>22</v>
      </c>
    </row>
    <row r="395" customFormat="false" ht="14.25" hidden="false" customHeight="false" outlineLevel="0" collapsed="false">
      <c r="A395" s="0" t="n">
        <v>144</v>
      </c>
      <c r="B395" s="0" t="str">
        <f aca="false">_xlfn.xlookup(A395, artists!A$2:A$836, artists!B$2:B$836)</f>
        <v>Ginuwine</v>
      </c>
      <c r="C395" s="1" t="s">
        <v>440</v>
      </c>
      <c r="D395" s="2" t="n">
        <v>265533</v>
      </c>
      <c r="E395" s="2" t="n">
        <f aca="false">D395/1000</f>
        <v>265.533</v>
      </c>
      <c r="F395" s="10" t="b">
        <f aca="false">FALSE()</f>
        <v>0</v>
      </c>
      <c r="G395" s="0" t="n">
        <v>4</v>
      </c>
      <c r="H395" s="0" t="n">
        <f aca="false">_xlfn.xlookup(G395, years!A$2:A$836, years!B$2:B$836)</f>
        <v>2001</v>
      </c>
      <c r="I395" s="2" t="n">
        <v>65</v>
      </c>
      <c r="J395" s="0" t="n">
        <v>0.562</v>
      </c>
      <c r="K395" s="0" t="n">
        <v>0.594</v>
      </c>
      <c r="L395" s="3" t="str">
        <f aca="false">IF(K395&gt;0.66,"High",IF(K395&gt;0.33&amp;K395&lt;=0.66,"Medium","Low"))</f>
        <v>Low</v>
      </c>
      <c r="M395" s="0" t="n">
        <v>-4.578</v>
      </c>
      <c r="N395" s="3" t="n">
        <v>0.0558</v>
      </c>
      <c r="O395" s="3" t="n">
        <v>0.318</v>
      </c>
      <c r="P395" s="4" t="n">
        <v>0</v>
      </c>
      <c r="Q395" s="3" t="n">
        <v>0.311</v>
      </c>
      <c r="R395" s="3" t="n">
        <v>0.423</v>
      </c>
      <c r="S395" s="3" t="str">
        <f aca="false">IF(R395 &gt;= 0.5, "Positive", "Negative")</f>
        <v>Negative</v>
      </c>
      <c r="T395" s="2" t="n">
        <v>62.876</v>
      </c>
      <c r="U395" s="0" t="s">
        <v>31</v>
      </c>
    </row>
    <row r="396" customFormat="false" ht="14.25" hidden="false" customHeight="false" outlineLevel="0" collapsed="false">
      <c r="A396" s="0" t="n">
        <v>81</v>
      </c>
      <c r="B396" s="0" t="str">
        <f aca="false">_xlfn.xlookup(A396, artists!A$2:A$836, artists!B$2:B$836)</f>
        <v>Nelly</v>
      </c>
      <c r="C396" s="1" t="s">
        <v>441</v>
      </c>
      <c r="D396" s="2" t="n">
        <v>289160</v>
      </c>
      <c r="E396" s="2" t="n">
        <f aca="false">D396/1000</f>
        <v>289.16</v>
      </c>
      <c r="F396" s="10" t="b">
        <f aca="false">TRUE()</f>
        <v>1</v>
      </c>
      <c r="G396" s="0" t="n">
        <v>5</v>
      </c>
      <c r="H396" s="0" t="n">
        <f aca="false">_xlfn.xlookup(G396, years!A$2:A$836, years!B$2:B$836)</f>
        <v>2002</v>
      </c>
      <c r="I396" s="2" t="n">
        <v>77</v>
      </c>
      <c r="J396" s="0" t="n">
        <v>0.727</v>
      </c>
      <c r="K396" s="0" t="n">
        <v>0.552</v>
      </c>
      <c r="L396" s="3" t="str">
        <f aca="false">IF(K396&gt;0.66,"High",IF(K396&gt;0.33&amp;K396&lt;=0.66,"Medium","Low"))</f>
        <v>Low</v>
      </c>
      <c r="M396" s="0" t="n">
        <v>-8.074</v>
      </c>
      <c r="N396" s="3" t="n">
        <v>0.14</v>
      </c>
      <c r="O396" s="3" t="n">
        <v>0.227</v>
      </c>
      <c r="P396" s="4" t="n">
        <v>0.000164</v>
      </c>
      <c r="Q396" s="3" t="n">
        <v>0.198</v>
      </c>
      <c r="R396" s="3" t="n">
        <v>0.607</v>
      </c>
      <c r="S396" s="3" t="str">
        <f aca="false">IF(R396 &gt;= 0.5, "Positive", "Negative")</f>
        <v>Positive</v>
      </c>
      <c r="T396" s="2" t="n">
        <v>168.189</v>
      </c>
      <c r="U396" s="0" t="s">
        <v>31</v>
      </c>
    </row>
    <row r="397" customFormat="false" ht="14.25" hidden="false" customHeight="false" outlineLevel="0" collapsed="false">
      <c r="A397" s="0" t="n">
        <v>108</v>
      </c>
      <c r="B397" s="0" t="str">
        <f aca="false">_xlfn.xlookup(A397, artists!A$2:A$836, artists!B$2:B$836)</f>
        <v>Christina Milian</v>
      </c>
      <c r="C397" s="1" t="s">
        <v>442</v>
      </c>
      <c r="D397" s="2" t="n">
        <v>197186</v>
      </c>
      <c r="E397" s="2" t="n">
        <f aca="false">D397/1000</f>
        <v>197.186</v>
      </c>
      <c r="F397" s="10" t="b">
        <f aca="false">FALSE()</f>
        <v>0</v>
      </c>
      <c r="G397" s="0" t="n">
        <v>7</v>
      </c>
      <c r="H397" s="0" t="n">
        <f aca="false">_xlfn.xlookup(G397, years!A$2:A$836, years!B$2:B$836)</f>
        <v>2004</v>
      </c>
      <c r="I397" s="2" t="n">
        <v>45</v>
      </c>
      <c r="J397" s="0" t="n">
        <v>0.752</v>
      </c>
      <c r="K397" s="0" t="n">
        <v>0.722</v>
      </c>
      <c r="L397" s="3" t="str">
        <f aca="false">IF(K397&gt;0.66,"High",IF(K397&gt;0.33&amp;K397&lt;=0.66,"Medium","Low"))</f>
        <v>High</v>
      </c>
      <c r="M397" s="0" t="n">
        <v>-4.207</v>
      </c>
      <c r="N397" s="3" t="n">
        <v>0.104</v>
      </c>
      <c r="O397" s="3" t="n">
        <v>0.0108</v>
      </c>
      <c r="P397" s="4" t="n">
        <v>0.000536</v>
      </c>
      <c r="Q397" s="3" t="n">
        <v>0.0753</v>
      </c>
      <c r="R397" s="3" t="n">
        <v>0.612</v>
      </c>
      <c r="S397" s="3" t="str">
        <f aca="false">IF(R397 &gt;= 0.5, "Positive", "Negative")</f>
        <v>Positive</v>
      </c>
      <c r="T397" s="2" t="n">
        <v>169.131</v>
      </c>
      <c r="U397" s="0" t="s">
        <v>31</v>
      </c>
    </row>
    <row r="398" customFormat="false" ht="14.25" hidden="false" customHeight="false" outlineLevel="0" collapsed="false">
      <c r="A398" s="0" t="n">
        <v>57</v>
      </c>
      <c r="B398" s="0" t="str">
        <f aca="false">_xlfn.xlookup(A398, artists!A$2:A$836, artists!B$2:B$836)</f>
        <v>Christina Aguilera</v>
      </c>
      <c r="C398" s="1" t="s">
        <v>443</v>
      </c>
      <c r="D398" s="2" t="n">
        <v>298853</v>
      </c>
      <c r="E398" s="2" t="n">
        <f aca="false">D398/1000</f>
        <v>298.853</v>
      </c>
      <c r="F398" s="10" t="b">
        <f aca="false">FALSE()</f>
        <v>0</v>
      </c>
      <c r="G398" s="0" t="n">
        <v>5</v>
      </c>
      <c r="H398" s="0" t="n">
        <f aca="false">_xlfn.xlookup(G398, years!A$2:A$836, years!B$2:B$836)</f>
        <v>2002</v>
      </c>
      <c r="I398" s="2" t="n">
        <v>68</v>
      </c>
      <c r="J398" s="0" t="n">
        <v>0.64</v>
      </c>
      <c r="K398" s="0" t="n">
        <v>0.889</v>
      </c>
      <c r="L398" s="3" t="str">
        <f aca="false">IF(K398&gt;0.66,"High",IF(K398&gt;0.33&amp;K398&lt;=0.66,"Medium","Low"))</f>
        <v>High</v>
      </c>
      <c r="M398" s="0" t="n">
        <v>-3.073</v>
      </c>
      <c r="N398" s="3" t="n">
        <v>0.322</v>
      </c>
      <c r="O398" s="3" t="n">
        <v>0.107</v>
      </c>
      <c r="P398" s="4" t="n">
        <v>0</v>
      </c>
      <c r="Q398" s="3" t="n">
        <v>0.339</v>
      </c>
      <c r="R398" s="3" t="n">
        <v>0.436</v>
      </c>
      <c r="S398" s="3" t="str">
        <f aca="false">IF(R398 &gt;= 0.5, "Positive", "Negative")</f>
        <v>Negative</v>
      </c>
      <c r="T398" s="2" t="n">
        <v>99.931</v>
      </c>
      <c r="U398" s="0" t="s">
        <v>39</v>
      </c>
    </row>
    <row r="399" customFormat="false" ht="14.25" hidden="false" customHeight="false" outlineLevel="0" collapsed="false">
      <c r="A399" s="0" t="n">
        <v>35</v>
      </c>
      <c r="B399" s="0" t="str">
        <f aca="false">_xlfn.xlookup(A399, artists!A$2:A$836, artists!B$2:B$836)</f>
        <v>JAY-Z</v>
      </c>
      <c r="C399" s="1" t="s">
        <v>444</v>
      </c>
      <c r="D399" s="2" t="n">
        <v>245173</v>
      </c>
      <c r="E399" s="2" t="n">
        <f aca="false">D399/1000</f>
        <v>245.173</v>
      </c>
      <c r="F399" s="10" t="b">
        <f aca="false">TRUE()</f>
        <v>1</v>
      </c>
      <c r="G399" s="0" t="n">
        <v>6</v>
      </c>
      <c r="H399" s="0" t="n">
        <f aca="false">_xlfn.xlookup(G399, years!A$2:A$836, years!B$2:B$836)</f>
        <v>2003</v>
      </c>
      <c r="I399" s="2" t="n">
        <v>53</v>
      </c>
      <c r="J399" s="0" t="n">
        <v>0.779</v>
      </c>
      <c r="K399" s="0" t="n">
        <v>0.655</v>
      </c>
      <c r="L399" s="3" t="str">
        <f aca="false">IF(K399&gt;0.66,"High",IF(K399&gt;0.33&amp;K399&lt;=0.66,"Medium","Low"))</f>
        <v>Low</v>
      </c>
      <c r="M399" s="0" t="n">
        <v>-7.147</v>
      </c>
      <c r="N399" s="3" t="n">
        <v>0.318</v>
      </c>
      <c r="O399" s="3" t="n">
        <v>0.0319</v>
      </c>
      <c r="P399" s="4" t="n">
        <v>2.63E-006</v>
      </c>
      <c r="Q399" s="3" t="n">
        <v>0.339</v>
      </c>
      <c r="R399" s="3" t="n">
        <v>0.645</v>
      </c>
      <c r="S399" s="3" t="str">
        <f aca="false">IF(R399 &gt;= 0.5, "Positive", "Negative")</f>
        <v>Positive</v>
      </c>
      <c r="T399" s="2" t="n">
        <v>163.971</v>
      </c>
      <c r="U399" s="0" t="s">
        <v>29</v>
      </c>
    </row>
    <row r="400" customFormat="false" ht="14.25" hidden="false" customHeight="false" outlineLevel="0" collapsed="false">
      <c r="A400" s="0" t="n">
        <v>465</v>
      </c>
      <c r="B400" s="0" t="str">
        <f aca="false">_xlfn.xlookup(A400, artists!A$2:A$836, artists!B$2:B$836)</f>
        <v>Jason Aldean</v>
      </c>
      <c r="C400" s="1" t="s">
        <v>445</v>
      </c>
      <c r="D400" s="2" t="n">
        <v>229413</v>
      </c>
      <c r="E400" s="2" t="n">
        <f aca="false">D400/1000</f>
        <v>229.413</v>
      </c>
      <c r="F400" s="10" t="b">
        <f aca="false">FALSE()</f>
        <v>0</v>
      </c>
      <c r="G400" s="0" t="n">
        <v>13</v>
      </c>
      <c r="H400" s="0" t="n">
        <f aca="false">_xlfn.xlookup(G400, years!A$2:A$836, years!B$2:B$836)</f>
        <v>2010</v>
      </c>
      <c r="I400" s="2" t="n">
        <v>53</v>
      </c>
      <c r="J400" s="0" t="n">
        <v>0.678</v>
      </c>
      <c r="K400" s="0" t="n">
        <v>0.739</v>
      </c>
      <c r="L400" s="3" t="str">
        <f aca="false">IF(K400&gt;0.66,"High",IF(K400&gt;0.33&amp;K400&lt;=0.66,"Medium","Low"))</f>
        <v>High</v>
      </c>
      <c r="M400" s="0" t="n">
        <v>-5.068</v>
      </c>
      <c r="N400" s="3" t="n">
        <v>0.0352</v>
      </c>
      <c r="O400" s="3" t="n">
        <v>0.32</v>
      </c>
      <c r="P400" s="4" t="n">
        <v>2.36E-006</v>
      </c>
      <c r="Q400" s="3" t="n">
        <v>0.116</v>
      </c>
      <c r="R400" s="3" t="n">
        <v>0.658</v>
      </c>
      <c r="S400" s="3" t="str">
        <f aca="false">IF(R400 &gt;= 0.5, "Positive", "Negative")</f>
        <v>Positive</v>
      </c>
      <c r="T400" s="2" t="n">
        <v>127.037</v>
      </c>
      <c r="U400" s="0" t="s">
        <v>150</v>
      </c>
    </row>
    <row r="401" customFormat="false" ht="14.25" hidden="false" customHeight="false" outlineLevel="0" collapsed="false">
      <c r="A401" s="0" t="n">
        <v>314</v>
      </c>
      <c r="B401" s="0" t="str">
        <f aca="false">_xlfn.xlookup(A401, artists!A$2:A$836, artists!B$2:B$836)</f>
        <v>The All-American Rejects</v>
      </c>
      <c r="C401" s="1" t="s">
        <v>446</v>
      </c>
      <c r="D401" s="2" t="n">
        <v>193653</v>
      </c>
      <c r="E401" s="2" t="n">
        <f aca="false">D401/1000</f>
        <v>193.653</v>
      </c>
      <c r="F401" s="10" t="b">
        <f aca="false">FALSE()</f>
        <v>0</v>
      </c>
      <c r="G401" s="0" t="n">
        <v>8</v>
      </c>
      <c r="H401" s="0" t="n">
        <f aca="false">_xlfn.xlookup(G401, years!A$2:A$836, years!B$2:B$836)</f>
        <v>2005</v>
      </c>
      <c r="I401" s="2" t="n">
        <v>65</v>
      </c>
      <c r="J401" s="0" t="n">
        <v>0.469</v>
      </c>
      <c r="K401" s="0" t="n">
        <v>0.955</v>
      </c>
      <c r="L401" s="3" t="str">
        <f aca="false">IF(K401&gt;0.66,"High",IF(K401&gt;0.33&amp;K401&lt;=0.66,"Medium","Low"))</f>
        <v>High</v>
      </c>
      <c r="M401" s="0" t="n">
        <v>-4.253</v>
      </c>
      <c r="N401" s="3" t="n">
        <v>0.0432</v>
      </c>
      <c r="O401" s="3" t="n">
        <v>0.000343</v>
      </c>
      <c r="P401" s="4" t="n">
        <v>1.35E-006</v>
      </c>
      <c r="Q401" s="3" t="n">
        <v>0.548</v>
      </c>
      <c r="R401" s="3" t="n">
        <v>0.462</v>
      </c>
      <c r="S401" s="3" t="str">
        <f aca="false">IF(R401 &gt;= 0.5, "Positive", "Negative")</f>
        <v>Negative</v>
      </c>
      <c r="T401" s="2" t="n">
        <v>143.853</v>
      </c>
      <c r="U401" s="0" t="s">
        <v>35</v>
      </c>
    </row>
    <row r="402" customFormat="false" ht="14.25" hidden="false" customHeight="false" outlineLevel="0" collapsed="false">
      <c r="A402" s="0" t="n">
        <v>191</v>
      </c>
      <c r="B402" s="0" t="str">
        <f aca="false">_xlfn.xlookup(A402, artists!A$2:A$836, artists!B$2:B$836)</f>
        <v>50 Cent</v>
      </c>
      <c r="C402" s="1" t="s">
        <v>447</v>
      </c>
      <c r="D402" s="2" t="n">
        <v>214226</v>
      </c>
      <c r="E402" s="2" t="n">
        <f aca="false">D402/1000</f>
        <v>214.226</v>
      </c>
      <c r="F402" s="10" t="b">
        <f aca="false">TRUE()</f>
        <v>1</v>
      </c>
      <c r="G402" s="0" t="n">
        <v>8</v>
      </c>
      <c r="H402" s="0" t="n">
        <f aca="false">_xlfn.xlookup(G402, years!A$2:A$836, years!B$2:B$836)</f>
        <v>2005</v>
      </c>
      <c r="I402" s="2" t="n">
        <v>72</v>
      </c>
      <c r="J402" s="0" t="n">
        <v>0.925</v>
      </c>
      <c r="K402" s="0" t="n">
        <v>0.659</v>
      </c>
      <c r="L402" s="3" t="str">
        <f aca="false">IF(K402&gt;0.66,"High",IF(K402&gt;0.33&amp;K402&lt;=0.66,"Medium","Low"))</f>
        <v>Low</v>
      </c>
      <c r="M402" s="0" t="n">
        <v>-4.763</v>
      </c>
      <c r="N402" s="3" t="n">
        <v>0.231</v>
      </c>
      <c r="O402" s="3" t="n">
        <v>0.206</v>
      </c>
      <c r="P402" s="4" t="n">
        <v>7.88E-005</v>
      </c>
      <c r="Q402" s="3" t="n">
        <v>0.279</v>
      </c>
      <c r="R402" s="3" t="n">
        <v>0.71</v>
      </c>
      <c r="S402" s="3" t="str">
        <f aca="false">IF(R402 &gt;= 0.5, "Positive", "Negative")</f>
        <v>Positive</v>
      </c>
      <c r="T402" s="2" t="n">
        <v>97.018</v>
      </c>
      <c r="U402" s="0" t="s">
        <v>24</v>
      </c>
    </row>
    <row r="403" customFormat="false" ht="14.25" hidden="false" customHeight="false" outlineLevel="0" collapsed="false">
      <c r="A403" s="0" t="n">
        <v>283</v>
      </c>
      <c r="B403" s="0" t="str">
        <f aca="false">_xlfn.xlookup(A403, artists!A$2:A$836, artists!B$2:B$836)</f>
        <v>Rihanna</v>
      </c>
      <c r="C403" s="1" t="s">
        <v>448</v>
      </c>
      <c r="D403" s="2" t="n">
        <v>238626</v>
      </c>
      <c r="E403" s="2" t="n">
        <f aca="false">D403/1000</f>
        <v>238.626</v>
      </c>
      <c r="F403" s="10" t="b">
        <f aca="false">FALSE()</f>
        <v>0</v>
      </c>
      <c r="G403" s="0" t="n">
        <v>11</v>
      </c>
      <c r="H403" s="0" t="n">
        <f aca="false">_xlfn.xlookup(G403, years!A$2:A$836, years!B$2:B$836)</f>
        <v>2008</v>
      </c>
      <c r="I403" s="2" t="n">
        <v>76</v>
      </c>
      <c r="J403" s="0" t="n">
        <v>0.707</v>
      </c>
      <c r="K403" s="0" t="n">
        <v>0.813</v>
      </c>
      <c r="L403" s="3" t="str">
        <f aca="false">IF(K403&gt;0.66,"High",IF(K403&gt;0.33&amp;K403&lt;=0.66,"Medium","Low"))</f>
        <v>High</v>
      </c>
      <c r="M403" s="0" t="n">
        <v>-4.515</v>
      </c>
      <c r="N403" s="3" t="n">
        <v>0.0571</v>
      </c>
      <c r="O403" s="3" t="n">
        <v>0.0863</v>
      </c>
      <c r="P403" s="4" t="n">
        <v>0</v>
      </c>
      <c r="Q403" s="3" t="n">
        <v>0.168</v>
      </c>
      <c r="R403" s="3" t="n">
        <v>0.722</v>
      </c>
      <c r="S403" s="3" t="str">
        <f aca="false">IF(R403 &gt;= 0.5, "Positive", "Negative")</f>
        <v>Positive</v>
      </c>
      <c r="T403" s="2" t="n">
        <v>124.921</v>
      </c>
      <c r="U403" s="0" t="s">
        <v>31</v>
      </c>
    </row>
    <row r="404" customFormat="false" ht="14.25" hidden="false" customHeight="false" outlineLevel="0" collapsed="false">
      <c r="A404" s="0" t="n">
        <v>120</v>
      </c>
      <c r="B404" s="0" t="str">
        <f aca="false">_xlfn.xlookup(A404, artists!A$2:A$836, artists!B$2:B$836)</f>
        <v>Usher</v>
      </c>
      <c r="C404" s="1" t="s">
        <v>449</v>
      </c>
      <c r="D404" s="2" t="n">
        <v>220800</v>
      </c>
      <c r="E404" s="2" t="n">
        <f aca="false">D404/1000</f>
        <v>220.8</v>
      </c>
      <c r="F404" s="10" t="b">
        <f aca="false">FALSE()</f>
        <v>0</v>
      </c>
      <c r="G404" s="0" t="n">
        <v>13</v>
      </c>
      <c r="H404" s="0" t="n">
        <f aca="false">_xlfn.xlookup(G404, years!A$2:A$836, years!B$2:B$836)</f>
        <v>2010</v>
      </c>
      <c r="I404" s="2" t="n">
        <v>79</v>
      </c>
      <c r="J404" s="0" t="n">
        <v>0.663</v>
      </c>
      <c r="K404" s="0" t="n">
        <v>0.861</v>
      </c>
      <c r="L404" s="3" t="str">
        <f aca="false">IF(K404&gt;0.66,"High",IF(K404&gt;0.33&amp;K404&lt;=0.66,"Medium","Low"))</f>
        <v>High</v>
      </c>
      <c r="M404" s="0" t="n">
        <v>-3.398</v>
      </c>
      <c r="N404" s="3" t="n">
        <v>0.109</v>
      </c>
      <c r="O404" s="3" t="n">
        <v>0.0338</v>
      </c>
      <c r="P404" s="4" t="n">
        <v>0</v>
      </c>
      <c r="Q404" s="3" t="n">
        <v>0.082</v>
      </c>
      <c r="R404" s="3" t="n">
        <v>0.654</v>
      </c>
      <c r="S404" s="3" t="str">
        <f aca="false">IF(R404 &gt;= 0.5, "Positive", "Negative")</f>
        <v>Positive</v>
      </c>
      <c r="T404" s="2" t="n">
        <v>119.963</v>
      </c>
      <c r="U404" s="0" t="s">
        <v>31</v>
      </c>
    </row>
    <row r="405" customFormat="false" ht="14.25" hidden="false" customHeight="false" outlineLevel="0" collapsed="false">
      <c r="A405" s="0" t="n">
        <v>539</v>
      </c>
      <c r="B405" s="0" t="str">
        <f aca="false">_xlfn.xlookup(A405, artists!A$2:A$836, artists!B$2:B$836)</f>
        <v>Kendrick Lamar</v>
      </c>
      <c r="C405" s="1" t="s">
        <v>450</v>
      </c>
      <c r="D405" s="2" t="n">
        <v>185946</v>
      </c>
      <c r="E405" s="2" t="n">
        <f aca="false">D405/1000</f>
        <v>185.946</v>
      </c>
      <c r="F405" s="10" t="b">
        <f aca="false">TRUE()</f>
        <v>1</v>
      </c>
      <c r="G405" s="0" t="n">
        <v>20</v>
      </c>
      <c r="H405" s="0" t="n">
        <f aca="false">_xlfn.xlookup(G405, years!A$2:A$836, years!B$2:B$836)</f>
        <v>2017</v>
      </c>
      <c r="I405" s="2" t="n">
        <v>0</v>
      </c>
      <c r="J405" s="0" t="n">
        <v>0.636</v>
      </c>
      <c r="K405" s="0" t="n">
        <v>0.517</v>
      </c>
      <c r="L405" s="3" t="str">
        <f aca="false">IF(K405&gt;0.66,"High",IF(K405&gt;0.33&amp;K405&lt;=0.66,"Medium","Low"))</f>
        <v>Low</v>
      </c>
      <c r="M405" s="0" t="n">
        <v>-6.759</v>
      </c>
      <c r="N405" s="3" t="n">
        <v>0.36</v>
      </c>
      <c r="O405" s="3" t="n">
        <v>0.00402</v>
      </c>
      <c r="P405" s="4" t="n">
        <v>0</v>
      </c>
      <c r="Q405" s="3" t="n">
        <v>0.0874</v>
      </c>
      <c r="R405" s="3" t="n">
        <v>0.394</v>
      </c>
      <c r="S405" s="3" t="str">
        <f aca="false">IF(R405 &gt;= 0.5, "Positive", "Negative")</f>
        <v>Negative</v>
      </c>
      <c r="T405" s="2" t="n">
        <v>139.928</v>
      </c>
      <c r="U405" s="0" t="s">
        <v>29</v>
      </c>
    </row>
    <row r="406" customFormat="false" ht="14.25" hidden="false" customHeight="false" outlineLevel="0" collapsed="false">
      <c r="A406" s="0" t="n">
        <v>308</v>
      </c>
      <c r="B406" s="0" t="str">
        <f aca="false">_xlfn.xlookup(A406, artists!A$2:A$836, artists!B$2:B$836)</f>
        <v>Arctic Monkeys</v>
      </c>
      <c r="C406" s="1" t="s">
        <v>451</v>
      </c>
      <c r="D406" s="2" t="n">
        <v>272394</v>
      </c>
      <c r="E406" s="2" t="n">
        <f aca="false">D406/1000</f>
        <v>272.394</v>
      </c>
      <c r="F406" s="10" t="b">
        <f aca="false">FALSE()</f>
        <v>0</v>
      </c>
      <c r="G406" s="0" t="n">
        <v>16</v>
      </c>
      <c r="H406" s="0" t="n">
        <f aca="false">_xlfn.xlookup(G406, years!A$2:A$836, years!B$2:B$836)</f>
        <v>2013</v>
      </c>
      <c r="I406" s="2" t="n">
        <v>84</v>
      </c>
      <c r="J406" s="0" t="n">
        <v>0.548</v>
      </c>
      <c r="K406" s="0" t="n">
        <v>0.532</v>
      </c>
      <c r="L406" s="3" t="str">
        <f aca="false">IF(K406&gt;0.66,"High",IF(K406&gt;0.33&amp;K406&lt;=0.66,"Medium","Low"))</f>
        <v>Low</v>
      </c>
      <c r="M406" s="0" t="n">
        <v>-7.596</v>
      </c>
      <c r="N406" s="3" t="n">
        <v>0.0323</v>
      </c>
      <c r="O406" s="3" t="n">
        <v>0.186</v>
      </c>
      <c r="P406" s="4" t="n">
        <v>0.000263</v>
      </c>
      <c r="Q406" s="3" t="n">
        <v>0.217</v>
      </c>
      <c r="R406" s="3" t="n">
        <v>0.405</v>
      </c>
      <c r="S406" s="3" t="str">
        <f aca="false">IF(R406 &gt;= 0.5, "Positive", "Negative")</f>
        <v>Negative</v>
      </c>
      <c r="T406" s="2" t="n">
        <v>85.03</v>
      </c>
      <c r="U406" s="0" t="s">
        <v>43</v>
      </c>
    </row>
    <row r="407" customFormat="false" ht="14.25" hidden="false" customHeight="false" outlineLevel="0" collapsed="false">
      <c r="A407" s="0" t="n">
        <v>661</v>
      </c>
      <c r="B407" s="0" t="str">
        <f aca="false">_xlfn.xlookup(A407, artists!A$2:A$836, artists!B$2:B$836)</f>
        <v>Pia Mia</v>
      </c>
      <c r="C407" s="1" t="s">
        <v>452</v>
      </c>
      <c r="D407" s="2" t="n">
        <v>207746</v>
      </c>
      <c r="E407" s="2" t="n">
        <f aca="false">D407/1000</f>
        <v>207.746</v>
      </c>
      <c r="F407" s="10" t="b">
        <f aca="false">TRUE()</f>
        <v>1</v>
      </c>
      <c r="G407" s="0" t="n">
        <v>18</v>
      </c>
      <c r="H407" s="0" t="n">
        <f aca="false">_xlfn.xlookup(G407, years!A$2:A$836, years!B$2:B$836)</f>
        <v>2015</v>
      </c>
      <c r="I407" s="2" t="n">
        <v>72</v>
      </c>
      <c r="J407" s="0" t="n">
        <v>0.712</v>
      </c>
      <c r="K407" s="0" t="n">
        <v>0.564</v>
      </c>
      <c r="L407" s="3" t="str">
        <f aca="false">IF(K407&gt;0.66,"High",IF(K407&gt;0.33&amp;K407&lt;=0.66,"Medium","Low"))</f>
        <v>Low</v>
      </c>
      <c r="M407" s="0" t="n">
        <v>-6.527</v>
      </c>
      <c r="N407" s="3" t="n">
        <v>0.047</v>
      </c>
      <c r="O407" s="3" t="n">
        <v>0.0266</v>
      </c>
      <c r="P407" s="4" t="n">
        <v>0</v>
      </c>
      <c r="Q407" s="3" t="n">
        <v>0.0874</v>
      </c>
      <c r="R407" s="3" t="n">
        <v>0.411</v>
      </c>
      <c r="S407" s="3" t="str">
        <f aca="false">IF(R407 &gt;= 0.5, "Positive", "Negative")</f>
        <v>Negative</v>
      </c>
      <c r="T407" s="2" t="n">
        <v>95.95</v>
      </c>
      <c r="U407" s="0" t="s">
        <v>33</v>
      </c>
    </row>
    <row r="408" customFormat="false" ht="14.25" hidden="false" customHeight="false" outlineLevel="0" collapsed="false">
      <c r="A408" s="0" t="n">
        <v>515</v>
      </c>
      <c r="B408" s="0" t="str">
        <f aca="false">_xlfn.xlookup(A408, artists!A$2:A$836, artists!B$2:B$836)</f>
        <v>Jessie J</v>
      </c>
      <c r="C408" s="1" t="s">
        <v>453</v>
      </c>
      <c r="D408" s="2" t="n">
        <v>195240</v>
      </c>
      <c r="E408" s="2" t="n">
        <f aca="false">D408/1000</f>
        <v>195.24</v>
      </c>
      <c r="F408" s="10" t="b">
        <f aca="false">TRUE()</f>
        <v>1</v>
      </c>
      <c r="G408" s="0" t="n">
        <v>14</v>
      </c>
      <c r="H408" s="0" t="n">
        <f aca="false">_xlfn.xlookup(G408, years!A$2:A$836, years!B$2:B$836)</f>
        <v>2011</v>
      </c>
      <c r="I408" s="2" t="n">
        <v>57</v>
      </c>
      <c r="J408" s="0" t="n">
        <v>0.663</v>
      </c>
      <c r="K408" s="0" t="n">
        <v>0.843</v>
      </c>
      <c r="L408" s="3" t="str">
        <f aca="false">IF(K408&gt;0.66,"High",IF(K408&gt;0.33&amp;K408&lt;=0.66,"Medium","Low"))</f>
        <v>High</v>
      </c>
      <c r="M408" s="0" t="n">
        <v>-3.672</v>
      </c>
      <c r="N408" s="3" t="n">
        <v>0.049</v>
      </c>
      <c r="O408" s="3" t="n">
        <v>0.0491</v>
      </c>
      <c r="P408" s="4" t="n">
        <v>0</v>
      </c>
      <c r="Q408" s="3" t="n">
        <v>0.364</v>
      </c>
      <c r="R408" s="3" t="n">
        <v>0.375</v>
      </c>
      <c r="S408" s="3" t="str">
        <f aca="false">IF(R408 &gt;= 0.5, "Positive", "Negative")</f>
        <v>Negative</v>
      </c>
      <c r="T408" s="2" t="n">
        <v>140.036</v>
      </c>
      <c r="U408" s="0" t="s">
        <v>24</v>
      </c>
    </row>
    <row r="409" customFormat="false" ht="14.25" hidden="false" customHeight="false" outlineLevel="0" collapsed="false">
      <c r="A409" s="0" t="n">
        <v>322</v>
      </c>
      <c r="B409" s="0" t="str">
        <f aca="false">_xlfn.xlookup(A409, artists!A$2:A$836, artists!B$2:B$836)</f>
        <v>Cherish</v>
      </c>
      <c r="C409" s="1" t="s">
        <v>454</v>
      </c>
      <c r="D409" s="2" t="n">
        <v>226293</v>
      </c>
      <c r="E409" s="2" t="n">
        <f aca="false">D409/1000</f>
        <v>226.293</v>
      </c>
      <c r="F409" s="10" t="b">
        <f aca="false">FALSE()</f>
        <v>0</v>
      </c>
      <c r="G409" s="0" t="n">
        <v>9</v>
      </c>
      <c r="H409" s="0" t="n">
        <f aca="false">_xlfn.xlookup(G409, years!A$2:A$836, years!B$2:B$836)</f>
        <v>2006</v>
      </c>
      <c r="I409" s="2" t="n">
        <v>65</v>
      </c>
      <c r="J409" s="0" t="n">
        <v>0.826</v>
      </c>
      <c r="K409" s="0" t="n">
        <v>0.67</v>
      </c>
      <c r="L409" s="3" t="str">
        <f aca="false">IF(K409&gt;0.66,"High",IF(K409&gt;0.33&amp;K409&lt;=0.66,"Medium","Low"))</f>
        <v>High</v>
      </c>
      <c r="M409" s="0" t="n">
        <v>-5.559</v>
      </c>
      <c r="N409" s="3" t="n">
        <v>0.169</v>
      </c>
      <c r="O409" s="3" t="n">
        <v>0.00798</v>
      </c>
      <c r="P409" s="4" t="n">
        <v>0</v>
      </c>
      <c r="Q409" s="3" t="n">
        <v>0.495</v>
      </c>
      <c r="R409" s="3" t="n">
        <v>0.794</v>
      </c>
      <c r="S409" s="3" t="str">
        <f aca="false">IF(R409 &gt;= 0.5, "Positive", "Negative")</f>
        <v>Positive</v>
      </c>
      <c r="T409" s="2" t="n">
        <v>74.007</v>
      </c>
      <c r="U409" s="0" t="s">
        <v>31</v>
      </c>
    </row>
    <row r="410" customFormat="false" ht="14.25" hidden="false" customHeight="false" outlineLevel="0" collapsed="false">
      <c r="A410" s="0" t="n">
        <v>736</v>
      </c>
      <c r="B410" s="0" t="str">
        <f aca="false">_xlfn.xlookup(A410, artists!A$2:A$836, artists!B$2:B$836)</f>
        <v>blackbear</v>
      </c>
      <c r="C410" s="1" t="s">
        <v>455</v>
      </c>
      <c r="D410" s="2" t="n">
        <v>212027</v>
      </c>
      <c r="E410" s="2" t="n">
        <f aca="false">D410/1000</f>
        <v>212.027</v>
      </c>
      <c r="F410" s="10" t="b">
        <f aca="false">TRUE()</f>
        <v>1</v>
      </c>
      <c r="G410" s="0" t="n">
        <v>20</v>
      </c>
      <c r="H410" s="0" t="n">
        <f aca="false">_xlfn.xlookup(G410, years!A$2:A$836, years!B$2:B$836)</f>
        <v>2017</v>
      </c>
      <c r="I410" s="2" t="n">
        <v>4</v>
      </c>
      <c r="J410" s="0" t="n">
        <v>0.745</v>
      </c>
      <c r="K410" s="0" t="n">
        <v>0.593</v>
      </c>
      <c r="L410" s="3" t="str">
        <f aca="false">IF(K410&gt;0.66,"High",IF(K410&gt;0.33&amp;K410&lt;=0.66,"Medium","Low"))</f>
        <v>Low</v>
      </c>
      <c r="M410" s="0" t="n">
        <v>-6.35</v>
      </c>
      <c r="N410" s="3" t="n">
        <v>0.0526</v>
      </c>
      <c r="O410" s="3" t="n">
        <v>0.00522</v>
      </c>
      <c r="P410" s="4" t="n">
        <v>5.25E-006</v>
      </c>
      <c r="Q410" s="3" t="n">
        <v>0.123</v>
      </c>
      <c r="R410" s="3" t="n">
        <v>0.17</v>
      </c>
      <c r="S410" s="3" t="str">
        <f aca="false">IF(R410 &gt;= 0.5, "Positive", "Negative")</f>
        <v>Negative</v>
      </c>
      <c r="T410" s="2" t="n">
        <v>111.002</v>
      </c>
      <c r="U410" s="0" t="s">
        <v>53</v>
      </c>
    </row>
    <row r="411" customFormat="false" ht="14.25" hidden="false" customHeight="false" outlineLevel="0" collapsed="false">
      <c r="A411" s="0" t="n">
        <v>38</v>
      </c>
      <c r="B411" s="0" t="str">
        <f aca="false">_xlfn.xlookup(A411, artists!A$2:A$836, artists!B$2:B$836)</f>
        <v>Enrique Iglesias</v>
      </c>
      <c r="C411" s="1" t="s">
        <v>456</v>
      </c>
      <c r="D411" s="2" t="n">
        <v>219533</v>
      </c>
      <c r="E411" s="2" t="n">
        <f aca="false">D411/1000</f>
        <v>219.533</v>
      </c>
      <c r="F411" s="10" t="b">
        <f aca="false">FALSE()</f>
        <v>0</v>
      </c>
      <c r="G411" s="0" t="n">
        <v>10</v>
      </c>
      <c r="H411" s="0" t="n">
        <f aca="false">_xlfn.xlookup(G411, years!A$2:A$836, years!B$2:B$836)</f>
        <v>2007</v>
      </c>
      <c r="I411" s="2" t="n">
        <v>45</v>
      </c>
      <c r="J411" s="0" t="n">
        <v>0.753</v>
      </c>
      <c r="K411" s="0" t="n">
        <v>0.759</v>
      </c>
      <c r="L411" s="3" t="str">
        <f aca="false">IF(K411&gt;0.66,"High",IF(K411&gt;0.33&amp;K411&lt;=0.66,"Medium","Low"))</f>
        <v>High</v>
      </c>
      <c r="M411" s="0" t="n">
        <v>-4.829</v>
      </c>
      <c r="N411" s="3" t="n">
        <v>0.0487</v>
      </c>
      <c r="O411" s="3" t="n">
        <v>0.0523</v>
      </c>
      <c r="P411" s="4" t="n">
        <v>0</v>
      </c>
      <c r="Q411" s="3" t="n">
        <v>0.0263</v>
      </c>
      <c r="R411" s="3" t="n">
        <v>0.706</v>
      </c>
      <c r="S411" s="3" t="str">
        <f aca="false">IF(R411 &gt;= 0.5, "Positive", "Negative")</f>
        <v>Positive</v>
      </c>
      <c r="T411" s="2" t="n">
        <v>114.999</v>
      </c>
      <c r="U411" s="0" t="s">
        <v>75</v>
      </c>
    </row>
    <row r="412" customFormat="false" ht="14.25" hidden="false" customHeight="false" outlineLevel="0" collapsed="false">
      <c r="A412" s="0" t="n">
        <v>133</v>
      </c>
      <c r="B412" s="0" t="str">
        <f aca="false">_xlfn.xlookup(A412, artists!A$2:A$836, artists!B$2:B$836)</f>
        <v>DJ Pied Piper &amp; The Masters Of Ceremonies</v>
      </c>
      <c r="C412" s="1" t="s">
        <v>457</v>
      </c>
      <c r="D412" s="2" t="n">
        <v>217120</v>
      </c>
      <c r="E412" s="2" t="n">
        <f aca="false">D412/1000</f>
        <v>217.12</v>
      </c>
      <c r="F412" s="10" t="b">
        <f aca="false">FALSE()</f>
        <v>0</v>
      </c>
      <c r="G412" s="0" t="n">
        <v>4</v>
      </c>
      <c r="H412" s="0" t="n">
        <f aca="false">_xlfn.xlookup(G412, years!A$2:A$836, years!B$2:B$836)</f>
        <v>2001</v>
      </c>
      <c r="I412" s="2" t="n">
        <v>54</v>
      </c>
      <c r="J412" s="0" t="n">
        <v>0.847</v>
      </c>
      <c r="K412" s="0" t="n">
        <v>0.877</v>
      </c>
      <c r="L412" s="3" t="str">
        <f aca="false">IF(K412&gt;0.66,"High",IF(K412&gt;0.33&amp;K412&lt;=0.66,"Medium","Low"))</f>
        <v>High</v>
      </c>
      <c r="M412" s="0" t="n">
        <v>-5.424</v>
      </c>
      <c r="N412" s="3" t="n">
        <v>0.0493</v>
      </c>
      <c r="O412" s="3" t="n">
        <v>0.124</v>
      </c>
      <c r="P412" s="4" t="n">
        <v>0</v>
      </c>
      <c r="Q412" s="3" t="n">
        <v>0.148</v>
      </c>
      <c r="R412" s="3" t="n">
        <v>0.764</v>
      </c>
      <c r="S412" s="3" t="str">
        <f aca="false">IF(R412 &gt;= 0.5, "Positive", "Negative")</f>
        <v>Positive</v>
      </c>
      <c r="T412" s="2" t="n">
        <v>131.044</v>
      </c>
      <c r="U412" s="0" t="s">
        <v>48</v>
      </c>
    </row>
    <row r="413" customFormat="false" ht="14.25" hidden="false" customHeight="false" outlineLevel="0" collapsed="false">
      <c r="A413" s="0" t="n">
        <v>246</v>
      </c>
      <c r="B413" s="0" t="str">
        <f aca="false">_xlfn.xlookup(A413, artists!A$2:A$836, artists!B$2:B$836)</f>
        <v>Jay Sean</v>
      </c>
      <c r="C413" s="1" t="s">
        <v>458</v>
      </c>
      <c r="D413" s="2" t="n">
        <v>210306</v>
      </c>
      <c r="E413" s="2" t="n">
        <f aca="false">D413/1000</f>
        <v>210.306</v>
      </c>
      <c r="F413" s="10" t="b">
        <f aca="false">FALSE()</f>
        <v>0</v>
      </c>
      <c r="G413" s="0" t="n">
        <v>12</v>
      </c>
      <c r="H413" s="0" t="n">
        <f aca="false">_xlfn.xlookup(G413, years!A$2:A$836, years!B$2:B$836)</f>
        <v>2009</v>
      </c>
      <c r="I413" s="2" t="n">
        <v>2</v>
      </c>
      <c r="J413" s="0" t="n">
        <v>0.855</v>
      </c>
      <c r="K413" s="0" t="n">
        <v>0.668</v>
      </c>
      <c r="L413" s="3" t="str">
        <f aca="false">IF(K413&gt;0.66,"High",IF(K413&gt;0.33&amp;K413&lt;=0.66,"Medium","Low"))</f>
        <v>High</v>
      </c>
      <c r="M413" s="0" t="n">
        <v>-4.892</v>
      </c>
      <c r="N413" s="3" t="n">
        <v>0.0644</v>
      </c>
      <c r="O413" s="3" t="n">
        <v>0.0242</v>
      </c>
      <c r="P413" s="4" t="n">
        <v>0</v>
      </c>
      <c r="Q413" s="3" t="n">
        <v>0.102</v>
      </c>
      <c r="R413" s="3" t="n">
        <v>0.803</v>
      </c>
      <c r="S413" s="3" t="str">
        <f aca="false">IF(R413 &gt;= 0.5, "Positive", "Negative")</f>
        <v>Positive</v>
      </c>
      <c r="T413" s="2" t="n">
        <v>125.846</v>
      </c>
      <c r="U413" s="0" t="s">
        <v>31</v>
      </c>
    </row>
    <row r="414" customFormat="false" ht="14.25" hidden="false" customHeight="false" outlineLevel="0" collapsed="false">
      <c r="A414" s="0" t="n">
        <v>265</v>
      </c>
      <c r="B414" s="0" t="str">
        <f aca="false">_xlfn.xlookup(A414, artists!A$2:A$836, artists!B$2:B$836)</f>
        <v>Franz Ferdinand</v>
      </c>
      <c r="C414" s="1" t="s">
        <v>459</v>
      </c>
      <c r="D414" s="2" t="n">
        <v>215000</v>
      </c>
      <c r="E414" s="2" t="n">
        <f aca="false">D414/1000</f>
        <v>215</v>
      </c>
      <c r="F414" s="10" t="b">
        <f aca="false">FALSE()</f>
        <v>0</v>
      </c>
      <c r="G414" s="0" t="n">
        <v>8</v>
      </c>
      <c r="H414" s="0" t="n">
        <f aca="false">_xlfn.xlookup(G414, years!A$2:A$836, years!B$2:B$836)</f>
        <v>2005</v>
      </c>
      <c r="I414" s="2" t="n">
        <v>61</v>
      </c>
      <c r="J414" s="0" t="n">
        <v>0.412</v>
      </c>
      <c r="K414" s="0" t="n">
        <v>0.944</v>
      </c>
      <c r="L414" s="3" t="str">
        <f aca="false">IF(K414&gt;0.66,"High",IF(K414&gt;0.33&amp;K414&lt;=0.66,"Medium","Low"))</f>
        <v>High</v>
      </c>
      <c r="M414" s="0" t="n">
        <v>-2.896</v>
      </c>
      <c r="N414" s="3" t="n">
        <v>0.0448</v>
      </c>
      <c r="O414" s="3" t="n">
        <v>0.0724</v>
      </c>
      <c r="P414" s="4" t="n">
        <v>0.000493</v>
      </c>
      <c r="Q414" s="3" t="n">
        <v>0.801</v>
      </c>
      <c r="R414" s="3" t="n">
        <v>0.79</v>
      </c>
      <c r="S414" s="3" t="str">
        <f aca="false">IF(R414 &gt;= 0.5, "Positive", "Negative")</f>
        <v>Positive</v>
      </c>
      <c r="T414" s="2" t="n">
        <v>123.091</v>
      </c>
      <c r="U414" s="0" t="s">
        <v>43</v>
      </c>
    </row>
    <row r="415" customFormat="false" ht="14.25" hidden="false" customHeight="false" outlineLevel="0" collapsed="false">
      <c r="A415" s="0" t="n">
        <v>47</v>
      </c>
      <c r="B415" s="0" t="str">
        <f aca="false">_xlfn.xlookup(A415, artists!A$2:A$836, artists!B$2:B$836)</f>
        <v>Janet Jackson</v>
      </c>
      <c r="C415" s="1" t="s">
        <v>460</v>
      </c>
      <c r="D415" s="2" t="n">
        <v>265026</v>
      </c>
      <c r="E415" s="2" t="n">
        <f aca="false">D415/1000</f>
        <v>265.026</v>
      </c>
      <c r="F415" s="10" t="b">
        <f aca="false">FALSE()</f>
        <v>0</v>
      </c>
      <c r="G415" s="0" t="n">
        <v>4</v>
      </c>
      <c r="H415" s="0" t="n">
        <f aca="false">_xlfn.xlookup(G415, years!A$2:A$836, years!B$2:B$836)</f>
        <v>2001</v>
      </c>
      <c r="I415" s="2" t="n">
        <v>47</v>
      </c>
      <c r="J415" s="0" t="n">
        <v>0.771</v>
      </c>
      <c r="K415" s="0" t="n">
        <v>0.796</v>
      </c>
      <c r="L415" s="3" t="str">
        <f aca="false">IF(K415&gt;0.66,"High",IF(K415&gt;0.33&amp;K415&lt;=0.66,"Medium","Low"))</f>
        <v>High</v>
      </c>
      <c r="M415" s="0" t="n">
        <v>-3.081</v>
      </c>
      <c r="N415" s="3" t="n">
        <v>0.076</v>
      </c>
      <c r="O415" s="3" t="n">
        <v>0.0993</v>
      </c>
      <c r="P415" s="4" t="n">
        <v>0.00278</v>
      </c>
      <c r="Q415" s="3" t="n">
        <v>0.0981</v>
      </c>
      <c r="R415" s="3" t="n">
        <v>0.801</v>
      </c>
      <c r="S415" s="3" t="str">
        <f aca="false">IF(R415 &gt;= 0.5, "Positive", "Negative")</f>
        <v>Positive</v>
      </c>
      <c r="T415" s="2" t="n">
        <v>99.316</v>
      </c>
      <c r="U415" s="0" t="s">
        <v>33</v>
      </c>
    </row>
    <row r="416" customFormat="false" ht="14.25" hidden="false" customHeight="false" outlineLevel="0" collapsed="false">
      <c r="A416" s="0" t="n">
        <v>561</v>
      </c>
      <c r="B416" s="0" t="str">
        <f aca="false">_xlfn.xlookup(A416, artists!A$2:A$836, artists!B$2:B$836)</f>
        <v>Lana Del Rey</v>
      </c>
      <c r="C416" s="1" t="s">
        <v>461</v>
      </c>
      <c r="D416" s="2" t="n">
        <v>202192</v>
      </c>
      <c r="E416" s="2" t="n">
        <f aca="false">D416/1000</f>
        <v>202.192</v>
      </c>
      <c r="F416" s="10" t="b">
        <f aca="false">TRUE()</f>
        <v>1</v>
      </c>
      <c r="G416" s="0" t="n">
        <v>22</v>
      </c>
      <c r="H416" s="0" t="n">
        <f aca="false">_xlfn.xlookup(G416, years!A$2:A$836, years!B$2:B$836)</f>
        <v>2019</v>
      </c>
      <c r="I416" s="2" t="n">
        <v>80</v>
      </c>
      <c r="J416" s="0" t="n">
        <v>0.641</v>
      </c>
      <c r="K416" s="0" t="n">
        <v>0.559</v>
      </c>
      <c r="L416" s="3" t="str">
        <f aca="false">IF(K416&gt;0.66,"High",IF(K416&gt;0.33&amp;K416&lt;=0.66,"Medium","Low"))</f>
        <v>Low</v>
      </c>
      <c r="M416" s="0" t="n">
        <v>-11.132</v>
      </c>
      <c r="N416" s="3" t="n">
        <v>0.0355</v>
      </c>
      <c r="O416" s="3" t="n">
        <v>0.404</v>
      </c>
      <c r="P416" s="4" t="n">
        <v>0.00402</v>
      </c>
      <c r="Q416" s="3" t="n">
        <v>0.0937</v>
      </c>
      <c r="R416" s="3" t="n">
        <v>0.523</v>
      </c>
      <c r="S416" s="3" t="str">
        <f aca="false">IF(R416 &gt;= 0.5, "Positive", "Negative")</f>
        <v>Positive</v>
      </c>
      <c r="T416" s="2" t="n">
        <v>144.982</v>
      </c>
      <c r="U416" s="0" t="s">
        <v>39</v>
      </c>
    </row>
    <row r="417" customFormat="false" ht="14.25" hidden="false" customHeight="false" outlineLevel="0" collapsed="false">
      <c r="A417" s="0" t="n">
        <v>515</v>
      </c>
      <c r="B417" s="0" t="str">
        <f aca="false">_xlfn.xlookup(A417, artists!A$2:A$836, artists!B$2:B$836)</f>
        <v>Jessie J</v>
      </c>
      <c r="C417" s="1" t="s">
        <v>462</v>
      </c>
      <c r="D417" s="2" t="n">
        <v>231840</v>
      </c>
      <c r="E417" s="2" t="n">
        <f aca="false">D417/1000</f>
        <v>231.84</v>
      </c>
      <c r="F417" s="10" t="b">
        <f aca="false">FALSE()</f>
        <v>0</v>
      </c>
      <c r="G417" s="0" t="n">
        <v>14</v>
      </c>
      <c r="H417" s="0" t="n">
        <f aca="false">_xlfn.xlookup(G417, years!A$2:A$836, years!B$2:B$836)</f>
        <v>2011</v>
      </c>
      <c r="I417" s="2" t="n">
        <v>74</v>
      </c>
      <c r="J417" s="0" t="n">
        <v>0.758</v>
      </c>
      <c r="K417" s="0" t="n">
        <v>0.557</v>
      </c>
      <c r="L417" s="3" t="str">
        <f aca="false">IF(K417&gt;0.66,"High",IF(K417&gt;0.33&amp;K417&lt;=0.66,"Medium","Low"))</f>
        <v>Low</v>
      </c>
      <c r="M417" s="0" t="n">
        <v>-4.568</v>
      </c>
      <c r="N417" s="3" t="n">
        <v>0.034</v>
      </c>
      <c r="O417" s="3" t="n">
        <v>0.0117</v>
      </c>
      <c r="P417" s="4" t="n">
        <v>0</v>
      </c>
      <c r="Q417" s="3" t="n">
        <v>0.0418</v>
      </c>
      <c r="R417" s="3" t="n">
        <v>0.781</v>
      </c>
      <c r="S417" s="3" t="str">
        <f aca="false">IF(R417 &gt;= 0.5, "Positive", "Negative")</f>
        <v>Positive</v>
      </c>
      <c r="T417" s="2" t="n">
        <v>126.986</v>
      </c>
      <c r="U417" s="0" t="s">
        <v>24</v>
      </c>
    </row>
    <row r="418" customFormat="false" ht="14.25" hidden="false" customHeight="false" outlineLevel="0" collapsed="false">
      <c r="A418" s="0" t="n">
        <v>527</v>
      </c>
      <c r="B418" s="0" t="str">
        <f aca="false">_xlfn.xlookup(A418, artists!A$2:A$836, artists!B$2:B$836)</f>
        <v>Mac Miller</v>
      </c>
      <c r="C418" s="1" t="s">
        <v>463</v>
      </c>
      <c r="D418" s="2" t="n">
        <v>165908</v>
      </c>
      <c r="E418" s="2" t="n">
        <f aca="false">D418/1000</f>
        <v>165.908</v>
      </c>
      <c r="F418" s="10" t="b">
        <f aca="false">TRUE()</f>
        <v>1</v>
      </c>
      <c r="G418" s="0" t="n">
        <v>14</v>
      </c>
      <c r="H418" s="0" t="n">
        <f aca="false">_xlfn.xlookup(G418, years!A$2:A$836, years!B$2:B$836)</f>
        <v>2011</v>
      </c>
      <c r="I418" s="2" t="n">
        <v>61</v>
      </c>
      <c r="J418" s="0" t="n">
        <v>0.636</v>
      </c>
      <c r="K418" s="0" t="n">
        <v>0.901</v>
      </c>
      <c r="L418" s="3" t="str">
        <f aca="false">IF(K418&gt;0.66,"High",IF(K418&gt;0.33&amp;K418&lt;=0.66,"Medium","Low"))</f>
        <v>High</v>
      </c>
      <c r="M418" s="0" t="n">
        <v>-7.094</v>
      </c>
      <c r="N418" s="3" t="n">
        <v>0.118</v>
      </c>
      <c r="O418" s="3" t="n">
        <v>0.119</v>
      </c>
      <c r="P418" s="4" t="n">
        <v>0</v>
      </c>
      <c r="Q418" s="3" t="n">
        <v>0.391</v>
      </c>
      <c r="R418" s="3" t="n">
        <v>0.836</v>
      </c>
      <c r="S418" s="3" t="str">
        <f aca="false">IF(R418 &gt;= 0.5, "Positive", "Negative")</f>
        <v>Positive</v>
      </c>
      <c r="T418" s="2" t="n">
        <v>162.994</v>
      </c>
      <c r="U418" s="0" t="s">
        <v>29</v>
      </c>
    </row>
    <row r="419" customFormat="false" ht="14.25" hidden="false" customHeight="false" outlineLevel="0" collapsed="false">
      <c r="A419" s="0" t="n">
        <v>699</v>
      </c>
      <c r="B419" s="0" t="str">
        <f aca="false">_xlfn.xlookup(A419, artists!A$2:A$836, artists!B$2:B$836)</f>
        <v>Charlie Puth</v>
      </c>
      <c r="C419" s="1" t="s">
        <v>464</v>
      </c>
      <c r="D419" s="2" t="n">
        <v>180493</v>
      </c>
      <c r="E419" s="2" t="n">
        <f aca="false">D419/1000</f>
        <v>180.493</v>
      </c>
      <c r="F419" s="10" t="b">
        <f aca="false">FALSE()</f>
        <v>0</v>
      </c>
      <c r="G419" s="0" t="n">
        <v>21</v>
      </c>
      <c r="H419" s="0" t="n">
        <f aca="false">_xlfn.xlookup(G419, years!A$2:A$836, years!B$2:B$836)</f>
        <v>2018</v>
      </c>
      <c r="I419" s="2" t="n">
        <v>67</v>
      </c>
      <c r="J419" s="0" t="n">
        <v>0.856</v>
      </c>
      <c r="K419" s="0" t="n">
        <v>0.632</v>
      </c>
      <c r="L419" s="3" t="str">
        <f aca="false">IF(K419&gt;0.66,"High",IF(K419&gt;0.33&amp;K419&lt;=0.66,"Medium","Low"))</f>
        <v>Low</v>
      </c>
      <c r="M419" s="0" t="n">
        <v>-3.692</v>
      </c>
      <c r="N419" s="3" t="n">
        <v>0.074</v>
      </c>
      <c r="O419" s="3" t="n">
        <v>0.193</v>
      </c>
      <c r="P419" s="4" t="n">
        <v>0</v>
      </c>
      <c r="Q419" s="3" t="n">
        <v>0.0688</v>
      </c>
      <c r="R419" s="3" t="n">
        <v>0.697</v>
      </c>
      <c r="S419" s="3" t="str">
        <f aca="false">IF(R419 &gt;= 0.5, "Positive", "Negative")</f>
        <v>Positive</v>
      </c>
      <c r="T419" s="2" t="n">
        <v>112.009</v>
      </c>
      <c r="U419" s="0" t="s">
        <v>39</v>
      </c>
    </row>
    <row r="420" customFormat="false" ht="14.25" hidden="false" customHeight="false" outlineLevel="0" collapsed="false">
      <c r="A420" s="0" t="n">
        <v>628</v>
      </c>
      <c r="B420" s="0" t="str">
        <f aca="false">_xlfn.xlookup(A420, artists!A$2:A$836, artists!B$2:B$836)</f>
        <v>Ed Sheeran</v>
      </c>
      <c r="C420" s="1" t="s">
        <v>465</v>
      </c>
      <c r="D420" s="2" t="n">
        <v>219840</v>
      </c>
      <c r="E420" s="2" t="n">
        <f aca="false">D420/1000</f>
        <v>219.84</v>
      </c>
      <c r="F420" s="10" t="b">
        <f aca="false">FALSE()</f>
        <v>0</v>
      </c>
      <c r="G420" s="0" t="n">
        <v>17</v>
      </c>
      <c r="H420" s="0" t="n">
        <f aca="false">_xlfn.xlookup(G420, years!A$2:A$836, years!B$2:B$836)</f>
        <v>2014</v>
      </c>
      <c r="I420" s="2" t="n">
        <v>72</v>
      </c>
      <c r="J420" s="0" t="n">
        <v>0.806</v>
      </c>
      <c r="K420" s="0" t="n">
        <v>0.608</v>
      </c>
      <c r="L420" s="3" t="str">
        <f aca="false">IF(K420&gt;0.66,"High",IF(K420&gt;0.33&amp;K420&lt;=0.66,"Medium","Low"))</f>
        <v>Low</v>
      </c>
      <c r="M420" s="0" t="n">
        <v>-7.008</v>
      </c>
      <c r="N420" s="3" t="n">
        <v>0.0659</v>
      </c>
      <c r="O420" s="3" t="n">
        <v>0.0113</v>
      </c>
      <c r="P420" s="4" t="n">
        <v>0</v>
      </c>
      <c r="Q420" s="3" t="n">
        <v>0.635</v>
      </c>
      <c r="R420" s="3" t="n">
        <v>0.849</v>
      </c>
      <c r="S420" s="3" t="str">
        <f aca="false">IF(R420 &gt;= 0.5, "Positive", "Negative")</f>
        <v>Positive</v>
      </c>
      <c r="T420" s="2" t="n">
        <v>95.049</v>
      </c>
      <c r="U420" s="0" t="s">
        <v>39</v>
      </c>
    </row>
    <row r="421" customFormat="false" ht="14.25" hidden="false" customHeight="false" outlineLevel="0" collapsed="false">
      <c r="A421" s="0" t="n">
        <v>677</v>
      </c>
      <c r="B421" s="0" t="str">
        <f aca="false">_xlfn.xlookup(A421, artists!A$2:A$836, artists!B$2:B$836)</f>
        <v>Bryson Tiller</v>
      </c>
      <c r="C421" s="1" t="s">
        <v>465</v>
      </c>
      <c r="D421" s="2" t="n">
        <v>198293</v>
      </c>
      <c r="E421" s="2" t="n">
        <f aca="false">D421/1000</f>
        <v>198.293</v>
      </c>
      <c r="F421" s="10" t="b">
        <f aca="false">TRUE()</f>
        <v>1</v>
      </c>
      <c r="G421" s="0" t="n">
        <v>18</v>
      </c>
      <c r="H421" s="0" t="n">
        <f aca="false">_xlfn.xlookup(G421, years!A$2:A$836, years!B$2:B$836)</f>
        <v>2015</v>
      </c>
      <c r="I421" s="2" t="n">
        <v>78</v>
      </c>
      <c r="J421" s="0" t="n">
        <v>0.765</v>
      </c>
      <c r="K421" s="0" t="n">
        <v>0.356</v>
      </c>
      <c r="L421" s="3" t="str">
        <f aca="false">IF(K421&gt;0.66,"High",IF(K421&gt;0.33&amp;K421&lt;=0.66,"Medium","Low"))</f>
        <v>Low</v>
      </c>
      <c r="M421" s="0" t="n">
        <v>-5.556</v>
      </c>
      <c r="N421" s="3" t="n">
        <v>0.195</v>
      </c>
      <c r="O421" s="3" t="n">
        <v>0.223</v>
      </c>
      <c r="P421" s="4" t="n">
        <v>0</v>
      </c>
      <c r="Q421" s="3" t="n">
        <v>0.0963</v>
      </c>
      <c r="R421" s="3" t="n">
        <v>0.189</v>
      </c>
      <c r="S421" s="3" t="str">
        <f aca="false">IF(R421 &gt;= 0.5, "Positive", "Negative")</f>
        <v>Negative</v>
      </c>
      <c r="T421" s="2" t="n">
        <v>96.991</v>
      </c>
      <c r="U421" s="0" t="s">
        <v>31</v>
      </c>
    </row>
    <row r="422" customFormat="false" ht="14.25" hidden="false" customHeight="false" outlineLevel="0" collapsed="false">
      <c r="A422" s="0" t="n">
        <v>64</v>
      </c>
      <c r="B422" s="0" t="str">
        <f aca="false">_xlfn.xlookup(A422, artists!A$2:A$836, artists!B$2:B$836)</f>
        <v>Madison Avenue</v>
      </c>
      <c r="C422" s="1" t="s">
        <v>466</v>
      </c>
      <c r="D422" s="2" t="n">
        <v>228140</v>
      </c>
      <c r="E422" s="2" t="n">
        <f aca="false">D422/1000</f>
        <v>228.14</v>
      </c>
      <c r="F422" s="10" t="b">
        <f aca="false">FALSE()</f>
        <v>0</v>
      </c>
      <c r="G422" s="0" t="n">
        <v>2</v>
      </c>
      <c r="H422" s="0" t="n">
        <f aca="false">_xlfn.xlookup(G422, years!A$2:A$836, years!B$2:B$836)</f>
        <v>1999</v>
      </c>
      <c r="I422" s="2" t="n">
        <v>56</v>
      </c>
      <c r="J422" s="0" t="n">
        <v>0.808</v>
      </c>
      <c r="K422" s="0" t="n">
        <v>0.982</v>
      </c>
      <c r="L422" s="3" t="str">
        <f aca="false">IF(K422&gt;0.66,"High",IF(K422&gt;0.33&amp;K422&lt;=0.66,"Medium","Low"))</f>
        <v>High</v>
      </c>
      <c r="M422" s="0" t="n">
        <v>-6.588</v>
      </c>
      <c r="N422" s="3" t="n">
        <v>0.0311</v>
      </c>
      <c r="O422" s="3" t="n">
        <v>0.0585</v>
      </c>
      <c r="P422" s="4" t="n">
        <v>0.00689</v>
      </c>
      <c r="Q422" s="3" t="n">
        <v>0.35</v>
      </c>
      <c r="R422" s="3" t="n">
        <v>0.961</v>
      </c>
      <c r="S422" s="3" t="str">
        <f aca="false">IF(R422 &gt;= 0.5, "Positive", "Negative")</f>
        <v>Positive</v>
      </c>
      <c r="T422" s="2" t="n">
        <v>124.999</v>
      </c>
      <c r="U422" s="0" t="s">
        <v>48</v>
      </c>
    </row>
    <row r="423" customFormat="false" ht="14.25" hidden="false" customHeight="false" outlineLevel="0" collapsed="false">
      <c r="A423" s="0" t="n">
        <v>802</v>
      </c>
      <c r="B423" s="0" t="str">
        <f aca="false">_xlfn.xlookup(A423, artists!A$2:A$836, artists!B$2:B$836)</f>
        <v>Mabel</v>
      </c>
      <c r="C423" s="1" t="s">
        <v>467</v>
      </c>
      <c r="D423" s="2" t="n">
        <v>178480</v>
      </c>
      <c r="E423" s="2" t="n">
        <f aca="false">D423/1000</f>
        <v>178.48</v>
      </c>
      <c r="F423" s="10" t="b">
        <f aca="false">FALSE()</f>
        <v>0</v>
      </c>
      <c r="G423" s="0" t="n">
        <v>22</v>
      </c>
      <c r="H423" s="0" t="n">
        <f aca="false">_xlfn.xlookup(G423, years!A$2:A$836, years!B$2:B$836)</f>
        <v>2019</v>
      </c>
      <c r="I423" s="2" t="n">
        <v>77</v>
      </c>
      <c r="J423" s="0" t="n">
        <v>0.674</v>
      </c>
      <c r="K423" s="0" t="n">
        <v>0.881</v>
      </c>
      <c r="L423" s="3" t="str">
        <f aca="false">IF(K423&gt;0.66,"High",IF(K423&gt;0.33&amp;K423&lt;=0.66,"Medium","Low"))</f>
        <v>High</v>
      </c>
      <c r="M423" s="0" t="n">
        <v>-2.853</v>
      </c>
      <c r="N423" s="3" t="n">
        <v>0.147</v>
      </c>
      <c r="O423" s="3" t="n">
        <v>0.296</v>
      </c>
      <c r="P423" s="4" t="n">
        <v>3.01E-006</v>
      </c>
      <c r="Q423" s="3" t="n">
        <v>0.0793</v>
      </c>
      <c r="R423" s="3" t="n">
        <v>0.234</v>
      </c>
      <c r="S423" s="3" t="str">
        <f aca="false">IF(R423 &gt;= 0.5, "Positive", "Negative")</f>
        <v>Negative</v>
      </c>
      <c r="T423" s="2" t="n">
        <v>98.994</v>
      </c>
      <c r="U423" s="0" t="s">
        <v>22</v>
      </c>
    </row>
    <row r="424" customFormat="false" ht="14.25" hidden="false" customHeight="false" outlineLevel="0" collapsed="false">
      <c r="A424" s="0" t="n">
        <v>285</v>
      </c>
      <c r="B424" s="0" t="str">
        <f aca="false">_xlfn.xlookup(A424, artists!A$2:A$836, artists!B$2:B$836)</f>
        <v>The Pussycat Dolls</v>
      </c>
      <c r="C424" s="1" t="s">
        <v>468</v>
      </c>
      <c r="D424" s="2" t="n">
        <v>272080</v>
      </c>
      <c r="E424" s="2" t="n">
        <f aca="false">D424/1000</f>
        <v>272.08</v>
      </c>
      <c r="F424" s="10" t="b">
        <f aca="false">FALSE()</f>
        <v>0</v>
      </c>
      <c r="G424" s="0" t="n">
        <v>8</v>
      </c>
      <c r="H424" s="0" t="n">
        <f aca="false">_xlfn.xlookup(G424, years!A$2:A$836, years!B$2:B$836)</f>
        <v>2005</v>
      </c>
      <c r="I424" s="2" t="n">
        <v>72</v>
      </c>
      <c r="J424" s="0" t="n">
        <v>0.875</v>
      </c>
      <c r="K424" s="0" t="n">
        <v>0.631</v>
      </c>
      <c r="L424" s="3" t="str">
        <f aca="false">IF(K424&gt;0.66,"High",IF(K424&gt;0.33&amp;K424&lt;=0.66,"Medium","Low"))</f>
        <v>Low</v>
      </c>
      <c r="M424" s="0" t="n">
        <v>-3.475</v>
      </c>
      <c r="N424" s="3" t="n">
        <v>0.099</v>
      </c>
      <c r="O424" s="3" t="n">
        <v>0.00542</v>
      </c>
      <c r="P424" s="4" t="n">
        <v>2.54E-006</v>
      </c>
      <c r="Q424" s="3" t="n">
        <v>0.127</v>
      </c>
      <c r="R424" s="3" t="n">
        <v>0.549</v>
      </c>
      <c r="S424" s="3" t="str">
        <f aca="false">IF(R424 &gt;= 0.5, "Positive", "Negative")</f>
        <v>Positive</v>
      </c>
      <c r="T424" s="2" t="n">
        <v>120.003</v>
      </c>
      <c r="U424" s="0" t="s">
        <v>33</v>
      </c>
    </row>
    <row r="425" customFormat="false" ht="14.25" hidden="false" customHeight="false" outlineLevel="0" collapsed="false">
      <c r="A425" s="0" t="n">
        <v>50</v>
      </c>
      <c r="B425" s="0" t="str">
        <f aca="false">_xlfn.xlookup(A425, artists!A$2:A$836, artists!B$2:B$836)</f>
        <v>Mariah Carey</v>
      </c>
      <c r="C425" s="1" t="s">
        <v>469</v>
      </c>
      <c r="D425" s="2" t="n">
        <v>233866</v>
      </c>
      <c r="E425" s="2" t="n">
        <f aca="false">D425/1000</f>
        <v>233.866</v>
      </c>
      <c r="F425" s="10" t="b">
        <f aca="false">FALSE()</f>
        <v>0</v>
      </c>
      <c r="G425" s="0" t="n">
        <v>8</v>
      </c>
      <c r="H425" s="0" t="n">
        <f aca="false">_xlfn.xlookup(G425, years!A$2:A$836, years!B$2:B$836)</f>
        <v>2005</v>
      </c>
      <c r="I425" s="2" t="n">
        <v>0</v>
      </c>
      <c r="J425" s="0" t="n">
        <v>0.7</v>
      </c>
      <c r="K425" s="0" t="n">
        <v>0.529</v>
      </c>
      <c r="L425" s="3" t="str">
        <f aca="false">IF(K425&gt;0.66,"High",IF(K425&gt;0.33&amp;K425&lt;=0.66,"Medium","Low"))</f>
        <v>Low</v>
      </c>
      <c r="M425" s="0" t="n">
        <v>-6.816</v>
      </c>
      <c r="N425" s="3" t="n">
        <v>0.0395</v>
      </c>
      <c r="O425" s="3" t="n">
        <v>0.0422</v>
      </c>
      <c r="P425" s="4" t="n">
        <v>0</v>
      </c>
      <c r="Q425" s="3" t="n">
        <v>0.101</v>
      </c>
      <c r="R425" s="3" t="n">
        <v>0.386</v>
      </c>
      <c r="S425" s="3" t="str">
        <f aca="false">IF(R425 &gt;= 0.5, "Positive", "Negative")</f>
        <v>Negative</v>
      </c>
      <c r="T425" s="2" t="n">
        <v>143.555</v>
      </c>
      <c r="U425" s="0" t="s">
        <v>33</v>
      </c>
    </row>
    <row r="426" customFormat="false" ht="14.25" hidden="false" customHeight="false" outlineLevel="0" collapsed="false">
      <c r="A426" s="0" t="n">
        <v>486</v>
      </c>
      <c r="B426" s="0" t="str">
        <f aca="false">_xlfn.xlookup(A426, artists!A$2:A$836, artists!B$2:B$836)</f>
        <v>Adam Lambert</v>
      </c>
      <c r="C426" s="1" t="s">
        <v>470</v>
      </c>
      <c r="D426" s="2" t="n">
        <v>208330</v>
      </c>
      <c r="E426" s="2" t="n">
        <f aca="false">D426/1000</f>
        <v>208.33</v>
      </c>
      <c r="F426" s="10" t="b">
        <f aca="false">TRUE()</f>
        <v>1</v>
      </c>
      <c r="G426" s="0" t="n">
        <v>18</v>
      </c>
      <c r="H426" s="0" t="n">
        <f aca="false">_xlfn.xlookup(G426, years!A$2:A$836, years!B$2:B$836)</f>
        <v>2015</v>
      </c>
      <c r="I426" s="2" t="n">
        <v>46</v>
      </c>
      <c r="J426" s="0" t="n">
        <v>0.703</v>
      </c>
      <c r="K426" s="0" t="n">
        <v>0.736</v>
      </c>
      <c r="L426" s="3" t="str">
        <f aca="false">IF(K426&gt;0.66,"High",IF(K426&gt;0.33&amp;K426&lt;=0.66,"Medium","Low"))</f>
        <v>High</v>
      </c>
      <c r="M426" s="0" t="n">
        <v>-5.709</v>
      </c>
      <c r="N426" s="3" t="n">
        <v>0.046</v>
      </c>
      <c r="O426" s="3" t="n">
        <v>0.186</v>
      </c>
      <c r="P426" s="4" t="n">
        <v>1.92E-005</v>
      </c>
      <c r="Q426" s="3" t="n">
        <v>0.174</v>
      </c>
      <c r="R426" s="3" t="n">
        <v>0.274</v>
      </c>
      <c r="S426" s="3" t="str">
        <f aca="false">IF(R426 &gt;= 0.5, "Positive", "Negative")</f>
        <v>Negative</v>
      </c>
      <c r="T426" s="2" t="n">
        <v>119.955</v>
      </c>
      <c r="U426" s="0" t="s">
        <v>39</v>
      </c>
    </row>
    <row r="427" customFormat="false" ht="14.25" hidden="false" customHeight="false" outlineLevel="0" collapsed="false">
      <c r="A427" s="0" t="n">
        <v>518</v>
      </c>
      <c r="B427" s="0" t="str">
        <f aca="false">_xlfn.xlookup(A427, artists!A$2:A$836, artists!B$2:B$836)</f>
        <v>Nicole Scherzinger</v>
      </c>
      <c r="C427" s="1" t="s">
        <v>471</v>
      </c>
      <c r="D427" s="2" t="n">
        <v>197440</v>
      </c>
      <c r="E427" s="2" t="n">
        <f aca="false">D427/1000</f>
        <v>197.44</v>
      </c>
      <c r="F427" s="10" t="b">
        <f aca="false">FALSE()</f>
        <v>0</v>
      </c>
      <c r="G427" s="0" t="n">
        <v>14</v>
      </c>
      <c r="H427" s="0" t="n">
        <f aca="false">_xlfn.xlookup(G427, years!A$2:A$836, years!B$2:B$836)</f>
        <v>2011</v>
      </c>
      <c r="I427" s="2" t="n">
        <v>62</v>
      </c>
      <c r="J427" s="0" t="n">
        <v>0.66</v>
      </c>
      <c r="K427" s="0" t="n">
        <v>0.797</v>
      </c>
      <c r="L427" s="3" t="str">
        <f aca="false">IF(K427&gt;0.66,"High",IF(K427&gt;0.33&amp;K427&lt;=0.66,"Medium","Low"))</f>
        <v>High</v>
      </c>
      <c r="M427" s="0" t="n">
        <v>-6.096</v>
      </c>
      <c r="N427" s="3" t="n">
        <v>0.0262</v>
      </c>
      <c r="O427" s="3" t="n">
        <v>0.00646</v>
      </c>
      <c r="P427" s="4" t="n">
        <v>0.000108</v>
      </c>
      <c r="Q427" s="3" t="n">
        <v>0.187</v>
      </c>
      <c r="R427" s="3" t="n">
        <v>0.674</v>
      </c>
      <c r="S427" s="3" t="str">
        <f aca="false">IF(R427 &gt;= 0.5, "Positive", "Negative")</f>
        <v>Positive</v>
      </c>
      <c r="T427" s="2" t="n">
        <v>110.955</v>
      </c>
      <c r="U427" s="0" t="s">
        <v>22</v>
      </c>
    </row>
    <row r="428" customFormat="false" ht="14.25" hidden="false" customHeight="false" outlineLevel="0" collapsed="false">
      <c r="A428" s="0" t="n">
        <v>682</v>
      </c>
      <c r="B428" s="0" t="str">
        <f aca="false">_xlfn.xlookup(A428, artists!A$2:A$836, artists!B$2:B$836)</f>
        <v>Sigala</v>
      </c>
      <c r="C428" s="1" t="s">
        <v>472</v>
      </c>
      <c r="D428" s="2" t="n">
        <v>202149</v>
      </c>
      <c r="E428" s="2" t="n">
        <f aca="false">D428/1000</f>
        <v>202.149</v>
      </c>
      <c r="F428" s="10" t="b">
        <f aca="false">FALSE()</f>
        <v>0</v>
      </c>
      <c r="G428" s="0" t="n">
        <v>18</v>
      </c>
      <c r="H428" s="0" t="n">
        <f aca="false">_xlfn.xlookup(G428, years!A$2:A$836, years!B$2:B$836)</f>
        <v>2015</v>
      </c>
      <c r="I428" s="2" t="n">
        <v>46</v>
      </c>
      <c r="J428" s="0" t="n">
        <v>0.683</v>
      </c>
      <c r="K428" s="0" t="n">
        <v>0.91</v>
      </c>
      <c r="L428" s="3" t="str">
        <f aca="false">IF(K428&gt;0.66,"High",IF(K428&gt;0.33&amp;K428&lt;=0.66,"Medium","Low"))</f>
        <v>High</v>
      </c>
      <c r="M428" s="0" t="n">
        <v>-1.231</v>
      </c>
      <c r="N428" s="3" t="n">
        <v>0.0515</v>
      </c>
      <c r="O428" s="3" t="n">
        <v>0.0553</v>
      </c>
      <c r="P428" s="4" t="n">
        <v>4.78E-006</v>
      </c>
      <c r="Q428" s="3" t="n">
        <v>0.336</v>
      </c>
      <c r="R428" s="3" t="n">
        <v>0.674</v>
      </c>
      <c r="S428" s="3" t="str">
        <f aca="false">IF(R428 &gt;= 0.5, "Positive", "Negative")</f>
        <v>Positive</v>
      </c>
      <c r="T428" s="2" t="n">
        <v>124.977</v>
      </c>
      <c r="U428" s="0" t="s">
        <v>22</v>
      </c>
    </row>
    <row r="429" customFormat="false" ht="14.25" hidden="false" customHeight="false" outlineLevel="0" collapsed="false">
      <c r="A429" s="0" t="n">
        <v>55</v>
      </c>
      <c r="B429" s="0" t="str">
        <f aca="false">_xlfn.xlookup(A429, artists!A$2:A$836, artists!B$2:B$836)</f>
        <v>P!nk</v>
      </c>
      <c r="C429" s="1" t="s">
        <v>473</v>
      </c>
      <c r="D429" s="2" t="n">
        <v>210693</v>
      </c>
      <c r="E429" s="2" t="n">
        <f aca="false">D429/1000</f>
        <v>210.693</v>
      </c>
      <c r="F429" s="10" t="b">
        <f aca="false">FALSE()</f>
        <v>0</v>
      </c>
      <c r="G429" s="0" t="n">
        <v>4</v>
      </c>
      <c r="H429" s="0" t="n">
        <f aca="false">_xlfn.xlookup(G429, years!A$2:A$836, years!B$2:B$836)</f>
        <v>2001</v>
      </c>
      <c r="I429" s="2" t="n">
        <v>60</v>
      </c>
      <c r="J429" s="0" t="n">
        <v>0.624</v>
      </c>
      <c r="K429" s="0" t="n">
        <v>0.85</v>
      </c>
      <c r="L429" s="3" t="str">
        <f aca="false">IF(K429&gt;0.66,"High",IF(K429&gt;0.33&amp;K429&lt;=0.66,"Medium","Low"))</f>
        <v>High</v>
      </c>
      <c r="M429" s="0" t="n">
        <v>-4.754</v>
      </c>
      <c r="N429" s="3" t="n">
        <v>0.0756</v>
      </c>
      <c r="O429" s="3" t="n">
        <v>0.00234</v>
      </c>
      <c r="P429" s="4" t="n">
        <v>0</v>
      </c>
      <c r="Q429" s="3" t="n">
        <v>0.0621</v>
      </c>
      <c r="R429" s="3" t="n">
        <v>0.615</v>
      </c>
      <c r="S429" s="3" t="str">
        <f aca="false">IF(R429 &gt;= 0.5, "Positive", "Negative")</f>
        <v>Positive</v>
      </c>
      <c r="T429" s="2" t="n">
        <v>98.525</v>
      </c>
      <c r="U429" s="0" t="s">
        <v>39</v>
      </c>
    </row>
    <row r="430" customFormat="false" ht="14.25" hidden="false" customHeight="false" outlineLevel="0" collapsed="false">
      <c r="A430" s="0" t="n">
        <v>1</v>
      </c>
      <c r="B430" s="0" t="str">
        <f aca="false">_xlfn.xlookup(A430, artists!A$2:A$836, artists!B$2:B$836)</f>
        <v>Britney Spears</v>
      </c>
      <c r="C430" s="1" t="s">
        <v>474</v>
      </c>
      <c r="D430" s="2" t="n">
        <v>247853</v>
      </c>
      <c r="E430" s="2" t="n">
        <f aca="false">D430/1000</f>
        <v>247.853</v>
      </c>
      <c r="F430" s="10" t="b">
        <f aca="false">TRUE()</f>
        <v>1</v>
      </c>
      <c r="G430" s="0" t="n">
        <v>16</v>
      </c>
      <c r="H430" s="0" t="n">
        <f aca="false">_xlfn.xlookup(G430, years!A$2:A$836, years!B$2:B$836)</f>
        <v>2013</v>
      </c>
      <c r="I430" s="2" t="n">
        <v>0</v>
      </c>
      <c r="J430" s="0" t="n">
        <v>0.63</v>
      </c>
      <c r="K430" s="0" t="n">
        <v>0.816</v>
      </c>
      <c r="L430" s="3" t="str">
        <f aca="false">IF(K430&gt;0.66,"High",IF(K430&gt;0.33&amp;K430&lt;=0.66,"Medium","Low"))</f>
        <v>High</v>
      </c>
      <c r="M430" s="0" t="n">
        <v>-6.535</v>
      </c>
      <c r="N430" s="3" t="n">
        <v>0.15</v>
      </c>
      <c r="O430" s="3" t="n">
        <v>0.124</v>
      </c>
      <c r="P430" s="4" t="n">
        <v>0.00111</v>
      </c>
      <c r="Q430" s="3" t="n">
        <v>0.0616</v>
      </c>
      <c r="R430" s="3" t="n">
        <v>0.85</v>
      </c>
      <c r="S430" s="3" t="str">
        <f aca="false">IF(R430 &gt;= 0.5, "Positive", "Negative")</f>
        <v>Positive</v>
      </c>
      <c r="T430" s="2" t="n">
        <v>128.012</v>
      </c>
      <c r="U430" s="0" t="s">
        <v>39</v>
      </c>
    </row>
    <row r="431" customFormat="false" ht="14.25" hidden="false" customHeight="false" outlineLevel="0" collapsed="false">
      <c r="A431" s="0" t="n">
        <v>56</v>
      </c>
      <c r="B431" s="0" t="str">
        <f aca="false">_xlfn.xlookup(A431, artists!A$2:A$836, artists!B$2:B$836)</f>
        <v>Craig David</v>
      </c>
      <c r="C431" s="1" t="s">
        <v>475</v>
      </c>
      <c r="D431" s="2" t="n">
        <v>243986</v>
      </c>
      <c r="E431" s="2" t="n">
        <f aca="false">D431/1000</f>
        <v>243.986</v>
      </c>
      <c r="F431" s="10" t="b">
        <f aca="false">FALSE()</f>
        <v>0</v>
      </c>
      <c r="G431" s="0" t="n">
        <v>8</v>
      </c>
      <c r="H431" s="0" t="n">
        <f aca="false">_xlfn.xlookup(G431, years!A$2:A$836, years!B$2:B$836)</f>
        <v>2005</v>
      </c>
      <c r="I431" s="2" t="n">
        <v>56</v>
      </c>
      <c r="J431" s="0" t="n">
        <v>0.636</v>
      </c>
      <c r="K431" s="0" t="n">
        <v>0.558</v>
      </c>
      <c r="L431" s="3" t="str">
        <f aca="false">IF(K431&gt;0.66,"High",IF(K431&gt;0.33&amp;K431&lt;=0.66,"Medium","Low"))</f>
        <v>Low</v>
      </c>
      <c r="M431" s="0" t="n">
        <v>-7.076</v>
      </c>
      <c r="N431" s="3" t="n">
        <v>0.0245</v>
      </c>
      <c r="O431" s="3" t="n">
        <v>0.462</v>
      </c>
      <c r="P431" s="4" t="n">
        <v>0</v>
      </c>
      <c r="Q431" s="3" t="n">
        <v>0.062</v>
      </c>
      <c r="R431" s="3" t="n">
        <v>0.572</v>
      </c>
      <c r="S431" s="3" t="str">
        <f aca="false">IF(R431 &gt;= 0.5, "Positive", "Negative")</f>
        <v>Positive</v>
      </c>
      <c r="T431" s="2" t="n">
        <v>100.113</v>
      </c>
      <c r="U431" s="0" t="s">
        <v>31</v>
      </c>
    </row>
    <row r="432" customFormat="false" ht="14.25" hidden="false" customHeight="false" outlineLevel="0" collapsed="false">
      <c r="A432" s="0" t="n">
        <v>245</v>
      </c>
      <c r="B432" s="0" t="str">
        <f aca="false">_xlfn.xlookup(A432, artists!A$2:A$836, artists!B$2:B$836)</f>
        <v>Akon</v>
      </c>
      <c r="C432" s="1" t="s">
        <v>476</v>
      </c>
      <c r="D432" s="2" t="n">
        <v>293066</v>
      </c>
      <c r="E432" s="2" t="n">
        <f aca="false">D432/1000</f>
        <v>293.066</v>
      </c>
      <c r="F432" s="10" t="b">
        <f aca="false">TRUE()</f>
        <v>1</v>
      </c>
      <c r="G432" s="0" t="n">
        <v>9</v>
      </c>
      <c r="H432" s="0" t="n">
        <f aca="false">_xlfn.xlookup(G432, years!A$2:A$836, years!B$2:B$836)</f>
        <v>2006</v>
      </c>
      <c r="I432" s="2" t="n">
        <v>52</v>
      </c>
      <c r="J432" s="0" t="n">
        <v>0.801</v>
      </c>
      <c r="K432" s="0" t="n">
        <v>0.454</v>
      </c>
      <c r="L432" s="3" t="str">
        <f aca="false">IF(K432&gt;0.66,"High",IF(K432&gt;0.33&amp;K432&lt;=0.66,"Medium","Low"))</f>
        <v>Low</v>
      </c>
      <c r="M432" s="0" t="n">
        <v>-6.035</v>
      </c>
      <c r="N432" s="3" t="n">
        <v>0.0371</v>
      </c>
      <c r="O432" s="3" t="n">
        <v>0.225</v>
      </c>
      <c r="P432" s="4" t="n">
        <v>0</v>
      </c>
      <c r="Q432" s="3" t="n">
        <v>0.226</v>
      </c>
      <c r="R432" s="3" t="n">
        <v>0.34</v>
      </c>
      <c r="S432" s="3" t="str">
        <f aca="false">IF(R432 &gt;= 0.5, "Positive", "Negative")</f>
        <v>Negative</v>
      </c>
      <c r="T432" s="2" t="n">
        <v>125.139</v>
      </c>
      <c r="U432" s="0" t="s">
        <v>39</v>
      </c>
    </row>
    <row r="433" customFormat="false" ht="14.25" hidden="false" customHeight="false" outlineLevel="0" collapsed="false">
      <c r="A433" s="0" t="n">
        <v>716</v>
      </c>
      <c r="B433" s="0" t="str">
        <f aca="false">_xlfn.xlookup(A433, artists!A$2:A$836, artists!B$2:B$836)</f>
        <v>Kent Jones</v>
      </c>
      <c r="C433" s="1" t="s">
        <v>477</v>
      </c>
      <c r="D433" s="2" t="n">
        <v>198236</v>
      </c>
      <c r="E433" s="2" t="n">
        <f aca="false">D433/1000</f>
        <v>198.236</v>
      </c>
      <c r="F433" s="10" t="b">
        <f aca="false">TRUE()</f>
        <v>1</v>
      </c>
      <c r="G433" s="0" t="n">
        <v>19</v>
      </c>
      <c r="H433" s="0" t="n">
        <f aca="false">_xlfn.xlookup(G433, years!A$2:A$836, years!B$2:B$836)</f>
        <v>2016</v>
      </c>
      <c r="I433" s="2" t="n">
        <v>63</v>
      </c>
      <c r="J433" s="0" t="n">
        <v>0.464</v>
      </c>
      <c r="K433" s="0" t="n">
        <v>0.771</v>
      </c>
      <c r="L433" s="3" t="str">
        <f aca="false">IF(K433&gt;0.66,"High",IF(K433&gt;0.33&amp;K433&lt;=0.66,"Medium","Low"))</f>
        <v>High</v>
      </c>
      <c r="M433" s="0" t="n">
        <v>-4.503</v>
      </c>
      <c r="N433" s="3" t="n">
        <v>0.336</v>
      </c>
      <c r="O433" s="3" t="n">
        <v>0.0235</v>
      </c>
      <c r="P433" s="4" t="n">
        <v>0</v>
      </c>
      <c r="Q433" s="3" t="n">
        <v>0.063</v>
      </c>
      <c r="R433" s="3" t="n">
        <v>0.69</v>
      </c>
      <c r="S433" s="3" t="str">
        <f aca="false">IF(R433 &gt;= 0.5, "Positive", "Negative")</f>
        <v>Positive</v>
      </c>
      <c r="T433" s="2" t="n">
        <v>158.777</v>
      </c>
      <c r="U433" s="0" t="s">
        <v>29</v>
      </c>
    </row>
    <row r="434" customFormat="false" ht="14.25" hidden="false" customHeight="false" outlineLevel="0" collapsed="false">
      <c r="A434" s="0" t="n">
        <v>592</v>
      </c>
      <c r="B434" s="0" t="str">
        <f aca="false">_xlfn.xlookup(A434, artists!A$2:A$836, artists!B$2:B$836)</f>
        <v>Bastille</v>
      </c>
      <c r="C434" s="1" t="s">
        <v>478</v>
      </c>
      <c r="D434" s="2" t="n">
        <v>214147</v>
      </c>
      <c r="E434" s="2" t="n">
        <f aca="false">D434/1000</f>
        <v>214.147</v>
      </c>
      <c r="F434" s="10" t="b">
        <f aca="false">FALSE()</f>
        <v>0</v>
      </c>
      <c r="G434" s="0" t="n">
        <v>16</v>
      </c>
      <c r="H434" s="0" t="n">
        <f aca="false">_xlfn.xlookup(G434, years!A$2:A$836, years!B$2:B$836)</f>
        <v>2013</v>
      </c>
      <c r="I434" s="2" t="n">
        <v>74</v>
      </c>
      <c r="J434" s="0" t="n">
        <v>0.679</v>
      </c>
      <c r="K434" s="0" t="n">
        <v>0.715</v>
      </c>
      <c r="L434" s="3" t="str">
        <f aca="false">IF(K434&gt;0.66,"High",IF(K434&gt;0.33&amp;K434&lt;=0.66,"Medium","Low"))</f>
        <v>High</v>
      </c>
      <c r="M434" s="0" t="n">
        <v>-6.383</v>
      </c>
      <c r="N434" s="3" t="n">
        <v>0.0407</v>
      </c>
      <c r="O434" s="3" t="n">
        <v>0.0755</v>
      </c>
      <c r="P434" s="4" t="n">
        <v>0</v>
      </c>
      <c r="Q434" s="3" t="n">
        <v>0.271</v>
      </c>
      <c r="R434" s="3" t="n">
        <v>0.571</v>
      </c>
      <c r="S434" s="3" t="str">
        <f aca="false">IF(R434 &gt;= 0.5, "Positive", "Negative")</f>
        <v>Positive</v>
      </c>
      <c r="T434" s="2" t="n">
        <v>127.435</v>
      </c>
      <c r="U434" s="0" t="s">
        <v>210</v>
      </c>
    </row>
    <row r="435" customFormat="false" ht="14.25" hidden="false" customHeight="false" outlineLevel="0" collapsed="false">
      <c r="A435" s="0" t="n">
        <v>693</v>
      </c>
      <c r="B435" s="0" t="str">
        <f aca="false">_xlfn.xlookup(A435, artists!A$2:A$836, artists!B$2:B$836)</f>
        <v>Dua Lipa</v>
      </c>
      <c r="C435" s="1" t="s">
        <v>479</v>
      </c>
      <c r="D435" s="2" t="n">
        <v>183290</v>
      </c>
      <c r="E435" s="2" t="n">
        <f aca="false">D435/1000</f>
        <v>183.29</v>
      </c>
      <c r="F435" s="10" t="b">
        <f aca="false">FALSE()</f>
        <v>0</v>
      </c>
      <c r="G435" s="0" t="n">
        <v>22</v>
      </c>
      <c r="H435" s="0" t="n">
        <f aca="false">_xlfn.xlookup(G435, years!A$2:A$836, years!B$2:B$836)</f>
        <v>2019</v>
      </c>
      <c r="I435" s="2" t="n">
        <v>79</v>
      </c>
      <c r="J435" s="0" t="n">
        <v>0.794</v>
      </c>
      <c r="K435" s="0" t="n">
        <v>0.793</v>
      </c>
      <c r="L435" s="3" t="str">
        <f aca="false">IF(K435&gt;0.66,"High",IF(K435&gt;0.33&amp;K435&lt;=0.66,"Medium","Low"))</f>
        <v>High</v>
      </c>
      <c r="M435" s="0" t="n">
        <v>-4.521</v>
      </c>
      <c r="N435" s="3" t="n">
        <v>0.0842</v>
      </c>
      <c r="O435" s="3" t="n">
        <v>0.0125</v>
      </c>
      <c r="P435" s="4" t="n">
        <v>0</v>
      </c>
      <c r="Q435" s="3" t="n">
        <v>0.0952</v>
      </c>
      <c r="R435" s="3" t="n">
        <v>0.677</v>
      </c>
      <c r="S435" s="3" t="str">
        <f aca="false">IF(R435 &gt;= 0.5, "Positive", "Negative")</f>
        <v>Positive</v>
      </c>
      <c r="T435" s="2" t="n">
        <v>123.941</v>
      </c>
      <c r="U435" s="0" t="s">
        <v>39</v>
      </c>
    </row>
    <row r="436" customFormat="false" ht="14.25" hidden="false" customHeight="false" outlineLevel="0" collapsed="false">
      <c r="A436" s="0" t="n">
        <v>123</v>
      </c>
      <c r="B436" s="0" t="str">
        <f aca="false">_xlfn.xlookup(A436, artists!A$2:A$836, artists!B$2:B$836)</f>
        <v>S Club 7</v>
      </c>
      <c r="C436" s="1" t="s">
        <v>480</v>
      </c>
      <c r="D436" s="2" t="n">
        <v>233626</v>
      </c>
      <c r="E436" s="2" t="n">
        <f aca="false">D436/1000</f>
        <v>233.626</v>
      </c>
      <c r="F436" s="10" t="b">
        <f aca="false">FALSE()</f>
        <v>0</v>
      </c>
      <c r="G436" s="0" t="n">
        <v>4</v>
      </c>
      <c r="H436" s="0" t="n">
        <f aca="false">_xlfn.xlookup(G436, years!A$2:A$836, years!B$2:B$836)</f>
        <v>2001</v>
      </c>
      <c r="I436" s="2" t="n">
        <v>63</v>
      </c>
      <c r="J436" s="0" t="n">
        <v>0.822</v>
      </c>
      <c r="K436" s="0" t="n">
        <v>0.672</v>
      </c>
      <c r="L436" s="3" t="str">
        <f aca="false">IF(K436&gt;0.66,"High",IF(K436&gt;0.33&amp;K436&lt;=0.66,"Medium","Low"))</f>
        <v>High</v>
      </c>
      <c r="M436" s="0" t="n">
        <v>-6.133</v>
      </c>
      <c r="N436" s="3" t="n">
        <v>0.0329</v>
      </c>
      <c r="O436" s="3" t="n">
        <v>0.0285</v>
      </c>
      <c r="P436" s="4" t="n">
        <v>0</v>
      </c>
      <c r="Q436" s="3" t="n">
        <v>0.213</v>
      </c>
      <c r="R436" s="3" t="n">
        <v>0.91</v>
      </c>
      <c r="S436" s="3" t="str">
        <f aca="false">IF(R436 &gt;= 0.5, "Positive", "Negative")</f>
        <v>Positive</v>
      </c>
      <c r="T436" s="2" t="n">
        <v>117.033</v>
      </c>
      <c r="U436" s="0" t="s">
        <v>39</v>
      </c>
    </row>
    <row r="437" customFormat="false" ht="14.25" hidden="false" customHeight="false" outlineLevel="0" collapsed="false">
      <c r="A437" s="0" t="n">
        <v>283</v>
      </c>
      <c r="B437" s="0" t="str">
        <f aca="false">_xlfn.xlookup(A437, artists!A$2:A$836, artists!B$2:B$836)</f>
        <v>Rihanna</v>
      </c>
      <c r="C437" s="1" t="s">
        <v>481</v>
      </c>
      <c r="D437" s="2" t="n">
        <v>267080</v>
      </c>
      <c r="E437" s="2" t="n">
        <f aca="false">D437/1000</f>
        <v>267.08</v>
      </c>
      <c r="F437" s="10" t="b">
        <f aca="false">FALSE()</f>
        <v>0</v>
      </c>
      <c r="G437" s="0" t="n">
        <v>11</v>
      </c>
      <c r="H437" s="0" t="n">
        <f aca="false">_xlfn.xlookup(G437, years!A$2:A$836, years!B$2:B$836)</f>
        <v>2008</v>
      </c>
      <c r="I437" s="2" t="n">
        <v>77</v>
      </c>
      <c r="J437" s="0" t="n">
        <v>0.835</v>
      </c>
      <c r="K437" s="0" t="n">
        <v>0.669</v>
      </c>
      <c r="L437" s="3" t="str">
        <f aca="false">IF(K437&gt;0.66,"High",IF(K437&gt;0.33&amp;K437&lt;=0.66,"Medium","Low"))</f>
        <v>High</v>
      </c>
      <c r="M437" s="0" t="n">
        <v>-5.582</v>
      </c>
      <c r="N437" s="3" t="n">
        <v>0.0643</v>
      </c>
      <c r="O437" s="3" t="n">
        <v>0.0336</v>
      </c>
      <c r="P437" s="4" t="n">
        <v>6.92E-005</v>
      </c>
      <c r="Q437" s="3" t="n">
        <v>0.0535</v>
      </c>
      <c r="R437" s="3" t="n">
        <v>0.542</v>
      </c>
      <c r="S437" s="3" t="str">
        <f aca="false">IF(R437 &gt;= 0.5, "Positive", "Negative")</f>
        <v>Positive</v>
      </c>
      <c r="T437" s="2" t="n">
        <v>122.668</v>
      </c>
      <c r="U437" s="0" t="s">
        <v>31</v>
      </c>
    </row>
    <row r="438" customFormat="false" ht="14.25" hidden="false" customHeight="false" outlineLevel="0" collapsed="false">
      <c r="A438" s="0" t="n">
        <v>440</v>
      </c>
      <c r="B438" s="0" t="str">
        <f aca="false">_xlfn.xlookup(A438, artists!A$2:A$836, artists!B$2:B$836)</f>
        <v>Pitbull</v>
      </c>
      <c r="C438" s="1" t="s">
        <v>482</v>
      </c>
      <c r="D438" s="2" t="n">
        <v>206120</v>
      </c>
      <c r="E438" s="2" t="n">
        <f aca="false">D438/1000</f>
        <v>206.12</v>
      </c>
      <c r="F438" s="10" t="b">
        <f aca="false">FALSE()</f>
        <v>0</v>
      </c>
      <c r="G438" s="0" t="n">
        <v>15</v>
      </c>
      <c r="H438" s="0" t="n">
        <f aca="false">_xlfn.xlookup(G438, years!A$2:A$836, years!B$2:B$836)</f>
        <v>2012</v>
      </c>
      <c r="I438" s="2" t="n">
        <v>64</v>
      </c>
      <c r="J438" s="0" t="n">
        <v>0.722</v>
      </c>
      <c r="K438" s="0" t="n">
        <v>0.958</v>
      </c>
      <c r="L438" s="3" t="str">
        <f aca="false">IF(K438&gt;0.66,"High",IF(K438&gt;0.33&amp;K438&lt;=0.66,"Medium","Low"))</f>
        <v>High</v>
      </c>
      <c r="M438" s="0" t="n">
        <v>-3.617</v>
      </c>
      <c r="N438" s="3" t="n">
        <v>0.0912</v>
      </c>
      <c r="O438" s="3" t="n">
        <v>0.00726</v>
      </c>
      <c r="P438" s="4" t="n">
        <v>0</v>
      </c>
      <c r="Q438" s="3" t="n">
        <v>0.375</v>
      </c>
      <c r="R438" s="3" t="n">
        <v>0.952</v>
      </c>
      <c r="S438" s="3" t="str">
        <f aca="false">IF(R438 &gt;= 0.5, "Positive", "Negative")</f>
        <v>Positive</v>
      </c>
      <c r="T438" s="2" t="n">
        <v>127.008</v>
      </c>
      <c r="U438" s="0" t="s">
        <v>483</v>
      </c>
    </row>
    <row r="439" customFormat="false" ht="14.25" hidden="false" customHeight="false" outlineLevel="0" collapsed="false">
      <c r="A439" s="0" t="n">
        <v>445</v>
      </c>
      <c r="B439" s="0" t="str">
        <f aca="false">_xlfn.xlookup(A439, artists!A$2:A$836, artists!B$2:B$836)</f>
        <v>Jeremih</v>
      </c>
      <c r="C439" s="1" t="s">
        <v>484</v>
      </c>
      <c r="D439" s="2" t="n">
        <v>266840</v>
      </c>
      <c r="E439" s="2" t="n">
        <f aca="false">D439/1000</f>
        <v>266.84</v>
      </c>
      <c r="F439" s="10" t="b">
        <f aca="false">TRUE()</f>
        <v>1</v>
      </c>
      <c r="G439" s="0" t="n">
        <v>18</v>
      </c>
      <c r="H439" s="0" t="n">
        <f aca="false">_xlfn.xlookup(G439, years!A$2:A$836, years!B$2:B$836)</f>
        <v>2015</v>
      </c>
      <c r="I439" s="2" t="n">
        <v>74</v>
      </c>
      <c r="J439" s="0" t="n">
        <v>0.856</v>
      </c>
      <c r="K439" s="0" t="n">
        <v>0.527</v>
      </c>
      <c r="L439" s="3" t="str">
        <f aca="false">IF(K439&gt;0.66,"High",IF(K439&gt;0.33&amp;K439&lt;=0.66,"Medium","Low"))</f>
        <v>Low</v>
      </c>
      <c r="M439" s="0" t="n">
        <v>-5.225</v>
      </c>
      <c r="N439" s="3" t="n">
        <v>0.0997</v>
      </c>
      <c r="O439" s="3" t="n">
        <v>0.392</v>
      </c>
      <c r="P439" s="4" t="n">
        <v>0</v>
      </c>
      <c r="Q439" s="3" t="n">
        <v>0.11</v>
      </c>
      <c r="R439" s="3" t="n">
        <v>0.386</v>
      </c>
      <c r="S439" s="3" t="str">
        <f aca="false">IF(R439 &gt;= 0.5, "Positive", "Negative")</f>
        <v>Negative</v>
      </c>
      <c r="T439" s="2" t="n">
        <v>98.052</v>
      </c>
      <c r="U439" s="0" t="s">
        <v>31</v>
      </c>
    </row>
    <row r="440" customFormat="false" ht="14.25" hidden="false" customHeight="false" outlineLevel="0" collapsed="false">
      <c r="A440" s="0" t="n">
        <v>31</v>
      </c>
      <c r="B440" s="0" t="str">
        <f aca="false">_xlfn.xlookup(A440, artists!A$2:A$836, artists!B$2:B$836)</f>
        <v>Madonna</v>
      </c>
      <c r="C440" s="1" t="s">
        <v>485</v>
      </c>
      <c r="D440" s="2" t="n">
        <v>280973</v>
      </c>
      <c r="E440" s="2" t="n">
        <f aca="false">D440/1000</f>
        <v>280.973</v>
      </c>
      <c r="F440" s="10" t="b">
        <f aca="false">FALSE()</f>
        <v>0</v>
      </c>
      <c r="G440" s="0" t="n">
        <v>3</v>
      </c>
      <c r="H440" s="0" t="n">
        <f aca="false">_xlfn.xlookup(G440, years!A$2:A$836, years!B$2:B$836)</f>
        <v>2000</v>
      </c>
      <c r="I440" s="2" t="n">
        <v>53</v>
      </c>
      <c r="J440" s="0" t="n">
        <v>0.699</v>
      </c>
      <c r="K440" s="0" t="n">
        <v>0.618</v>
      </c>
      <c r="L440" s="3" t="str">
        <f aca="false">IF(K440&gt;0.66,"High",IF(K440&gt;0.33&amp;K440&lt;=0.66,"Medium","Low"))</f>
        <v>Low</v>
      </c>
      <c r="M440" s="0" t="n">
        <v>-7.338</v>
      </c>
      <c r="N440" s="3" t="n">
        <v>0.0594</v>
      </c>
      <c r="O440" s="3" t="n">
        <v>0.0502</v>
      </c>
      <c r="P440" s="4" t="n">
        <v>0.000925</v>
      </c>
      <c r="Q440" s="3" t="n">
        <v>0.0914</v>
      </c>
      <c r="R440" s="3" t="n">
        <v>0.679</v>
      </c>
      <c r="S440" s="3" t="str">
        <f aca="false">IF(R440 &gt;= 0.5, "Positive", "Negative")</f>
        <v>Positive</v>
      </c>
      <c r="T440" s="2" t="n">
        <v>99.965</v>
      </c>
      <c r="U440" s="0" t="s">
        <v>39</v>
      </c>
    </row>
    <row r="441" customFormat="false" ht="14.25" hidden="false" customHeight="false" outlineLevel="0" collapsed="false">
      <c r="A441" s="0" t="n">
        <v>146</v>
      </c>
      <c r="B441" s="0" t="str">
        <f aca="false">_xlfn.xlookup(A441, artists!A$2:A$836, artists!B$2:B$836)</f>
        <v>Avril Lavigne</v>
      </c>
      <c r="C441" s="1" t="s">
        <v>485</v>
      </c>
      <c r="D441" s="2" t="n">
        <v>202013</v>
      </c>
      <c r="E441" s="2" t="n">
        <f aca="false">D441/1000</f>
        <v>202.013</v>
      </c>
      <c r="F441" s="10" t="b">
        <f aca="false">FALSE()</f>
        <v>0</v>
      </c>
      <c r="G441" s="0" t="n">
        <v>7</v>
      </c>
      <c r="H441" s="0" t="n">
        <f aca="false">_xlfn.xlookup(G441, years!A$2:A$836, years!B$2:B$836)</f>
        <v>2004</v>
      </c>
      <c r="I441" s="2" t="n">
        <v>58</v>
      </c>
      <c r="J441" s="0" t="n">
        <v>0.523</v>
      </c>
      <c r="K441" s="0" t="n">
        <v>0.795</v>
      </c>
      <c r="L441" s="3" t="str">
        <f aca="false">IF(K441&gt;0.66,"High",IF(K441&gt;0.33&amp;K441&lt;=0.66,"Medium","Low"))</f>
        <v>High</v>
      </c>
      <c r="M441" s="0" t="n">
        <v>-2.92</v>
      </c>
      <c r="N441" s="3" t="n">
        <v>0.0386</v>
      </c>
      <c r="O441" s="3" t="n">
        <v>0.00462</v>
      </c>
      <c r="P441" s="4" t="n">
        <v>0</v>
      </c>
      <c r="Q441" s="3" t="n">
        <v>0.358</v>
      </c>
      <c r="R441" s="3" t="n">
        <v>0.484</v>
      </c>
      <c r="S441" s="3" t="str">
        <f aca="false">IF(R441 &gt;= 0.5, "Positive", "Negative")</f>
        <v>Negative</v>
      </c>
      <c r="T441" s="2" t="n">
        <v>144.106</v>
      </c>
      <c r="U441" s="0" t="s">
        <v>39</v>
      </c>
    </row>
    <row r="442" customFormat="false" ht="14.25" hidden="false" customHeight="false" outlineLevel="0" collapsed="false">
      <c r="A442" s="0" t="n">
        <v>61</v>
      </c>
      <c r="B442" s="0" t="str">
        <f aca="false">_xlfn.xlookup(A442, artists!A$2:A$836, artists!B$2:B$836)</f>
        <v>Kandi</v>
      </c>
      <c r="C442" s="1" t="s">
        <v>486</v>
      </c>
      <c r="D442" s="2" t="n">
        <v>243533</v>
      </c>
      <c r="E442" s="2" t="n">
        <f aca="false">D442/1000</f>
        <v>243.533</v>
      </c>
      <c r="F442" s="10" t="b">
        <f aca="false">FALSE()</f>
        <v>0</v>
      </c>
      <c r="G442" s="0" t="n">
        <v>3</v>
      </c>
      <c r="H442" s="0" t="n">
        <f aca="false">_xlfn.xlookup(G442, years!A$2:A$836, years!B$2:B$836)</f>
        <v>2000</v>
      </c>
      <c r="I442" s="2" t="n">
        <v>55</v>
      </c>
      <c r="J442" s="0" t="n">
        <v>0.859</v>
      </c>
      <c r="K442" s="0" t="n">
        <v>0.622</v>
      </c>
      <c r="L442" s="3" t="str">
        <f aca="false">IF(K442&gt;0.66,"High",IF(K442&gt;0.33&amp;K442&lt;=0.66,"Medium","Low"))</f>
        <v>Low</v>
      </c>
      <c r="M442" s="0" t="n">
        <v>-8.196</v>
      </c>
      <c r="N442" s="3" t="n">
        <v>0.0445</v>
      </c>
      <c r="O442" s="3" t="n">
        <v>0.0661</v>
      </c>
      <c r="P442" s="4" t="n">
        <v>0</v>
      </c>
      <c r="Q442" s="3" t="n">
        <v>0.0394</v>
      </c>
      <c r="R442" s="3" t="n">
        <v>0.433</v>
      </c>
      <c r="S442" s="3" t="str">
        <f aca="false">IF(R442 &gt;= 0.5, "Positive", "Negative")</f>
        <v>Negative</v>
      </c>
      <c r="T442" s="2" t="n">
        <v>134.007</v>
      </c>
      <c r="U442" s="0" t="s">
        <v>33</v>
      </c>
    </row>
    <row r="443" customFormat="false" ht="14.25" hidden="false" customHeight="false" outlineLevel="0" collapsed="false">
      <c r="A443" s="0" t="n">
        <v>291</v>
      </c>
      <c r="B443" s="0" t="str">
        <f aca="false">_xlfn.xlookup(A443, artists!A$2:A$836, artists!B$2:B$836)</f>
        <v>Chris Brown</v>
      </c>
      <c r="C443" s="1" t="s">
        <v>487</v>
      </c>
      <c r="D443" s="2" t="n">
        <v>222306</v>
      </c>
      <c r="E443" s="2" t="n">
        <f aca="false">D443/1000</f>
        <v>222.306</v>
      </c>
      <c r="F443" s="10" t="b">
        <f aca="false">FALSE()</f>
        <v>0</v>
      </c>
      <c r="G443" s="0" t="n">
        <v>15</v>
      </c>
      <c r="H443" s="0" t="n">
        <f aca="false">_xlfn.xlookup(G443, years!A$2:A$836, years!B$2:B$836)</f>
        <v>2012</v>
      </c>
      <c r="I443" s="2" t="n">
        <v>62</v>
      </c>
      <c r="J443" s="0" t="n">
        <v>0.602</v>
      </c>
      <c r="K443" s="0" t="n">
        <v>0.691</v>
      </c>
      <c r="L443" s="3" t="str">
        <f aca="false">IF(K443&gt;0.66,"High",IF(K443&gt;0.33&amp;K443&lt;=0.66,"Medium","Low"))</f>
        <v>High</v>
      </c>
      <c r="M443" s="0" t="n">
        <v>-5.197</v>
      </c>
      <c r="N443" s="3" t="n">
        <v>0.051</v>
      </c>
      <c r="O443" s="3" t="n">
        <v>0.0548</v>
      </c>
      <c r="P443" s="4" t="n">
        <v>0</v>
      </c>
      <c r="Q443" s="3" t="n">
        <v>0.144</v>
      </c>
      <c r="R443" s="3" t="n">
        <v>0.206</v>
      </c>
      <c r="S443" s="3" t="str">
        <f aca="false">IF(R443 &gt;= 0.5, "Positive", "Negative")</f>
        <v>Negative</v>
      </c>
      <c r="T443" s="2" t="n">
        <v>127.967</v>
      </c>
      <c r="U443" s="0" t="s">
        <v>31</v>
      </c>
    </row>
    <row r="444" customFormat="false" ht="14.25" hidden="false" customHeight="false" outlineLevel="0" collapsed="false">
      <c r="A444" s="0" t="n">
        <v>458</v>
      </c>
      <c r="B444" s="0" t="str">
        <f aca="false">_xlfn.xlookup(A444, artists!A$2:A$836, artists!B$2:B$836)</f>
        <v>Jason Derulo</v>
      </c>
      <c r="C444" s="1" t="s">
        <v>488</v>
      </c>
      <c r="D444" s="2" t="n">
        <v>206080</v>
      </c>
      <c r="E444" s="2" t="n">
        <f aca="false">D444/1000</f>
        <v>206.08</v>
      </c>
      <c r="F444" s="10" t="b">
        <f aca="false">FALSE()</f>
        <v>0</v>
      </c>
      <c r="G444" s="0" t="n">
        <v>14</v>
      </c>
      <c r="H444" s="0" t="n">
        <f aca="false">_xlfn.xlookup(G444, years!A$2:A$836, years!B$2:B$836)</f>
        <v>2011</v>
      </c>
      <c r="I444" s="2" t="n">
        <v>63</v>
      </c>
      <c r="J444" s="0" t="n">
        <v>0.671</v>
      </c>
      <c r="K444" s="0" t="n">
        <v>0.808</v>
      </c>
      <c r="L444" s="3" t="str">
        <f aca="false">IF(K444&gt;0.66,"High",IF(K444&gt;0.33&amp;K444&lt;=0.66,"Medium","Low"))</f>
        <v>High</v>
      </c>
      <c r="M444" s="0" t="n">
        <v>-4.861</v>
      </c>
      <c r="N444" s="3" t="n">
        <v>0.0652</v>
      </c>
      <c r="O444" s="3" t="n">
        <v>0.02</v>
      </c>
      <c r="P444" s="4" t="n">
        <v>0</v>
      </c>
      <c r="Q444" s="3" t="n">
        <v>0.134</v>
      </c>
      <c r="R444" s="3" t="n">
        <v>0.637</v>
      </c>
      <c r="S444" s="3" t="str">
        <f aca="false">IF(R444 &gt;= 0.5, "Positive", "Negative")</f>
        <v>Positive</v>
      </c>
      <c r="T444" s="2" t="n">
        <v>121.956</v>
      </c>
      <c r="U444" s="0" t="s">
        <v>24</v>
      </c>
    </row>
    <row r="445" customFormat="false" ht="14.25" hidden="false" customHeight="false" outlineLevel="0" collapsed="false">
      <c r="A445" s="0" t="n">
        <v>236</v>
      </c>
      <c r="B445" s="0" t="str">
        <f aca="false">_xlfn.xlookup(A445, artists!A$2:A$836, artists!B$2:B$836)</f>
        <v>Maroon 5</v>
      </c>
      <c r="C445" s="1" t="s">
        <v>489</v>
      </c>
      <c r="D445" s="2" t="n">
        <v>214265</v>
      </c>
      <c r="E445" s="2" t="n">
        <f aca="false">D445/1000</f>
        <v>214.265</v>
      </c>
      <c r="F445" s="10" t="b">
        <f aca="false">FALSE()</f>
        <v>0</v>
      </c>
      <c r="G445" s="0" t="n">
        <v>21</v>
      </c>
      <c r="H445" s="0" t="n">
        <f aca="false">_xlfn.xlookup(G445, years!A$2:A$836, years!B$2:B$836)</f>
        <v>2018</v>
      </c>
      <c r="I445" s="2" t="n">
        <v>68</v>
      </c>
      <c r="J445" s="0" t="n">
        <v>0.783</v>
      </c>
      <c r="K445" s="0" t="n">
        <v>0.61</v>
      </c>
      <c r="L445" s="3" t="str">
        <f aca="false">IF(K445&gt;0.66,"High",IF(K445&gt;0.33&amp;K445&lt;=0.66,"Medium","Low"))</f>
        <v>Low</v>
      </c>
      <c r="M445" s="0" t="n">
        <v>-6.124</v>
      </c>
      <c r="N445" s="3" t="n">
        <v>0.0696</v>
      </c>
      <c r="O445" s="3" t="n">
        <v>0.343</v>
      </c>
      <c r="P445" s="4" t="n">
        <v>0</v>
      </c>
      <c r="Q445" s="3" t="n">
        <v>0.0983</v>
      </c>
      <c r="R445" s="3" t="n">
        <v>0.418</v>
      </c>
      <c r="S445" s="3" t="str">
        <f aca="false">IF(R445 &gt;= 0.5, "Positive", "Negative")</f>
        <v>Negative</v>
      </c>
      <c r="T445" s="2" t="n">
        <v>100.047</v>
      </c>
      <c r="U445" s="0" t="s">
        <v>39</v>
      </c>
    </row>
    <row r="446" customFormat="false" ht="14.25" hidden="false" customHeight="false" outlineLevel="0" collapsed="false">
      <c r="A446" s="0" t="n">
        <v>215</v>
      </c>
      <c r="B446" s="0" t="str">
        <f aca="false">_xlfn.xlookup(A446, artists!A$2:A$836, artists!B$2:B$836)</f>
        <v>Frankie J</v>
      </c>
      <c r="C446" s="1" t="s">
        <v>490</v>
      </c>
      <c r="D446" s="2" t="n">
        <v>245293</v>
      </c>
      <c r="E446" s="2" t="n">
        <f aca="false">D446/1000</f>
        <v>245.293</v>
      </c>
      <c r="F446" s="10" t="b">
        <f aca="false">FALSE()</f>
        <v>0</v>
      </c>
      <c r="G446" s="0" t="n">
        <v>6</v>
      </c>
      <c r="H446" s="0" t="n">
        <f aca="false">_xlfn.xlookup(G446, years!A$2:A$836, years!B$2:B$836)</f>
        <v>2003</v>
      </c>
      <c r="I446" s="2" t="n">
        <v>49</v>
      </c>
      <c r="J446" s="0" t="n">
        <v>0.655</v>
      </c>
      <c r="K446" s="0" t="n">
        <v>0.433</v>
      </c>
      <c r="L446" s="3" t="str">
        <f aca="false">IF(K446&gt;0.66,"High",IF(K446&gt;0.33&amp;K446&lt;=0.66,"Medium","Low"))</f>
        <v>Low</v>
      </c>
      <c r="M446" s="0" t="n">
        <v>-7.577</v>
      </c>
      <c r="N446" s="3" t="n">
        <v>0.0348</v>
      </c>
      <c r="O446" s="3" t="n">
        <v>0.444</v>
      </c>
      <c r="P446" s="4" t="n">
        <v>0</v>
      </c>
      <c r="Q446" s="3" t="n">
        <v>0.221</v>
      </c>
      <c r="R446" s="3" t="n">
        <v>0.199</v>
      </c>
      <c r="S446" s="3" t="str">
        <f aca="false">IF(R446 &gt;= 0.5, "Positive", "Negative")</f>
        <v>Negative</v>
      </c>
      <c r="T446" s="2" t="n">
        <v>130.127</v>
      </c>
      <c r="U446" s="0" t="s">
        <v>31</v>
      </c>
    </row>
    <row r="447" customFormat="false" ht="14.25" hidden="false" customHeight="false" outlineLevel="0" collapsed="false">
      <c r="A447" s="0" t="n">
        <v>480</v>
      </c>
      <c r="B447" s="0" t="str">
        <f aca="false">_xlfn.xlookup(A447, artists!A$2:A$836, artists!B$2:B$836)</f>
        <v>Swedish House Mafia</v>
      </c>
      <c r="C447" s="1" t="s">
        <v>491</v>
      </c>
      <c r="D447" s="2" t="n">
        <v>212862</v>
      </c>
      <c r="E447" s="2" t="n">
        <f aca="false">D447/1000</f>
        <v>212.862</v>
      </c>
      <c r="F447" s="10" t="b">
        <f aca="false">FALSE()</f>
        <v>0</v>
      </c>
      <c r="G447" s="0" t="n">
        <v>15</v>
      </c>
      <c r="H447" s="0" t="n">
        <f aca="false">_xlfn.xlookup(G447, years!A$2:A$836, years!B$2:B$836)</f>
        <v>2012</v>
      </c>
      <c r="I447" s="2" t="n">
        <v>76</v>
      </c>
      <c r="J447" s="0" t="n">
        <v>0.612</v>
      </c>
      <c r="K447" s="0" t="n">
        <v>0.84</v>
      </c>
      <c r="L447" s="3" t="str">
        <f aca="false">IF(K447&gt;0.66,"High",IF(K447&gt;0.33&amp;K447&lt;=0.66,"Medium","Low"))</f>
        <v>High</v>
      </c>
      <c r="M447" s="0" t="n">
        <v>-3.145</v>
      </c>
      <c r="N447" s="3" t="n">
        <v>0.0509</v>
      </c>
      <c r="O447" s="3" t="n">
        <v>0.112</v>
      </c>
      <c r="P447" s="4" t="n">
        <v>0</v>
      </c>
      <c r="Q447" s="3" t="n">
        <v>0.116</v>
      </c>
      <c r="R447" s="3" t="n">
        <v>0.438</v>
      </c>
      <c r="S447" s="3" t="str">
        <f aca="false">IF(R447 &gt;= 0.5, "Positive", "Negative")</f>
        <v>Negative</v>
      </c>
      <c r="T447" s="2" t="n">
        <v>129.042</v>
      </c>
      <c r="U447" s="0" t="s">
        <v>22</v>
      </c>
    </row>
    <row r="448" customFormat="false" ht="14.25" hidden="false" customHeight="false" outlineLevel="0" collapsed="false">
      <c r="A448" s="0" t="n">
        <v>453</v>
      </c>
      <c r="B448" s="0" t="str">
        <f aca="false">_xlfn.xlookup(A448, artists!A$2:A$836, artists!B$2:B$836)</f>
        <v>3OH!3</v>
      </c>
      <c r="C448" s="1" t="s">
        <v>492</v>
      </c>
      <c r="D448" s="2" t="n">
        <v>192573</v>
      </c>
      <c r="E448" s="2" t="n">
        <f aca="false">D448/1000</f>
        <v>192.573</v>
      </c>
      <c r="F448" s="10" t="b">
        <f aca="false">TRUE()</f>
        <v>1</v>
      </c>
      <c r="G448" s="0" t="n">
        <v>11</v>
      </c>
      <c r="H448" s="0" t="n">
        <f aca="false">_xlfn.xlookup(G448, years!A$2:A$836, years!B$2:B$836)</f>
        <v>2008</v>
      </c>
      <c r="I448" s="2" t="n">
        <v>70</v>
      </c>
      <c r="J448" s="0" t="n">
        <v>0.791</v>
      </c>
      <c r="K448" s="0" t="n">
        <v>0.713</v>
      </c>
      <c r="L448" s="3" t="str">
        <f aca="false">IF(K448&gt;0.66,"High",IF(K448&gt;0.33&amp;K448&lt;=0.66,"Medium","Low"))</f>
        <v>High</v>
      </c>
      <c r="M448" s="0" t="n">
        <v>-3.742</v>
      </c>
      <c r="N448" s="3" t="n">
        <v>0.254</v>
      </c>
      <c r="O448" s="3" t="n">
        <v>0.0163</v>
      </c>
      <c r="P448" s="4" t="n">
        <v>0</v>
      </c>
      <c r="Q448" s="3" t="n">
        <v>0.189</v>
      </c>
      <c r="R448" s="3" t="n">
        <v>0.514</v>
      </c>
      <c r="S448" s="3" t="str">
        <f aca="false">IF(R448 &gt;= 0.5, "Positive", "Negative")</f>
        <v>Positive</v>
      </c>
      <c r="T448" s="2" t="n">
        <v>130.012</v>
      </c>
      <c r="U448" s="0" t="s">
        <v>493</v>
      </c>
    </row>
    <row r="449" customFormat="false" ht="14.25" hidden="false" customHeight="false" outlineLevel="0" collapsed="false">
      <c r="A449" s="0" t="n">
        <v>246</v>
      </c>
      <c r="B449" s="0" t="str">
        <f aca="false">_xlfn.xlookup(A449, artists!A$2:A$836, artists!B$2:B$836)</f>
        <v>Jay Sean</v>
      </c>
      <c r="C449" s="1" t="s">
        <v>494</v>
      </c>
      <c r="D449" s="2" t="n">
        <v>212106</v>
      </c>
      <c r="E449" s="2" t="n">
        <f aca="false">D449/1000</f>
        <v>212.106</v>
      </c>
      <c r="F449" s="10" t="b">
        <f aca="false">FALSE()</f>
        <v>0</v>
      </c>
      <c r="G449" s="0" t="n">
        <v>12</v>
      </c>
      <c r="H449" s="0" t="n">
        <f aca="false">_xlfn.xlookup(G449, years!A$2:A$836, years!B$2:B$836)</f>
        <v>2009</v>
      </c>
      <c r="I449" s="2" t="n">
        <v>3</v>
      </c>
      <c r="J449" s="0" t="n">
        <v>0.657</v>
      </c>
      <c r="K449" s="0" t="n">
        <v>0.695</v>
      </c>
      <c r="L449" s="3" t="str">
        <f aca="false">IF(K449&gt;0.66,"High",IF(K449&gt;0.33&amp;K449&lt;=0.66,"Medium","Low"))</f>
        <v>High</v>
      </c>
      <c r="M449" s="0" t="n">
        <v>-4.493</v>
      </c>
      <c r="N449" s="3" t="n">
        <v>0.0321</v>
      </c>
      <c r="O449" s="3" t="n">
        <v>0.0108</v>
      </c>
      <c r="P449" s="4" t="n">
        <v>0</v>
      </c>
      <c r="Q449" s="3" t="n">
        <v>0.0822</v>
      </c>
      <c r="R449" s="3" t="n">
        <v>0.683</v>
      </c>
      <c r="S449" s="3" t="str">
        <f aca="false">IF(R449 &gt;= 0.5, "Positive", "Negative")</f>
        <v>Positive</v>
      </c>
      <c r="T449" s="2" t="n">
        <v>65.997</v>
      </c>
      <c r="U449" s="0" t="s">
        <v>31</v>
      </c>
    </row>
    <row r="450" customFormat="false" ht="14.25" hidden="false" customHeight="false" outlineLevel="0" collapsed="false">
      <c r="A450" s="0" t="n">
        <v>171</v>
      </c>
      <c r="B450" s="0" t="str">
        <f aca="false">_xlfn.xlookup(A450, artists!A$2:A$836, artists!B$2:B$836)</f>
        <v>Charli Baltimore</v>
      </c>
      <c r="C450" s="1" t="s">
        <v>495</v>
      </c>
      <c r="D450" s="2" t="n">
        <v>318213</v>
      </c>
      <c r="E450" s="2" t="n">
        <f aca="false">D450/1000</f>
        <v>318.213</v>
      </c>
      <c r="F450" s="10" t="b">
        <f aca="false">TRUE()</f>
        <v>1</v>
      </c>
      <c r="G450" s="0" t="n">
        <v>5</v>
      </c>
      <c r="H450" s="0" t="n">
        <f aca="false">_xlfn.xlookup(G450, years!A$2:A$836, years!B$2:B$836)</f>
        <v>2002</v>
      </c>
      <c r="I450" s="2" t="n">
        <v>47</v>
      </c>
      <c r="J450" s="0" t="n">
        <v>0.64</v>
      </c>
      <c r="K450" s="0" t="n">
        <v>0.59</v>
      </c>
      <c r="L450" s="3" t="str">
        <f aca="false">IF(K450&gt;0.66,"High",IF(K450&gt;0.33&amp;K450&lt;=0.66,"Medium","Low"))</f>
        <v>Low</v>
      </c>
      <c r="M450" s="0" t="n">
        <v>-7.442</v>
      </c>
      <c r="N450" s="3" t="n">
        <v>0.32</v>
      </c>
      <c r="O450" s="3" t="n">
        <v>0.252</v>
      </c>
      <c r="P450" s="4" t="n">
        <v>0</v>
      </c>
      <c r="Q450" s="3" t="n">
        <v>0.665</v>
      </c>
      <c r="R450" s="3" t="n">
        <v>0.519</v>
      </c>
      <c r="S450" s="3" t="str">
        <f aca="false">IF(R450 &gt;= 0.5, "Positive", "Negative")</f>
        <v>Positive</v>
      </c>
      <c r="T450" s="2" t="n">
        <v>83.133</v>
      </c>
      <c r="U450" s="0" t="s">
        <v>39</v>
      </c>
    </row>
    <row r="451" customFormat="false" ht="14.25" hidden="false" customHeight="false" outlineLevel="0" collapsed="false">
      <c r="A451" s="0" t="n">
        <v>445</v>
      </c>
      <c r="B451" s="0" t="str">
        <f aca="false">_xlfn.xlookup(A451, artists!A$2:A$836, artists!B$2:B$836)</f>
        <v>Jeremih</v>
      </c>
      <c r="C451" s="1" t="s">
        <v>496</v>
      </c>
      <c r="D451" s="2" t="n">
        <v>228453</v>
      </c>
      <c r="E451" s="2" t="n">
        <f aca="false">D451/1000</f>
        <v>228.453</v>
      </c>
      <c r="F451" s="10" t="b">
        <f aca="false">FALSE()</f>
        <v>0</v>
      </c>
      <c r="G451" s="0" t="n">
        <v>13</v>
      </c>
      <c r="H451" s="0" t="n">
        <f aca="false">_xlfn.xlookup(G451, years!A$2:A$836, years!B$2:B$836)</f>
        <v>2010</v>
      </c>
      <c r="I451" s="2" t="n">
        <v>72</v>
      </c>
      <c r="J451" s="0" t="n">
        <v>0.7</v>
      </c>
      <c r="K451" s="0" t="n">
        <v>0.598</v>
      </c>
      <c r="L451" s="3" t="str">
        <f aca="false">IF(K451&gt;0.66,"High",IF(K451&gt;0.33&amp;K451&lt;=0.66,"Medium","Low"))</f>
        <v>Low</v>
      </c>
      <c r="M451" s="0" t="n">
        <v>-7.783</v>
      </c>
      <c r="N451" s="3" t="n">
        <v>0.114</v>
      </c>
      <c r="O451" s="3" t="n">
        <v>0.0369</v>
      </c>
      <c r="P451" s="4" t="n">
        <v>0</v>
      </c>
      <c r="Q451" s="3" t="n">
        <v>0.111</v>
      </c>
      <c r="R451" s="3" t="n">
        <v>0.594</v>
      </c>
      <c r="S451" s="3" t="str">
        <f aca="false">IF(R451 &gt;= 0.5, "Positive", "Negative")</f>
        <v>Positive</v>
      </c>
      <c r="T451" s="2" t="n">
        <v>160.041</v>
      </c>
      <c r="U451" s="0" t="s">
        <v>31</v>
      </c>
    </row>
    <row r="452" customFormat="false" ht="14.25" hidden="false" customHeight="false" outlineLevel="0" collapsed="false">
      <c r="A452" s="0" t="n">
        <v>525</v>
      </c>
      <c r="B452" s="0" t="str">
        <f aca="false">_xlfn.xlookup(A452, artists!A$2:A$836, artists!B$2:B$836)</f>
        <v>Rizzle Kicks</v>
      </c>
      <c r="C452" s="1" t="s">
        <v>497</v>
      </c>
      <c r="D452" s="2" t="n">
        <v>186851</v>
      </c>
      <c r="E452" s="2" t="n">
        <f aca="false">D452/1000</f>
        <v>186.851</v>
      </c>
      <c r="F452" s="10" t="b">
        <f aca="false">FALSE()</f>
        <v>0</v>
      </c>
      <c r="G452" s="0" t="n">
        <v>14</v>
      </c>
      <c r="H452" s="0" t="n">
        <f aca="false">_xlfn.xlookup(G452, years!A$2:A$836, years!B$2:B$836)</f>
        <v>2011</v>
      </c>
      <c r="I452" s="2" t="n">
        <v>59</v>
      </c>
      <c r="J452" s="0" t="n">
        <v>0.753</v>
      </c>
      <c r="K452" s="0" t="n">
        <v>0.88</v>
      </c>
      <c r="L452" s="3" t="str">
        <f aca="false">IF(K452&gt;0.66,"High",IF(K452&gt;0.33&amp;K452&lt;=0.66,"Medium","Low"))</f>
        <v>High</v>
      </c>
      <c r="M452" s="0" t="n">
        <v>-4.689</v>
      </c>
      <c r="N452" s="3" t="n">
        <v>0.0806</v>
      </c>
      <c r="O452" s="3" t="n">
        <v>0.087</v>
      </c>
      <c r="P452" s="4" t="n">
        <v>0</v>
      </c>
      <c r="Q452" s="3" t="n">
        <v>0.24</v>
      </c>
      <c r="R452" s="3" t="n">
        <v>0.794</v>
      </c>
      <c r="S452" s="3" t="str">
        <f aca="false">IF(R452 &gt;= 0.5, "Positive", "Negative")</f>
        <v>Positive</v>
      </c>
      <c r="T452" s="2" t="n">
        <v>115.057</v>
      </c>
      <c r="U452" s="0" t="s">
        <v>29</v>
      </c>
    </row>
    <row r="453" customFormat="false" ht="14.25" hidden="false" customHeight="false" outlineLevel="0" collapsed="false">
      <c r="A453" s="0" t="n">
        <v>560</v>
      </c>
      <c r="B453" s="0" t="str">
        <f aca="false">_xlfn.xlookup(A453, artists!A$2:A$836, artists!B$2:B$836)</f>
        <v>One Direction</v>
      </c>
      <c r="C453" s="1" t="s">
        <v>498</v>
      </c>
      <c r="D453" s="2" t="n">
        <v>192120</v>
      </c>
      <c r="E453" s="2" t="n">
        <f aca="false">D453/1000</f>
        <v>192.12</v>
      </c>
      <c r="F453" s="10" t="b">
        <f aca="false">FALSE()</f>
        <v>0</v>
      </c>
      <c r="G453" s="0" t="n">
        <v>18</v>
      </c>
      <c r="H453" s="0" t="n">
        <f aca="false">_xlfn.xlookup(G453, years!A$2:A$836, years!B$2:B$836)</f>
        <v>2015</v>
      </c>
      <c r="I453" s="2" t="n">
        <v>79</v>
      </c>
      <c r="J453" s="0" t="n">
        <v>0.73</v>
      </c>
      <c r="K453" s="0" t="n">
        <v>0.703</v>
      </c>
      <c r="L453" s="3" t="str">
        <f aca="false">IF(K453&gt;0.66,"High",IF(K453&gt;0.33&amp;K453&lt;=0.66,"Medium","Low"))</f>
        <v>High</v>
      </c>
      <c r="M453" s="0" t="n">
        <v>-5.672</v>
      </c>
      <c r="N453" s="3" t="n">
        <v>0.0369</v>
      </c>
      <c r="O453" s="3" t="n">
        <v>0.109</v>
      </c>
      <c r="P453" s="4" t="n">
        <v>0</v>
      </c>
      <c r="Q453" s="3" t="n">
        <v>0.0657</v>
      </c>
      <c r="R453" s="3" t="n">
        <v>0.595</v>
      </c>
      <c r="S453" s="3" t="str">
        <f aca="false">IF(R453 &gt;= 0.5, "Positive", "Negative")</f>
        <v>Positive</v>
      </c>
      <c r="T453" s="2" t="n">
        <v>138.113</v>
      </c>
      <c r="U453" s="0" t="s">
        <v>39</v>
      </c>
    </row>
    <row r="454" customFormat="false" ht="14.25" hidden="false" customHeight="false" outlineLevel="0" collapsed="false">
      <c r="A454" s="0" t="n">
        <v>239</v>
      </c>
      <c r="B454" s="0" t="str">
        <f aca="false">_xlfn.xlookup(A454, artists!A$2:A$836, artists!B$2:B$836)</f>
        <v>O-Zone</v>
      </c>
      <c r="C454" s="1" t="s">
        <v>499</v>
      </c>
      <c r="D454" s="2" t="n">
        <v>215431</v>
      </c>
      <c r="E454" s="2" t="n">
        <f aca="false">D454/1000</f>
        <v>215.431</v>
      </c>
      <c r="F454" s="10" t="b">
        <f aca="false">FALSE()</f>
        <v>0</v>
      </c>
      <c r="G454" s="0" t="n">
        <v>7</v>
      </c>
      <c r="H454" s="0" t="n">
        <f aca="false">_xlfn.xlookup(G454, years!A$2:A$836, years!B$2:B$836)</f>
        <v>2004</v>
      </c>
      <c r="I454" s="2" t="n">
        <v>56</v>
      </c>
      <c r="J454" s="0" t="n">
        <v>0.809</v>
      </c>
      <c r="K454" s="0" t="n">
        <v>0.965</v>
      </c>
      <c r="L454" s="3" t="str">
        <f aca="false">IF(K454&gt;0.66,"High",IF(K454&gt;0.33&amp;K454&lt;=0.66,"Medium","Low"))</f>
        <v>High</v>
      </c>
      <c r="M454" s="0" t="n">
        <v>-3.947</v>
      </c>
      <c r="N454" s="3" t="n">
        <v>0.0427</v>
      </c>
      <c r="O454" s="3" t="n">
        <v>0.177</v>
      </c>
      <c r="P454" s="4" t="n">
        <v>0</v>
      </c>
      <c r="Q454" s="3" t="n">
        <v>0.0577</v>
      </c>
      <c r="R454" s="3" t="n">
        <v>0.672</v>
      </c>
      <c r="S454" s="3" t="str">
        <f aca="false">IF(R454 &gt;= 0.5, "Positive", "Negative")</f>
        <v>Positive</v>
      </c>
      <c r="T454" s="2" t="n">
        <v>130.103</v>
      </c>
      <c r="U454" s="0" t="s">
        <v>39</v>
      </c>
    </row>
    <row r="455" customFormat="false" ht="14.25" hidden="false" customHeight="false" outlineLevel="0" collapsed="false">
      <c r="A455" s="0" t="n">
        <v>372</v>
      </c>
      <c r="B455" s="0" t="str">
        <f aca="false">_xlfn.xlookup(A455, artists!A$2:A$836, artists!B$2:B$836)</f>
        <v>Calvin Harris</v>
      </c>
      <c r="C455" s="1" t="s">
        <v>500</v>
      </c>
      <c r="D455" s="2" t="n">
        <v>240346</v>
      </c>
      <c r="E455" s="2" t="n">
        <f aca="false">D455/1000</f>
        <v>240.346</v>
      </c>
      <c r="F455" s="10" t="b">
        <f aca="false">FALSE()</f>
        <v>0</v>
      </c>
      <c r="G455" s="0" t="n">
        <v>15</v>
      </c>
      <c r="H455" s="0" t="n">
        <f aca="false">_xlfn.xlookup(G455, years!A$2:A$836, years!B$2:B$836)</f>
        <v>2012</v>
      </c>
      <c r="I455" s="2" t="n">
        <v>61</v>
      </c>
      <c r="J455" s="0" t="n">
        <v>0.665</v>
      </c>
      <c r="K455" s="0" t="n">
        <v>0.886</v>
      </c>
      <c r="L455" s="3" t="str">
        <f aca="false">IF(K455&gt;0.66,"High",IF(K455&gt;0.33&amp;K455&lt;=0.66,"Medium","Low"))</f>
        <v>High</v>
      </c>
      <c r="M455" s="0" t="n">
        <v>-4.175</v>
      </c>
      <c r="N455" s="3" t="n">
        <v>0.0514</v>
      </c>
      <c r="O455" s="3" t="n">
        <v>0.0469</v>
      </c>
      <c r="P455" s="4" t="n">
        <v>6.24E-005</v>
      </c>
      <c r="Q455" s="3" t="n">
        <v>0.0525</v>
      </c>
      <c r="R455" s="3" t="n">
        <v>0.53</v>
      </c>
      <c r="S455" s="3" t="str">
        <f aca="false">IF(R455 &gt;= 0.5, "Positive", "Negative")</f>
        <v>Positive</v>
      </c>
      <c r="T455" s="2" t="n">
        <v>128.062</v>
      </c>
      <c r="U455" s="0" t="s">
        <v>53</v>
      </c>
    </row>
    <row r="456" customFormat="false" ht="14.25" hidden="false" customHeight="false" outlineLevel="0" collapsed="false">
      <c r="A456" s="0" t="n">
        <v>86</v>
      </c>
      <c r="B456" s="0" t="str">
        <f aca="false">_xlfn.xlookup(A456, artists!A$2:A$836, artists!B$2:B$836)</f>
        <v>Train</v>
      </c>
      <c r="C456" s="1" t="s">
        <v>501</v>
      </c>
      <c r="D456" s="2" t="n">
        <v>195973</v>
      </c>
      <c r="E456" s="2" t="n">
        <f aca="false">D456/1000</f>
        <v>195.973</v>
      </c>
      <c r="F456" s="10" t="b">
        <f aca="false">FALSE()</f>
        <v>0</v>
      </c>
      <c r="G456" s="0" t="n">
        <v>15</v>
      </c>
      <c r="H456" s="0" t="n">
        <f aca="false">_xlfn.xlookup(G456, years!A$2:A$836, years!B$2:B$836)</f>
        <v>2012</v>
      </c>
      <c r="I456" s="2" t="n">
        <v>77</v>
      </c>
      <c r="J456" s="0" t="n">
        <v>0.765</v>
      </c>
      <c r="K456" s="0" t="n">
        <v>0.837</v>
      </c>
      <c r="L456" s="3" t="str">
        <f aca="false">IF(K456&gt;0.66,"High",IF(K456&gt;0.33&amp;K456&lt;=0.66,"Medium","Low"))</f>
        <v>High</v>
      </c>
      <c r="M456" s="0" t="n">
        <v>-3.113</v>
      </c>
      <c r="N456" s="3" t="n">
        <v>0.032</v>
      </c>
      <c r="O456" s="3" t="n">
        <v>0.00107</v>
      </c>
      <c r="P456" s="4" t="n">
        <v>1.06E-005</v>
      </c>
      <c r="Q456" s="3" t="n">
        <v>0.0801</v>
      </c>
      <c r="R456" s="3" t="n">
        <v>0.721</v>
      </c>
      <c r="S456" s="3" t="str">
        <f aca="false">IF(R456 &gt;= 0.5, "Positive", "Negative")</f>
        <v>Positive</v>
      </c>
      <c r="T456" s="2" t="n">
        <v>122.028</v>
      </c>
      <c r="U456" s="0" t="s">
        <v>39</v>
      </c>
    </row>
    <row r="457" customFormat="false" ht="14.25" hidden="false" customHeight="false" outlineLevel="0" collapsed="false">
      <c r="A457" s="0" t="n">
        <v>216</v>
      </c>
      <c r="B457" s="0" t="str">
        <f aca="false">_xlfn.xlookup(A457, artists!A$2:A$836, artists!B$2:B$836)</f>
        <v>Snoop Dogg</v>
      </c>
      <c r="C457" s="1" t="s">
        <v>502</v>
      </c>
      <c r="D457" s="2" t="n">
        <v>266066</v>
      </c>
      <c r="E457" s="2" t="n">
        <f aca="false">D457/1000</f>
        <v>266.066</v>
      </c>
      <c r="F457" s="10" t="b">
        <f aca="false">TRUE()</f>
        <v>1</v>
      </c>
      <c r="G457" s="0" t="n">
        <v>7</v>
      </c>
      <c r="H457" s="0" t="n">
        <f aca="false">_xlfn.xlookup(G457, years!A$2:A$836, years!B$2:B$836)</f>
        <v>2004</v>
      </c>
      <c r="I457" s="2" t="n">
        <v>39</v>
      </c>
      <c r="J457" s="0" t="n">
        <v>0.892</v>
      </c>
      <c r="K457" s="0" t="n">
        <v>0.628</v>
      </c>
      <c r="L457" s="3" t="str">
        <f aca="false">IF(K457&gt;0.66,"High",IF(K457&gt;0.33&amp;K457&lt;=0.66,"Medium","Low"))</f>
        <v>Low</v>
      </c>
      <c r="M457" s="0" t="n">
        <v>-3.832</v>
      </c>
      <c r="N457" s="3" t="n">
        <v>0.216</v>
      </c>
      <c r="O457" s="3" t="n">
        <v>0.169</v>
      </c>
      <c r="P457" s="4" t="n">
        <v>0</v>
      </c>
      <c r="Q457" s="3" t="n">
        <v>0.102</v>
      </c>
      <c r="R457" s="3" t="n">
        <v>0.676</v>
      </c>
      <c r="S457" s="3" t="str">
        <f aca="false">IF(R457 &gt;= 0.5, "Positive", "Negative")</f>
        <v>Positive</v>
      </c>
      <c r="T457" s="2" t="n">
        <v>92.063</v>
      </c>
      <c r="U457" s="0" t="s">
        <v>24</v>
      </c>
    </row>
    <row r="458" customFormat="false" ht="14.25" hidden="false" customHeight="false" outlineLevel="0" collapsed="false">
      <c r="A458" s="0" t="n">
        <v>86</v>
      </c>
      <c r="B458" s="0" t="str">
        <f aca="false">_xlfn.xlookup(A458, artists!A$2:A$836, artists!B$2:B$836)</f>
        <v>Train</v>
      </c>
      <c r="C458" s="1" t="s">
        <v>503</v>
      </c>
      <c r="D458" s="2" t="n">
        <v>259933</v>
      </c>
      <c r="E458" s="2" t="n">
        <f aca="false">D458/1000</f>
        <v>259.933</v>
      </c>
      <c r="F458" s="10" t="b">
        <f aca="false">FALSE()</f>
        <v>0</v>
      </c>
      <c r="G458" s="0" t="n">
        <v>4</v>
      </c>
      <c r="H458" s="0" t="n">
        <f aca="false">_xlfn.xlookup(G458, years!A$2:A$836, years!B$2:B$836)</f>
        <v>2001</v>
      </c>
      <c r="I458" s="2" t="n">
        <v>77</v>
      </c>
      <c r="J458" s="0" t="n">
        <v>0.481</v>
      </c>
      <c r="K458" s="0" t="n">
        <v>0.638</v>
      </c>
      <c r="L458" s="3" t="str">
        <f aca="false">IF(K458&gt;0.66,"High",IF(K458&gt;0.33&amp;K458&lt;=0.66,"Medium","Low"))</f>
        <v>Low</v>
      </c>
      <c r="M458" s="0" t="n">
        <v>-5.862</v>
      </c>
      <c r="N458" s="3" t="n">
        <v>0.0276</v>
      </c>
      <c r="O458" s="3" t="n">
        <v>0.153</v>
      </c>
      <c r="P458" s="4" t="n">
        <v>0</v>
      </c>
      <c r="Q458" s="3" t="n">
        <v>0.154</v>
      </c>
      <c r="R458" s="3" t="n">
        <v>0.497</v>
      </c>
      <c r="S458" s="3" t="str">
        <f aca="false">IF(R458 &gt;= 0.5, "Positive", "Negative")</f>
        <v>Negative</v>
      </c>
      <c r="T458" s="2" t="n">
        <v>79.064</v>
      </c>
      <c r="U458" s="0" t="s">
        <v>39</v>
      </c>
    </row>
    <row r="459" customFormat="false" ht="14.25" hidden="false" customHeight="false" outlineLevel="0" collapsed="false">
      <c r="A459" s="0" t="n">
        <v>701</v>
      </c>
      <c r="B459" s="0" t="str">
        <f aca="false">_xlfn.xlookup(A459, artists!A$2:A$836, artists!B$2:B$836)</f>
        <v>MNEK</v>
      </c>
      <c r="C459" s="1" t="s">
        <v>504</v>
      </c>
      <c r="D459" s="2" t="n">
        <v>213427</v>
      </c>
      <c r="E459" s="2" t="n">
        <f aca="false">D459/1000</f>
        <v>213.427</v>
      </c>
      <c r="F459" s="10" t="b">
        <f aca="false">FALSE()</f>
        <v>0</v>
      </c>
      <c r="G459" s="0" t="n">
        <v>18</v>
      </c>
      <c r="H459" s="0" t="n">
        <f aca="false">_xlfn.xlookup(G459, years!A$2:A$836, years!B$2:B$836)</f>
        <v>2015</v>
      </c>
      <c r="I459" s="2" t="n">
        <v>45</v>
      </c>
      <c r="J459" s="0" t="n">
        <v>0.583</v>
      </c>
      <c r="K459" s="0" t="n">
        <v>0.732</v>
      </c>
      <c r="L459" s="3" t="str">
        <f aca="false">IF(K459&gt;0.66,"High",IF(K459&gt;0.33&amp;K459&lt;=0.66,"Medium","Low"))</f>
        <v>High</v>
      </c>
      <c r="M459" s="0" t="n">
        <v>-5.728</v>
      </c>
      <c r="N459" s="3" t="n">
        <v>0.0457</v>
      </c>
      <c r="O459" s="3" t="n">
        <v>0.00312</v>
      </c>
      <c r="P459" s="4" t="n">
        <v>9.86E-006</v>
      </c>
      <c r="Q459" s="3" t="n">
        <v>0.269</v>
      </c>
      <c r="R459" s="3" t="n">
        <v>0.276</v>
      </c>
      <c r="S459" s="3" t="str">
        <f aca="false">IF(R459 &gt;= 0.5, "Positive", "Negative")</f>
        <v>Negative</v>
      </c>
      <c r="T459" s="2" t="n">
        <v>145.992</v>
      </c>
      <c r="U459" s="0" t="s">
        <v>48</v>
      </c>
    </row>
    <row r="460" customFormat="false" ht="14.25" hidden="false" customHeight="false" outlineLevel="0" collapsed="false">
      <c r="A460" s="0" t="n">
        <v>192</v>
      </c>
      <c r="B460" s="0" t="str">
        <f aca="false">_xlfn.xlookup(A460, artists!A$2:A$836, artists!B$2:B$836)</f>
        <v>Beyoncé</v>
      </c>
      <c r="C460" s="1" t="s">
        <v>505</v>
      </c>
      <c r="D460" s="2" t="n">
        <v>323480</v>
      </c>
      <c r="E460" s="2" t="n">
        <f aca="false">D460/1000</f>
        <v>323.48</v>
      </c>
      <c r="F460" s="10" t="b">
        <f aca="false">TRUE()</f>
        <v>1</v>
      </c>
      <c r="G460" s="0" t="n">
        <v>17</v>
      </c>
      <c r="H460" s="0" t="n">
        <f aca="false">_xlfn.xlookup(G460, years!A$2:A$836, years!B$2:B$836)</f>
        <v>2014</v>
      </c>
      <c r="I460" s="2" t="n">
        <v>70</v>
      </c>
      <c r="J460" s="0" t="n">
        <v>0.589</v>
      </c>
      <c r="K460" s="0" t="n">
        <v>0.621</v>
      </c>
      <c r="L460" s="3" t="str">
        <f aca="false">IF(K460&gt;0.66,"High",IF(K460&gt;0.33&amp;K460&lt;=0.66,"Medium","Low"))</f>
        <v>Low</v>
      </c>
      <c r="M460" s="0" t="n">
        <v>-6.902</v>
      </c>
      <c r="N460" s="3" t="n">
        <v>0.0468</v>
      </c>
      <c r="O460" s="3" t="n">
        <v>0.00969</v>
      </c>
      <c r="P460" s="4" t="n">
        <v>0.00104</v>
      </c>
      <c r="Q460" s="3" t="n">
        <v>0.181</v>
      </c>
      <c r="R460" s="3" t="n">
        <v>0.401</v>
      </c>
      <c r="S460" s="3" t="str">
        <f aca="false">IF(R460 &gt;= 0.5, "Positive", "Negative")</f>
        <v>Negative</v>
      </c>
      <c r="T460" s="2" t="n">
        <v>140.03</v>
      </c>
      <c r="U460" s="0" t="s">
        <v>33</v>
      </c>
    </row>
    <row r="461" customFormat="false" ht="14.25" hidden="false" customHeight="false" outlineLevel="0" collapsed="false">
      <c r="A461" s="0" t="n">
        <v>38</v>
      </c>
      <c r="B461" s="0" t="str">
        <f aca="false">_xlfn.xlookup(A461, artists!A$2:A$836, artists!B$2:B$836)</f>
        <v>Enrique Iglesias</v>
      </c>
      <c r="C461" s="1" t="s">
        <v>506</v>
      </c>
      <c r="D461" s="2" t="n">
        <v>199693</v>
      </c>
      <c r="E461" s="2" t="n">
        <f aca="false">D461/1000</f>
        <v>199.693</v>
      </c>
      <c r="F461" s="10" t="b">
        <f aca="false">FALSE()</f>
        <v>0</v>
      </c>
      <c r="G461" s="0" t="n">
        <v>19</v>
      </c>
      <c r="H461" s="0" t="n">
        <f aca="false">_xlfn.xlookup(G461, years!A$2:A$836, years!B$2:B$836)</f>
        <v>2016</v>
      </c>
      <c r="I461" s="2" t="n">
        <v>68</v>
      </c>
      <c r="J461" s="0" t="n">
        <v>0.716</v>
      </c>
      <c r="K461" s="0" t="n">
        <v>0.908</v>
      </c>
      <c r="L461" s="3" t="str">
        <f aca="false">IF(K461&gt;0.66,"High",IF(K461&gt;0.33&amp;K461&lt;=0.66,"Medium","Low"))</f>
        <v>High</v>
      </c>
      <c r="M461" s="0" t="n">
        <v>-3.254</v>
      </c>
      <c r="N461" s="3" t="n">
        <v>0.103</v>
      </c>
      <c r="O461" s="3" t="n">
        <v>0.0858</v>
      </c>
      <c r="P461" s="4" t="n">
        <v>0</v>
      </c>
      <c r="Q461" s="3" t="n">
        <v>0.135</v>
      </c>
      <c r="R461" s="3" t="n">
        <v>0.869</v>
      </c>
      <c r="S461" s="3" t="str">
        <f aca="false">IF(R461 &gt;= 0.5, "Positive", "Negative")</f>
        <v>Positive</v>
      </c>
      <c r="T461" s="2" t="n">
        <v>91.03</v>
      </c>
      <c r="U461" s="0" t="s">
        <v>75</v>
      </c>
    </row>
    <row r="462" customFormat="false" ht="14.25" hidden="false" customHeight="false" outlineLevel="0" collapsed="false">
      <c r="A462" s="0" t="n">
        <v>567</v>
      </c>
      <c r="B462" s="0" t="str">
        <f aca="false">_xlfn.xlookup(A462, artists!A$2:A$836, artists!B$2:B$836)</f>
        <v>Little Mix</v>
      </c>
      <c r="C462" s="1" t="s">
        <v>507</v>
      </c>
      <c r="D462" s="2" t="n">
        <v>211773</v>
      </c>
      <c r="E462" s="2" t="n">
        <f aca="false">D462/1000</f>
        <v>211.773</v>
      </c>
      <c r="F462" s="10" t="b">
        <f aca="false">FALSE()</f>
        <v>0</v>
      </c>
      <c r="G462" s="0" t="n">
        <v>18</v>
      </c>
      <c r="H462" s="0" t="n">
        <f aca="false">_xlfn.xlookup(G462, years!A$2:A$836, years!B$2:B$836)</f>
        <v>2015</v>
      </c>
      <c r="I462" s="2" t="n">
        <v>1</v>
      </c>
      <c r="J462" s="0" t="n">
        <v>0.777</v>
      </c>
      <c r="K462" s="0" t="n">
        <v>0.896</v>
      </c>
      <c r="L462" s="3" t="str">
        <f aca="false">IF(K462&gt;0.66,"High",IF(K462&gt;0.33&amp;K462&lt;=0.66,"Medium","Low"))</f>
        <v>High</v>
      </c>
      <c r="M462" s="0" t="n">
        <v>-4.467</v>
      </c>
      <c r="N462" s="3" t="n">
        <v>0.0619</v>
      </c>
      <c r="O462" s="3" t="n">
        <v>0.0352</v>
      </c>
      <c r="P462" s="4" t="n">
        <v>0</v>
      </c>
      <c r="Q462" s="3" t="n">
        <v>0.317</v>
      </c>
      <c r="R462" s="3" t="n">
        <v>0.843</v>
      </c>
      <c r="S462" s="3" t="str">
        <f aca="false">IF(R462 &gt;= 0.5, "Positive", "Negative")</f>
        <v>Positive</v>
      </c>
      <c r="T462" s="2" t="n">
        <v>111.987</v>
      </c>
      <c r="U462" s="0" t="s">
        <v>39</v>
      </c>
    </row>
    <row r="463" customFormat="false" ht="14.25" hidden="false" customHeight="false" outlineLevel="0" collapsed="false">
      <c r="A463" s="0" t="n">
        <v>709</v>
      </c>
      <c r="B463" s="0" t="str">
        <f aca="false">_xlfn.xlookup(A463, artists!A$2:A$836, artists!B$2:B$836)</f>
        <v>ZAYN</v>
      </c>
      <c r="C463" s="1" t="s">
        <v>508</v>
      </c>
      <c r="D463" s="2" t="n">
        <v>239000</v>
      </c>
      <c r="E463" s="2" t="n">
        <f aca="false">D463/1000</f>
        <v>239</v>
      </c>
      <c r="F463" s="10" t="b">
        <f aca="false">FALSE()</f>
        <v>0</v>
      </c>
      <c r="G463" s="0" t="n">
        <v>20</v>
      </c>
      <c r="H463" s="0" t="n">
        <f aca="false">_xlfn.xlookup(G463, years!A$2:A$836, years!B$2:B$836)</f>
        <v>2017</v>
      </c>
      <c r="I463" s="2" t="n">
        <v>77</v>
      </c>
      <c r="J463" s="0" t="n">
        <v>0.259</v>
      </c>
      <c r="K463" s="0" t="n">
        <v>0.437</v>
      </c>
      <c r="L463" s="3" t="str">
        <f aca="false">IF(K463&gt;0.66,"High",IF(K463&gt;0.33&amp;K463&lt;=0.66,"Medium","Low"))</f>
        <v>Low</v>
      </c>
      <c r="M463" s="0" t="n">
        <v>-6.589</v>
      </c>
      <c r="N463" s="3" t="n">
        <v>0.0386</v>
      </c>
      <c r="O463" s="3" t="n">
        <v>0.102</v>
      </c>
      <c r="P463" s="4" t="n">
        <v>1.32E-006</v>
      </c>
      <c r="Q463" s="3" t="n">
        <v>0.106</v>
      </c>
      <c r="R463" s="3" t="n">
        <v>0.0951</v>
      </c>
      <c r="S463" s="3" t="str">
        <f aca="false">IF(R463 &gt;= 0.5, "Positive", "Negative")</f>
        <v>Negative</v>
      </c>
      <c r="T463" s="2" t="n">
        <v>180.042</v>
      </c>
      <c r="U463" s="0" t="s">
        <v>22</v>
      </c>
    </row>
    <row r="464" customFormat="false" ht="14.25" hidden="false" customHeight="false" outlineLevel="0" collapsed="false">
      <c r="A464" s="0" t="n">
        <v>472</v>
      </c>
      <c r="B464" s="0" t="str">
        <f aca="false">_xlfn.xlookup(A464, artists!A$2:A$836, artists!B$2:B$836)</f>
        <v>Taio Cruz</v>
      </c>
      <c r="C464" s="1" t="s">
        <v>509</v>
      </c>
      <c r="D464" s="2" t="n">
        <v>202613</v>
      </c>
      <c r="E464" s="2" t="n">
        <f aca="false">D464/1000</f>
        <v>202.613</v>
      </c>
      <c r="F464" s="10" t="b">
        <f aca="false">FALSE()</f>
        <v>0</v>
      </c>
      <c r="G464" s="0" t="n">
        <v>13</v>
      </c>
      <c r="H464" s="0" t="n">
        <f aca="false">_xlfn.xlookup(G464, years!A$2:A$836, years!B$2:B$836)</f>
        <v>2010</v>
      </c>
      <c r="I464" s="2" t="n">
        <v>80</v>
      </c>
      <c r="J464" s="0" t="n">
        <v>0.751</v>
      </c>
      <c r="K464" s="0" t="n">
        <v>0.783</v>
      </c>
      <c r="L464" s="3" t="str">
        <f aca="false">IF(K464&gt;0.66,"High",IF(K464&gt;0.33&amp;K464&lt;=0.66,"Medium","Low"))</f>
        <v>High</v>
      </c>
      <c r="M464" s="0" t="n">
        <v>-3.724</v>
      </c>
      <c r="N464" s="3" t="n">
        <v>0.0859</v>
      </c>
      <c r="O464" s="3" t="n">
        <v>0.00379</v>
      </c>
      <c r="P464" s="4" t="n">
        <v>0</v>
      </c>
      <c r="Q464" s="3" t="n">
        <v>0.036</v>
      </c>
      <c r="R464" s="3" t="n">
        <v>0.816</v>
      </c>
      <c r="S464" s="3" t="str">
        <f aca="false">IF(R464 &gt;= 0.5, "Positive", "Negative")</f>
        <v>Positive</v>
      </c>
      <c r="T464" s="2" t="n">
        <v>119.975</v>
      </c>
      <c r="U464" s="0" t="s">
        <v>24</v>
      </c>
    </row>
    <row r="465" customFormat="false" ht="14.25" hidden="false" customHeight="false" outlineLevel="0" collapsed="false">
      <c r="A465" s="0" t="n">
        <v>398</v>
      </c>
      <c r="B465" s="0" t="str">
        <f aca="false">_xlfn.xlookup(A465, artists!A$2:A$836, artists!B$2:B$836)</f>
        <v>Katy Perry</v>
      </c>
      <c r="C465" s="1" t="s">
        <v>510</v>
      </c>
      <c r="D465" s="2" t="n">
        <v>229573</v>
      </c>
      <c r="E465" s="2" t="n">
        <f aca="false">D465/1000</f>
        <v>229.573</v>
      </c>
      <c r="F465" s="10" t="b">
        <f aca="false">FALSE()</f>
        <v>0</v>
      </c>
      <c r="G465" s="0" t="n">
        <v>15</v>
      </c>
      <c r="H465" s="0" t="n">
        <f aca="false">_xlfn.xlookup(G465, years!A$2:A$836, years!B$2:B$836)</f>
        <v>2012</v>
      </c>
      <c r="I465" s="2" t="n">
        <v>65</v>
      </c>
      <c r="J465" s="0" t="n">
        <v>0.62</v>
      </c>
      <c r="K465" s="0" t="n">
        <v>0.869</v>
      </c>
      <c r="L465" s="3" t="str">
        <f aca="false">IF(K465&gt;0.66,"High",IF(K465&gt;0.33&amp;K465&lt;=0.66,"Medium","Low"))</f>
        <v>High</v>
      </c>
      <c r="M465" s="0" t="n">
        <v>-5.252</v>
      </c>
      <c r="N465" s="3" t="n">
        <v>0.175</v>
      </c>
      <c r="O465" s="3" t="n">
        <v>0.0181</v>
      </c>
      <c r="P465" s="4" t="n">
        <v>0</v>
      </c>
      <c r="Q465" s="3" t="n">
        <v>0.369</v>
      </c>
      <c r="R465" s="3" t="n">
        <v>0.76</v>
      </c>
      <c r="S465" s="3" t="str">
        <f aca="false">IF(R465 &gt;= 0.5, "Positive", "Negative")</f>
        <v>Positive</v>
      </c>
      <c r="T465" s="2" t="n">
        <v>151.684</v>
      </c>
      <c r="U465" s="0" t="s">
        <v>39</v>
      </c>
    </row>
    <row r="466" customFormat="false" ht="14.25" hidden="false" customHeight="false" outlineLevel="0" collapsed="false">
      <c r="A466" s="0" t="n">
        <v>825</v>
      </c>
      <c r="B466" s="0" t="str">
        <f aca="false">_xlfn.xlookup(A466, artists!A$2:A$836, artists!B$2:B$836)</f>
        <v>Tyler, The Creator</v>
      </c>
      <c r="C466" s="1" t="s">
        <v>511</v>
      </c>
      <c r="D466" s="2" t="n">
        <v>190066</v>
      </c>
      <c r="E466" s="2" t="n">
        <f aca="false">D466/1000</f>
        <v>190.066</v>
      </c>
      <c r="F466" s="10" t="b">
        <f aca="false">TRUE()</f>
        <v>1</v>
      </c>
      <c r="G466" s="0" t="n">
        <v>22</v>
      </c>
      <c r="H466" s="0" t="n">
        <f aca="false">_xlfn.xlookup(G466, years!A$2:A$836, years!B$2:B$836)</f>
        <v>2019</v>
      </c>
      <c r="I466" s="2" t="n">
        <v>80</v>
      </c>
      <c r="J466" s="0" t="n">
        <v>0.554</v>
      </c>
      <c r="K466" s="0" t="n">
        <v>0.498</v>
      </c>
      <c r="L466" s="3" t="str">
        <f aca="false">IF(K466&gt;0.66,"High",IF(K466&gt;0.33&amp;K466&lt;=0.66,"Medium","Low"))</f>
        <v>Low</v>
      </c>
      <c r="M466" s="0" t="n">
        <v>-8.866</v>
      </c>
      <c r="N466" s="3" t="n">
        <v>0.0685</v>
      </c>
      <c r="O466" s="3" t="n">
        <v>0.23</v>
      </c>
      <c r="P466" s="4" t="n">
        <v>5.98E-006</v>
      </c>
      <c r="Q466" s="3" t="n">
        <v>0.795</v>
      </c>
      <c r="R466" s="3" t="n">
        <v>0.413</v>
      </c>
      <c r="S466" s="3" t="str">
        <f aca="false">IF(R466 &gt;= 0.5, "Positive", "Negative")</f>
        <v>Negative</v>
      </c>
      <c r="T466" s="2" t="n">
        <v>79.635</v>
      </c>
      <c r="U466" s="0" t="s">
        <v>29</v>
      </c>
    </row>
    <row r="467" customFormat="false" ht="14.25" hidden="false" customHeight="false" outlineLevel="0" collapsed="false">
      <c r="A467" s="0" t="n">
        <v>644</v>
      </c>
      <c r="B467" s="0" t="str">
        <f aca="false">_xlfn.xlookup(A467, artists!A$2:A$836, artists!B$2:B$836)</f>
        <v>The Weeknd</v>
      </c>
      <c r="C467" s="1" t="s">
        <v>512</v>
      </c>
      <c r="D467" s="2" t="n">
        <v>252226</v>
      </c>
      <c r="E467" s="2" t="n">
        <f aca="false">D467/1000</f>
        <v>252.226</v>
      </c>
      <c r="F467" s="10" t="b">
        <f aca="false">FALSE()</f>
        <v>0</v>
      </c>
      <c r="G467" s="0" t="n">
        <v>17</v>
      </c>
      <c r="H467" s="0" t="n">
        <f aca="false">_xlfn.xlookup(G467, years!A$2:A$836, years!B$2:B$836)</f>
        <v>2014</v>
      </c>
      <c r="I467" s="2" t="n">
        <v>76</v>
      </c>
      <c r="J467" s="0" t="n">
        <v>0.659</v>
      </c>
      <c r="K467" s="0" t="n">
        <v>0.381</v>
      </c>
      <c r="L467" s="3" t="str">
        <f aca="false">IF(K467&gt;0.66,"High",IF(K467&gt;0.33&amp;K467&lt;=0.66,"Medium","Low"))</f>
        <v>Low</v>
      </c>
      <c r="M467" s="0" t="n">
        <v>-5.922</v>
      </c>
      <c r="N467" s="3" t="n">
        <v>0.0304</v>
      </c>
      <c r="O467" s="3" t="n">
        <v>0.385</v>
      </c>
      <c r="P467" s="4" t="n">
        <v>0</v>
      </c>
      <c r="Q467" s="3" t="n">
        <v>0.0972</v>
      </c>
      <c r="R467" s="3" t="n">
        <v>0.426</v>
      </c>
      <c r="S467" s="3" t="str">
        <f aca="false">IF(R467 &gt;= 0.5, "Positive", "Negative")</f>
        <v>Negative</v>
      </c>
      <c r="T467" s="2" t="n">
        <v>119.844</v>
      </c>
      <c r="U467" s="0" t="s">
        <v>33</v>
      </c>
    </row>
    <row r="468" customFormat="false" ht="14.25" hidden="false" customHeight="false" outlineLevel="0" collapsed="false">
      <c r="A468" s="0" t="n">
        <v>517</v>
      </c>
      <c r="B468" s="0" t="str">
        <f aca="false">_xlfn.xlookup(A468, artists!A$2:A$836, artists!B$2:B$836)</f>
        <v>Labrinth</v>
      </c>
      <c r="C468" s="1" t="s">
        <v>513</v>
      </c>
      <c r="D468" s="2" t="n">
        <v>274600</v>
      </c>
      <c r="E468" s="2" t="n">
        <f aca="false">D468/1000</f>
        <v>274.6</v>
      </c>
      <c r="F468" s="10" t="b">
        <f aca="false">TRUE()</f>
        <v>1</v>
      </c>
      <c r="G468" s="0" t="n">
        <v>15</v>
      </c>
      <c r="H468" s="0" t="n">
        <f aca="false">_xlfn.xlookup(G468, years!A$2:A$836, years!B$2:B$836)</f>
        <v>2012</v>
      </c>
      <c r="I468" s="2" t="n">
        <v>62</v>
      </c>
      <c r="J468" s="0" t="n">
        <v>0.54</v>
      </c>
      <c r="K468" s="0" t="n">
        <v>0.856</v>
      </c>
      <c r="L468" s="3" t="str">
        <f aca="false">IF(K468&gt;0.66,"High",IF(K468&gt;0.33&amp;K468&lt;=0.66,"Medium","Low"))</f>
        <v>High</v>
      </c>
      <c r="M468" s="0" t="n">
        <v>-3.966</v>
      </c>
      <c r="N468" s="3" t="n">
        <v>0.1</v>
      </c>
      <c r="O468" s="3" t="n">
        <v>0.109</v>
      </c>
      <c r="P468" s="4" t="n">
        <v>0</v>
      </c>
      <c r="Q468" s="3" t="n">
        <v>0.276</v>
      </c>
      <c r="R468" s="3" t="n">
        <v>0.258</v>
      </c>
      <c r="S468" s="3" t="str">
        <f aca="false">IF(R468 &gt;= 0.5, "Positive", "Negative")</f>
        <v>Negative</v>
      </c>
      <c r="T468" s="2" t="n">
        <v>153.071</v>
      </c>
      <c r="U468" s="0" t="s">
        <v>39</v>
      </c>
    </row>
    <row r="469" customFormat="false" ht="14.25" hidden="false" customHeight="false" outlineLevel="0" collapsed="false">
      <c r="A469" s="0" t="n">
        <v>633</v>
      </c>
      <c r="B469" s="0" t="str">
        <f aca="false">_xlfn.xlookup(A469, artists!A$2:A$836, artists!B$2:B$836)</f>
        <v>5 Seconds of Summer</v>
      </c>
      <c r="C469" s="1" t="s">
        <v>514</v>
      </c>
      <c r="D469" s="2" t="n">
        <v>157492</v>
      </c>
      <c r="E469" s="2" t="n">
        <f aca="false">D469/1000</f>
        <v>157.492</v>
      </c>
      <c r="F469" s="10" t="b">
        <f aca="false">FALSE()</f>
        <v>0</v>
      </c>
      <c r="G469" s="0" t="n">
        <v>22</v>
      </c>
      <c r="H469" s="0" t="n">
        <f aca="false">_xlfn.xlookup(G469, years!A$2:A$836, years!B$2:B$836)</f>
        <v>2019</v>
      </c>
      <c r="I469" s="2" t="n">
        <v>1</v>
      </c>
      <c r="J469" s="0" t="n">
        <v>0.505</v>
      </c>
      <c r="K469" s="0" t="n">
        <v>0.428</v>
      </c>
      <c r="L469" s="3" t="str">
        <f aca="false">IF(K469&gt;0.66,"High",IF(K469&gt;0.33&amp;K469&lt;=0.66,"Medium","Low"))</f>
        <v>Low</v>
      </c>
      <c r="M469" s="0" t="n">
        <v>-5.604</v>
      </c>
      <c r="N469" s="3" t="n">
        <v>0.221</v>
      </c>
      <c r="O469" s="3" t="n">
        <v>0.489</v>
      </c>
      <c r="P469" s="4" t="n">
        <v>0</v>
      </c>
      <c r="Q469" s="3" t="n">
        <v>0.0977</v>
      </c>
      <c r="R469" s="3" t="n">
        <v>0.618</v>
      </c>
      <c r="S469" s="3" t="str">
        <f aca="false">IF(R469 &gt;= 0.5, "Positive", "Negative")</f>
        <v>Positive</v>
      </c>
      <c r="T469" s="2" t="n">
        <v>175.813</v>
      </c>
      <c r="U469" s="0" t="s">
        <v>39</v>
      </c>
    </row>
    <row r="470" customFormat="false" ht="14.25" hidden="false" customHeight="false" outlineLevel="0" collapsed="false">
      <c r="A470" s="0" t="n">
        <v>780</v>
      </c>
      <c r="B470" s="0" t="str">
        <f aca="false">_xlfn.xlookup(A470, artists!A$2:A$836, artists!B$2:B$836)</f>
        <v>benny blanco</v>
      </c>
      <c r="C470" s="1" t="s">
        <v>515</v>
      </c>
      <c r="D470" s="2" t="n">
        <v>173799</v>
      </c>
      <c r="E470" s="2" t="n">
        <f aca="false">D470/1000</f>
        <v>173.799</v>
      </c>
      <c r="F470" s="10" t="b">
        <f aca="false">FALSE()</f>
        <v>0</v>
      </c>
      <c r="G470" s="0" t="n">
        <v>21</v>
      </c>
      <c r="H470" s="0" t="n">
        <f aca="false">_xlfn.xlookup(G470, years!A$2:A$836, years!B$2:B$836)</f>
        <v>2018</v>
      </c>
      <c r="I470" s="2" t="n">
        <v>75</v>
      </c>
      <c r="J470" s="0" t="n">
        <v>0.56</v>
      </c>
      <c r="K470" s="0" t="n">
        <v>0.68</v>
      </c>
      <c r="L470" s="3" t="str">
        <f aca="false">IF(K470&gt;0.66,"High",IF(K470&gt;0.33&amp;K470&lt;=0.66,"Medium","Low"))</f>
        <v>High</v>
      </c>
      <c r="M470" s="0" t="n">
        <v>-7.648</v>
      </c>
      <c r="N470" s="3" t="n">
        <v>0.321</v>
      </c>
      <c r="O470" s="3" t="n">
        <v>0.555</v>
      </c>
      <c r="P470" s="4" t="n">
        <v>0</v>
      </c>
      <c r="Q470" s="3" t="n">
        <v>0.116</v>
      </c>
      <c r="R470" s="3" t="n">
        <v>0.319</v>
      </c>
      <c r="S470" s="3" t="str">
        <f aca="false">IF(R470 &gt;= 0.5, "Positive", "Negative")</f>
        <v>Negative</v>
      </c>
      <c r="T470" s="2" t="n">
        <v>89.391</v>
      </c>
      <c r="U470" s="0" t="s">
        <v>24</v>
      </c>
    </row>
    <row r="471" customFormat="false" ht="14.25" hidden="false" customHeight="false" outlineLevel="0" collapsed="false">
      <c r="A471" s="0" t="n">
        <v>194</v>
      </c>
      <c r="B471" s="0" t="str">
        <f aca="false">_xlfn.xlookup(A471, artists!A$2:A$836, artists!B$2:B$836)</f>
        <v>Black Eyed Peas</v>
      </c>
      <c r="C471" s="1" t="s">
        <v>516</v>
      </c>
      <c r="D471" s="2" t="n">
        <v>289133</v>
      </c>
      <c r="E471" s="2" t="n">
        <f aca="false">D471/1000</f>
        <v>289.133</v>
      </c>
      <c r="F471" s="10" t="b">
        <f aca="false">FALSE()</f>
        <v>0</v>
      </c>
      <c r="G471" s="0" t="n">
        <v>12</v>
      </c>
      <c r="H471" s="0" t="n">
        <f aca="false">_xlfn.xlookup(G471, years!A$2:A$836, years!B$2:B$836)</f>
        <v>2009</v>
      </c>
      <c r="I471" s="2" t="n">
        <v>80</v>
      </c>
      <c r="J471" s="0" t="n">
        <v>0.743</v>
      </c>
      <c r="K471" s="0" t="n">
        <v>0.766</v>
      </c>
      <c r="L471" s="3" t="str">
        <f aca="false">IF(K471&gt;0.66,"High",IF(K471&gt;0.33&amp;K471&lt;=0.66,"Medium","Low"))</f>
        <v>High</v>
      </c>
      <c r="M471" s="0" t="n">
        <v>-6.375</v>
      </c>
      <c r="N471" s="3" t="n">
        <v>0.0265</v>
      </c>
      <c r="O471" s="3" t="n">
        <v>0.0873</v>
      </c>
      <c r="P471" s="4" t="n">
        <v>0</v>
      </c>
      <c r="Q471" s="3" t="n">
        <v>0.509</v>
      </c>
      <c r="R471" s="3" t="n">
        <v>0.61</v>
      </c>
      <c r="S471" s="3" t="str">
        <f aca="false">IF(R471 &gt;= 0.5, "Positive", "Negative")</f>
        <v>Positive</v>
      </c>
      <c r="T471" s="2" t="n">
        <v>127.96</v>
      </c>
      <c r="U471" s="0" t="s">
        <v>24</v>
      </c>
    </row>
    <row r="472" customFormat="false" ht="14.25" hidden="false" customHeight="false" outlineLevel="0" collapsed="false">
      <c r="A472" s="0" t="n">
        <v>387</v>
      </c>
      <c r="B472" s="0" t="str">
        <f aca="false">_xlfn.xlookup(A472, artists!A$2:A$836, artists!B$2:B$836)</f>
        <v>Sean Kingston</v>
      </c>
      <c r="C472" s="1" t="s">
        <v>517</v>
      </c>
      <c r="D472" s="2" t="n">
        <v>201946</v>
      </c>
      <c r="E472" s="2" t="n">
        <f aca="false">D472/1000</f>
        <v>201.946</v>
      </c>
      <c r="F472" s="10" t="b">
        <f aca="false">FALSE()</f>
        <v>0</v>
      </c>
      <c r="G472" s="0" t="n">
        <v>13</v>
      </c>
      <c r="H472" s="0" t="n">
        <f aca="false">_xlfn.xlookup(G472, years!A$2:A$836, years!B$2:B$836)</f>
        <v>2010</v>
      </c>
      <c r="I472" s="2" t="n">
        <v>74</v>
      </c>
      <c r="J472" s="0" t="n">
        <v>0.72</v>
      </c>
      <c r="K472" s="0" t="n">
        <v>0.607</v>
      </c>
      <c r="L472" s="3" t="str">
        <f aca="false">IF(K472&gt;0.66,"High",IF(K472&gt;0.33&amp;K472&lt;=0.66,"Medium","Low"))</f>
        <v>Low</v>
      </c>
      <c r="M472" s="0" t="n">
        <v>-4.168</v>
      </c>
      <c r="N472" s="3" t="n">
        <v>0.0322</v>
      </c>
      <c r="O472" s="3" t="n">
        <v>0.0543</v>
      </c>
      <c r="P472" s="4" t="n">
        <v>0</v>
      </c>
      <c r="Q472" s="3" t="n">
        <v>0.113</v>
      </c>
      <c r="R472" s="3" t="n">
        <v>0.828</v>
      </c>
      <c r="S472" s="3" t="str">
        <f aca="false">IF(R472 &gt;= 0.5, "Positive", "Negative")</f>
        <v>Positive</v>
      </c>
      <c r="T472" s="2" t="n">
        <v>121.223</v>
      </c>
      <c r="U472" s="0" t="s">
        <v>31</v>
      </c>
    </row>
    <row r="473" customFormat="false" ht="14.25" hidden="false" customHeight="false" outlineLevel="0" collapsed="false">
      <c r="A473" s="0" t="n">
        <v>582</v>
      </c>
      <c r="B473" s="0" t="str">
        <f aca="false">_xlfn.xlookup(A473, artists!A$2:A$836, artists!B$2:B$836)</f>
        <v>Selena Gomez</v>
      </c>
      <c r="C473" s="1" t="s">
        <v>518</v>
      </c>
      <c r="D473" s="2" t="n">
        <v>221560</v>
      </c>
      <c r="E473" s="2" t="n">
        <f aca="false">D473/1000</f>
        <v>221.56</v>
      </c>
      <c r="F473" s="10" t="b">
        <f aca="false">TRUE()</f>
        <v>1</v>
      </c>
      <c r="G473" s="0" t="n">
        <v>18</v>
      </c>
      <c r="H473" s="0" t="n">
        <f aca="false">_xlfn.xlookup(G473, years!A$2:A$836, years!B$2:B$836)</f>
        <v>2015</v>
      </c>
      <c r="I473" s="2" t="n">
        <v>0</v>
      </c>
      <c r="J473" s="0" t="n">
        <v>0.6</v>
      </c>
      <c r="K473" s="0" t="n">
        <v>0.676</v>
      </c>
      <c r="L473" s="3" t="str">
        <f aca="false">IF(K473&gt;0.66,"High",IF(K473&gt;0.33&amp;K473&lt;=0.66,"Medium","Low"))</f>
        <v>High</v>
      </c>
      <c r="M473" s="0" t="n">
        <v>-6.447</v>
      </c>
      <c r="N473" s="3" t="n">
        <v>0.0652</v>
      </c>
      <c r="O473" s="3" t="n">
        <v>0.154</v>
      </c>
      <c r="P473" s="4" t="n">
        <v>0</v>
      </c>
      <c r="Q473" s="3" t="n">
        <v>0.0741</v>
      </c>
      <c r="R473" s="3" t="n">
        <v>0.217</v>
      </c>
      <c r="S473" s="3" t="str">
        <f aca="false">IF(R473 &gt;= 0.5, "Positive", "Negative")</f>
        <v>Negative</v>
      </c>
      <c r="T473" s="2" t="n">
        <v>88.928</v>
      </c>
      <c r="U473" s="0" t="s">
        <v>39</v>
      </c>
    </row>
    <row r="474" customFormat="false" ht="14.25" hidden="false" customHeight="false" outlineLevel="0" collapsed="false">
      <c r="A474" s="0" t="n">
        <v>605</v>
      </c>
      <c r="B474" s="0" t="str">
        <f aca="false">_xlfn.xlookup(A474, artists!A$2:A$836, artists!B$2:B$836)</f>
        <v>Sia</v>
      </c>
      <c r="C474" s="1" t="s">
        <v>519</v>
      </c>
      <c r="D474" s="2" t="n">
        <v>257200</v>
      </c>
      <c r="E474" s="2" t="n">
        <f aca="false">D474/1000</f>
        <v>257.2</v>
      </c>
      <c r="F474" s="10" t="b">
        <f aca="false">FALSE()</f>
        <v>0</v>
      </c>
      <c r="G474" s="0" t="n">
        <v>17</v>
      </c>
      <c r="H474" s="0" t="n">
        <f aca="false">_xlfn.xlookup(G474, years!A$2:A$836, years!B$2:B$836)</f>
        <v>2014</v>
      </c>
      <c r="I474" s="2" t="n">
        <v>70</v>
      </c>
      <c r="J474" s="0" t="n">
        <v>0.421</v>
      </c>
      <c r="K474" s="0" t="n">
        <v>0.791</v>
      </c>
      <c r="L474" s="3" t="str">
        <f aca="false">IF(K474&gt;0.66,"High",IF(K474&gt;0.33&amp;K474&lt;=0.66,"Medium","Low"))</f>
        <v>High</v>
      </c>
      <c r="M474" s="0" t="n">
        <v>-4.998</v>
      </c>
      <c r="N474" s="3" t="n">
        <v>0.0496</v>
      </c>
      <c r="O474" s="3" t="n">
        <v>0.0117</v>
      </c>
      <c r="P474" s="4" t="n">
        <v>1.48E-005</v>
      </c>
      <c r="Q474" s="3" t="n">
        <v>0.146</v>
      </c>
      <c r="R474" s="3" t="n">
        <v>0.499</v>
      </c>
      <c r="S474" s="3" t="str">
        <f aca="false">IF(R474 &gt;= 0.5, "Positive", "Negative")</f>
        <v>Negative</v>
      </c>
      <c r="T474" s="2" t="n">
        <v>130.075</v>
      </c>
      <c r="U474" s="0" t="s">
        <v>39</v>
      </c>
    </row>
    <row r="475" customFormat="false" ht="14.25" hidden="false" customHeight="false" outlineLevel="0" collapsed="false">
      <c r="A475" s="0" t="n">
        <v>594</v>
      </c>
      <c r="B475" s="0" t="str">
        <f aca="false">_xlfn.xlookup(A475, artists!A$2:A$836, artists!B$2:B$836)</f>
        <v>Zedd</v>
      </c>
      <c r="C475" s="1" t="s">
        <v>520</v>
      </c>
      <c r="D475" s="2" t="n">
        <v>238800</v>
      </c>
      <c r="E475" s="2" t="n">
        <f aca="false">D475/1000</f>
        <v>238.8</v>
      </c>
      <c r="F475" s="10" t="b">
        <f aca="false">FALSE()</f>
        <v>0</v>
      </c>
      <c r="G475" s="0" t="n">
        <v>18</v>
      </c>
      <c r="H475" s="0" t="n">
        <f aca="false">_xlfn.xlookup(G475, years!A$2:A$836, years!B$2:B$836)</f>
        <v>2015</v>
      </c>
      <c r="I475" s="2" t="n">
        <v>0</v>
      </c>
      <c r="J475" s="0" t="n">
        <v>0.561</v>
      </c>
      <c r="K475" s="0" t="n">
        <v>0.877</v>
      </c>
      <c r="L475" s="3" t="str">
        <f aca="false">IF(K475&gt;0.66,"High",IF(K475&gt;0.33&amp;K475&lt;=0.66,"Medium","Low"))</f>
        <v>High</v>
      </c>
      <c r="M475" s="0" t="n">
        <v>-2.215</v>
      </c>
      <c r="N475" s="3" t="n">
        <v>0.0659</v>
      </c>
      <c r="O475" s="3" t="n">
        <v>0.00621</v>
      </c>
      <c r="P475" s="4" t="n">
        <v>8.11E-006</v>
      </c>
      <c r="Q475" s="3" t="n">
        <v>0.28</v>
      </c>
      <c r="R475" s="3" t="n">
        <v>0.375</v>
      </c>
      <c r="S475" s="3" t="str">
        <f aca="false">IF(R475 &gt;= 0.5, "Positive", "Negative")</f>
        <v>Negative</v>
      </c>
      <c r="T475" s="2" t="n">
        <v>130.003</v>
      </c>
      <c r="U475" s="0" t="s">
        <v>53</v>
      </c>
    </row>
    <row r="476" customFormat="false" ht="14.25" hidden="false" customHeight="false" outlineLevel="0" collapsed="false">
      <c r="A476" s="0" t="n">
        <v>807</v>
      </c>
      <c r="B476" s="0" t="str">
        <f aca="false">_xlfn.xlookup(A476, artists!A$2:A$836, artists!B$2:B$836)</f>
        <v>iann dior</v>
      </c>
      <c r="C476" s="1" t="s">
        <v>521</v>
      </c>
      <c r="D476" s="2" t="n">
        <v>131213</v>
      </c>
      <c r="E476" s="2" t="n">
        <f aca="false">D476/1000</f>
        <v>131.213</v>
      </c>
      <c r="F476" s="10" t="b">
        <f aca="false">FALSE()</f>
        <v>0</v>
      </c>
      <c r="G476" s="0" t="n">
        <v>22</v>
      </c>
      <c r="H476" s="0" t="n">
        <f aca="false">_xlfn.xlookup(G476, years!A$2:A$836, years!B$2:B$836)</f>
        <v>2019</v>
      </c>
      <c r="I476" s="2" t="n">
        <v>72</v>
      </c>
      <c r="J476" s="0" t="n">
        <v>0.63</v>
      </c>
      <c r="K476" s="0" t="n">
        <v>0.63</v>
      </c>
      <c r="L476" s="3" t="str">
        <f aca="false">IF(K476&gt;0.66,"High",IF(K476&gt;0.33&amp;K476&lt;=0.66,"Medium","Low"))</f>
        <v>Low</v>
      </c>
      <c r="M476" s="0" t="n">
        <v>-6.211</v>
      </c>
      <c r="N476" s="3" t="n">
        <v>0.0395</v>
      </c>
      <c r="O476" s="3" t="n">
        <v>0.0131</v>
      </c>
      <c r="P476" s="4" t="n">
        <v>0</v>
      </c>
      <c r="Q476" s="3" t="n">
        <v>0.142</v>
      </c>
      <c r="R476" s="3" t="n">
        <v>0.163</v>
      </c>
      <c r="S476" s="3" t="str">
        <f aca="false">IF(R476 &gt;= 0.5, "Positive", "Negative")</f>
        <v>Negative</v>
      </c>
      <c r="T476" s="2" t="n">
        <v>80.512</v>
      </c>
      <c r="U476" s="0" t="s">
        <v>24</v>
      </c>
    </row>
    <row r="477" customFormat="false" ht="14.25" hidden="false" customHeight="false" outlineLevel="0" collapsed="false">
      <c r="A477" s="0" t="n">
        <v>35</v>
      </c>
      <c r="B477" s="0" t="str">
        <f aca="false">_xlfn.xlookup(A477, artists!A$2:A$836, artists!B$2:B$836)</f>
        <v>JAY-Z</v>
      </c>
      <c r="C477" s="1" t="s">
        <v>522</v>
      </c>
      <c r="D477" s="2" t="n">
        <v>276920</v>
      </c>
      <c r="E477" s="2" t="n">
        <f aca="false">D477/1000</f>
        <v>276.92</v>
      </c>
      <c r="F477" s="10" t="b">
        <f aca="false">TRUE()</f>
        <v>1</v>
      </c>
      <c r="G477" s="0" t="n">
        <v>12</v>
      </c>
      <c r="H477" s="0" t="n">
        <f aca="false">_xlfn.xlookup(G477, years!A$2:A$836, years!B$2:B$836)</f>
        <v>2009</v>
      </c>
      <c r="I477" s="2" t="n">
        <v>82</v>
      </c>
      <c r="J477" s="0" t="n">
        <v>0.491</v>
      </c>
      <c r="K477" s="0" t="n">
        <v>0.956</v>
      </c>
      <c r="L477" s="3" t="str">
        <f aca="false">IF(K477&gt;0.66,"High",IF(K477&gt;0.33&amp;K477&lt;=0.66,"Medium","Low"))</f>
        <v>High</v>
      </c>
      <c r="M477" s="0" t="n">
        <v>-1.538</v>
      </c>
      <c r="N477" s="3" t="n">
        <v>0.392</v>
      </c>
      <c r="O477" s="3" t="n">
        <v>0.0295</v>
      </c>
      <c r="P477" s="4" t="n">
        <v>0</v>
      </c>
      <c r="Q477" s="3" t="n">
        <v>0.46</v>
      </c>
      <c r="R477" s="3" t="n">
        <v>0.811</v>
      </c>
      <c r="S477" s="3" t="str">
        <f aca="false">IF(R477 &gt;= 0.5, "Positive", "Negative")</f>
        <v>Positive</v>
      </c>
      <c r="T477" s="2" t="n">
        <v>173.585</v>
      </c>
      <c r="U477" s="0" t="s">
        <v>29</v>
      </c>
    </row>
    <row r="478" customFormat="false" ht="14.25" hidden="false" customHeight="false" outlineLevel="0" collapsed="false">
      <c r="A478" s="0" t="n">
        <v>179</v>
      </c>
      <c r="B478" s="0" t="str">
        <f aca="false">_xlfn.xlookup(A478, artists!A$2:A$836, artists!B$2:B$836)</f>
        <v>Alicia Keys</v>
      </c>
      <c r="C478" s="1" t="s">
        <v>523</v>
      </c>
      <c r="D478" s="2" t="n">
        <v>216480</v>
      </c>
      <c r="E478" s="2" t="n">
        <f aca="false">D478/1000</f>
        <v>216.48</v>
      </c>
      <c r="F478" s="10" t="b">
        <f aca="false">FALSE()</f>
        <v>0</v>
      </c>
      <c r="G478" s="0" t="n">
        <v>12</v>
      </c>
      <c r="H478" s="0" t="n">
        <f aca="false">_xlfn.xlookup(G478, years!A$2:A$836, years!B$2:B$836)</f>
        <v>2009</v>
      </c>
      <c r="I478" s="2" t="n">
        <v>71</v>
      </c>
      <c r="J478" s="0" t="n">
        <v>0.484</v>
      </c>
      <c r="K478" s="0" t="n">
        <v>0.368</v>
      </c>
      <c r="L478" s="3" t="str">
        <f aca="false">IF(K478&gt;0.66,"High",IF(K478&gt;0.33&amp;K478&lt;=0.66,"Medium","Low"))</f>
        <v>Low</v>
      </c>
      <c r="M478" s="0" t="n">
        <v>-7.784</v>
      </c>
      <c r="N478" s="3" t="n">
        <v>0.0341</v>
      </c>
      <c r="O478" s="3" t="n">
        <v>0.74</v>
      </c>
      <c r="P478" s="4" t="n">
        <v>3.82E-005</v>
      </c>
      <c r="Q478" s="3" t="n">
        <v>0.118</v>
      </c>
      <c r="R478" s="3" t="n">
        <v>0.142</v>
      </c>
      <c r="S478" s="3" t="str">
        <f aca="false">IF(R478 &gt;= 0.5, "Positive", "Negative")</f>
        <v>Negative</v>
      </c>
      <c r="T478" s="2" t="n">
        <v>92.923</v>
      </c>
      <c r="U478" s="0" t="s">
        <v>33</v>
      </c>
    </row>
    <row r="479" customFormat="false" ht="14.25" hidden="false" customHeight="false" outlineLevel="0" collapsed="false">
      <c r="A479" s="0" t="n">
        <v>38</v>
      </c>
      <c r="B479" s="0" t="str">
        <f aca="false">_xlfn.xlookup(A479, artists!A$2:A$836, artists!B$2:B$836)</f>
        <v>Enrique Iglesias</v>
      </c>
      <c r="C479" s="1" t="s">
        <v>524</v>
      </c>
      <c r="D479" s="2" t="n">
        <v>208626</v>
      </c>
      <c r="E479" s="2" t="n">
        <f aca="false">D479/1000</f>
        <v>208.626</v>
      </c>
      <c r="F479" s="10" t="b">
        <f aca="false">FALSE()</f>
        <v>0</v>
      </c>
      <c r="G479" s="0" t="n">
        <v>4</v>
      </c>
      <c r="H479" s="0" t="n">
        <f aca="false">_xlfn.xlookup(G479, years!A$2:A$836, years!B$2:B$836)</f>
        <v>2001</v>
      </c>
      <c r="I479" s="2" t="n">
        <v>56</v>
      </c>
      <c r="J479" s="0" t="n">
        <v>0.776</v>
      </c>
      <c r="K479" s="0" t="n">
        <v>0.844</v>
      </c>
      <c r="L479" s="3" t="str">
        <f aca="false">IF(K479&gt;0.66,"High",IF(K479&gt;0.33&amp;K479&lt;=0.66,"Medium","Low"))</f>
        <v>High</v>
      </c>
      <c r="M479" s="0" t="n">
        <v>-5.305</v>
      </c>
      <c r="N479" s="3" t="n">
        <v>0.0297</v>
      </c>
      <c r="O479" s="3" t="n">
        <v>0.0277</v>
      </c>
      <c r="P479" s="4" t="n">
        <v>0.000244</v>
      </c>
      <c r="Q479" s="3" t="n">
        <v>0.135</v>
      </c>
      <c r="R479" s="3" t="n">
        <v>0.868</v>
      </c>
      <c r="S479" s="3" t="str">
        <f aca="false">IF(R479 &gt;= 0.5, "Positive", "Negative")</f>
        <v>Positive</v>
      </c>
      <c r="T479" s="2" t="n">
        <v>125.972</v>
      </c>
      <c r="U479" s="0" t="s">
        <v>75</v>
      </c>
    </row>
    <row r="480" customFormat="false" ht="14.25" hidden="false" customHeight="false" outlineLevel="0" collapsed="false">
      <c r="A480" s="0" t="n">
        <v>121</v>
      </c>
      <c r="B480" s="0" t="str">
        <f aca="false">_xlfn.xlookup(A480, artists!A$2:A$836, artists!B$2:B$836)</f>
        <v>Atomic Kitten</v>
      </c>
      <c r="C480" s="1" t="s">
        <v>525</v>
      </c>
      <c r="D480" s="2" t="n">
        <v>195506</v>
      </c>
      <c r="E480" s="2" t="n">
        <f aca="false">D480/1000</f>
        <v>195.506</v>
      </c>
      <c r="F480" s="10" t="b">
        <f aca="false">FALSE()</f>
        <v>0</v>
      </c>
      <c r="G480" s="0" t="n">
        <v>4</v>
      </c>
      <c r="H480" s="0" t="n">
        <f aca="false">_xlfn.xlookup(G480, years!A$2:A$836, years!B$2:B$836)</f>
        <v>2001</v>
      </c>
      <c r="I480" s="2" t="n">
        <v>58</v>
      </c>
      <c r="J480" s="0" t="n">
        <v>0.578</v>
      </c>
      <c r="K480" s="0" t="n">
        <v>0.581</v>
      </c>
      <c r="L480" s="3" t="str">
        <f aca="false">IF(K480&gt;0.66,"High",IF(K480&gt;0.33&amp;K480&lt;=0.66,"Medium","Low"))</f>
        <v>Low</v>
      </c>
      <c r="M480" s="0" t="n">
        <v>-6.867</v>
      </c>
      <c r="N480" s="3" t="n">
        <v>0.0318</v>
      </c>
      <c r="O480" s="3" t="n">
        <v>0.0658</v>
      </c>
      <c r="P480" s="4" t="n">
        <v>0.0042</v>
      </c>
      <c r="Q480" s="3" t="n">
        <v>0.0674</v>
      </c>
      <c r="R480" s="3" t="n">
        <v>0.408</v>
      </c>
      <c r="S480" s="3" t="str">
        <f aca="false">IF(R480 &gt;= 0.5, "Positive", "Negative")</f>
        <v>Negative</v>
      </c>
      <c r="T480" s="2" t="n">
        <v>83.293</v>
      </c>
      <c r="U480" s="0" t="s">
        <v>39</v>
      </c>
    </row>
    <row r="481" customFormat="false" ht="14.25" hidden="false" customHeight="false" outlineLevel="0" collapsed="false">
      <c r="A481" s="0" t="n">
        <v>8</v>
      </c>
      <c r="B481" s="0" t="str">
        <f aca="false">_xlfn.xlookup(A481, artists!A$2:A$836, artists!B$2:B$836)</f>
        <v>Robbie Williams</v>
      </c>
      <c r="C481" s="1" t="s">
        <v>526</v>
      </c>
      <c r="D481" s="2" t="n">
        <v>302760</v>
      </c>
      <c r="E481" s="2" t="n">
        <f aca="false">D481/1000</f>
        <v>302.76</v>
      </c>
      <c r="F481" s="10" t="b">
        <f aca="false">FALSE()</f>
        <v>0</v>
      </c>
      <c r="G481" s="0" t="n">
        <v>4</v>
      </c>
      <c r="H481" s="0" t="n">
        <f aca="false">_xlfn.xlookup(G481, years!A$2:A$836, years!B$2:B$836)</f>
        <v>2001</v>
      </c>
      <c r="I481" s="2" t="n">
        <v>48</v>
      </c>
      <c r="J481" s="0" t="n">
        <v>0.469</v>
      </c>
      <c r="K481" s="0" t="n">
        <v>0.316</v>
      </c>
      <c r="L481" s="3" t="str">
        <f aca="false">IF(K481&gt;0.66,"High",IF(K481&gt;0.33&amp;K481&lt;=0.66,"Medium","Low"))</f>
        <v>Low</v>
      </c>
      <c r="M481" s="0" t="n">
        <v>-8.106</v>
      </c>
      <c r="N481" s="3" t="n">
        <v>0.0265</v>
      </c>
      <c r="O481" s="3" t="n">
        <v>0.504</v>
      </c>
      <c r="P481" s="4" t="n">
        <v>6.04E-006</v>
      </c>
      <c r="Q481" s="3" t="n">
        <v>0.0919</v>
      </c>
      <c r="R481" s="3" t="n">
        <v>0.199</v>
      </c>
      <c r="S481" s="3" t="str">
        <f aca="false">IF(R481 &gt;= 0.5, "Positive", "Negative")</f>
        <v>Negative</v>
      </c>
      <c r="T481" s="2" t="n">
        <v>77.967</v>
      </c>
      <c r="U481" s="0" t="s">
        <v>210</v>
      </c>
    </row>
    <row r="482" customFormat="false" ht="14.25" hidden="false" customHeight="false" outlineLevel="0" collapsed="false">
      <c r="A482" s="0" t="n">
        <v>333</v>
      </c>
      <c r="B482" s="0" t="str">
        <f aca="false">_xlfn.xlookup(A482, artists!A$2:A$836, artists!B$2:B$836)</f>
        <v>Cascada</v>
      </c>
      <c r="C482" s="1" t="s">
        <v>527</v>
      </c>
      <c r="D482" s="2" t="n">
        <v>207200</v>
      </c>
      <c r="E482" s="2" t="n">
        <f aca="false">D482/1000</f>
        <v>207.2</v>
      </c>
      <c r="F482" s="10" t="b">
        <f aca="false">FALSE()</f>
        <v>0</v>
      </c>
      <c r="G482" s="0" t="n">
        <v>12</v>
      </c>
      <c r="H482" s="0" t="n">
        <f aca="false">_xlfn.xlookup(G482, years!A$2:A$836, years!B$2:B$836)</f>
        <v>2009</v>
      </c>
      <c r="I482" s="2" t="n">
        <v>63</v>
      </c>
      <c r="J482" s="0" t="n">
        <v>0.762</v>
      </c>
      <c r="K482" s="0" t="n">
        <v>0.702</v>
      </c>
      <c r="L482" s="3" t="str">
        <f aca="false">IF(K482&gt;0.66,"High",IF(K482&gt;0.33&amp;K482&lt;=0.66,"Medium","Low"))</f>
        <v>High</v>
      </c>
      <c r="M482" s="0" t="n">
        <v>-5.87</v>
      </c>
      <c r="N482" s="3" t="n">
        <v>0.0432</v>
      </c>
      <c r="O482" s="3" t="n">
        <v>0.0167</v>
      </c>
      <c r="P482" s="4" t="n">
        <v>0</v>
      </c>
      <c r="Q482" s="3" t="n">
        <v>0.314</v>
      </c>
      <c r="R482" s="3" t="n">
        <v>0.898</v>
      </c>
      <c r="S482" s="3" t="str">
        <f aca="false">IF(R482 &gt;= 0.5, "Positive", "Negative")</f>
        <v>Positive</v>
      </c>
      <c r="T482" s="2" t="n">
        <v>127.029</v>
      </c>
      <c r="U482" s="0" t="s">
        <v>53</v>
      </c>
    </row>
    <row r="483" customFormat="false" ht="14.25" hidden="false" customHeight="false" outlineLevel="0" collapsed="false">
      <c r="A483" s="0" t="n">
        <v>180</v>
      </c>
      <c r="B483" s="0" t="str">
        <f aca="false">_xlfn.xlookup(A483, artists!A$2:A$836, artists!B$2:B$836)</f>
        <v>Coldplay</v>
      </c>
      <c r="C483" s="1" t="s">
        <v>528</v>
      </c>
      <c r="D483" s="2" t="n">
        <v>240796</v>
      </c>
      <c r="E483" s="2" t="n">
        <f aca="false">D483/1000</f>
        <v>240.796</v>
      </c>
      <c r="F483" s="10" t="b">
        <f aca="false">FALSE()</f>
        <v>0</v>
      </c>
      <c r="G483" s="0" t="n">
        <v>14</v>
      </c>
      <c r="H483" s="0" t="n">
        <f aca="false">_xlfn.xlookup(G483, years!A$2:A$836, years!B$2:B$836)</f>
        <v>2011</v>
      </c>
      <c r="I483" s="2" t="n">
        <v>69</v>
      </c>
      <c r="J483" s="0" t="n">
        <v>0.425</v>
      </c>
      <c r="K483" s="0" t="n">
        <v>0.732</v>
      </c>
      <c r="L483" s="3" t="str">
        <f aca="false">IF(K483&gt;0.66,"High",IF(K483&gt;0.33&amp;K483&lt;=0.66,"Medium","Low"))</f>
        <v>High</v>
      </c>
      <c r="M483" s="0" t="n">
        <v>-6.883</v>
      </c>
      <c r="N483" s="3" t="n">
        <v>0.0396</v>
      </c>
      <c r="O483" s="3" t="n">
        <v>0.00194</v>
      </c>
      <c r="P483" s="4" t="n">
        <v>0.0103</v>
      </c>
      <c r="Q483" s="3" t="n">
        <v>0.171</v>
      </c>
      <c r="R483" s="3" t="n">
        <v>0.333</v>
      </c>
      <c r="S483" s="3" t="str">
        <f aca="false">IF(R483 &gt;= 0.5, "Positive", "Negative")</f>
        <v>Negative</v>
      </c>
      <c r="T483" s="2" t="n">
        <v>117.98</v>
      </c>
      <c r="U483" s="0" t="s">
        <v>35</v>
      </c>
    </row>
    <row r="484" customFormat="false" ht="14.25" hidden="false" customHeight="false" outlineLevel="0" collapsed="false">
      <c r="A484" s="0" t="n">
        <v>452</v>
      </c>
      <c r="B484" s="0" t="str">
        <f aca="false">_xlfn.xlookup(A484, artists!A$2:A$836, artists!B$2:B$836)</f>
        <v>JLS</v>
      </c>
      <c r="C484" s="1" t="s">
        <v>529</v>
      </c>
      <c r="D484" s="2" t="n">
        <v>195586</v>
      </c>
      <c r="E484" s="2" t="n">
        <f aca="false">D484/1000</f>
        <v>195.586</v>
      </c>
      <c r="F484" s="10" t="b">
        <f aca="false">FALSE()</f>
        <v>0</v>
      </c>
      <c r="G484" s="0" t="n">
        <v>16</v>
      </c>
      <c r="H484" s="0" t="n">
        <f aca="false">_xlfn.xlookup(G484, years!A$2:A$836, years!B$2:B$836)</f>
        <v>2013</v>
      </c>
      <c r="I484" s="2" t="n">
        <v>39</v>
      </c>
      <c r="J484" s="0" t="n">
        <v>0.705</v>
      </c>
      <c r="K484" s="0" t="n">
        <v>0.783</v>
      </c>
      <c r="L484" s="3" t="str">
        <f aca="false">IF(K484&gt;0.66,"High",IF(K484&gt;0.33&amp;K484&lt;=0.66,"Medium","Low"))</f>
        <v>High</v>
      </c>
      <c r="M484" s="0" t="n">
        <v>-5.971</v>
      </c>
      <c r="N484" s="3" t="n">
        <v>0.0327</v>
      </c>
      <c r="O484" s="3" t="n">
        <v>0.0703</v>
      </c>
      <c r="P484" s="4" t="n">
        <v>0</v>
      </c>
      <c r="Q484" s="3" t="n">
        <v>0.36</v>
      </c>
      <c r="R484" s="3" t="n">
        <v>0.656</v>
      </c>
      <c r="S484" s="3" t="str">
        <f aca="false">IF(R484 &gt;= 0.5, "Positive", "Negative")</f>
        <v>Positive</v>
      </c>
      <c r="T484" s="2" t="n">
        <v>140.022</v>
      </c>
      <c r="U484" s="0" t="s">
        <v>39</v>
      </c>
    </row>
    <row r="485" customFormat="false" ht="14.25" hidden="false" customHeight="false" outlineLevel="0" collapsed="false">
      <c r="A485" s="0" t="n">
        <v>644</v>
      </c>
      <c r="B485" s="0" t="str">
        <f aca="false">_xlfn.xlookup(A485, artists!A$2:A$836, artists!B$2:B$836)</f>
        <v>The Weeknd</v>
      </c>
      <c r="C485" s="1" t="s">
        <v>530</v>
      </c>
      <c r="D485" s="2" t="n">
        <v>235653</v>
      </c>
      <c r="E485" s="2" t="n">
        <f aca="false">D485/1000</f>
        <v>235.653</v>
      </c>
      <c r="F485" s="10" t="b">
        <f aca="false">TRUE()</f>
        <v>1</v>
      </c>
      <c r="G485" s="0" t="n">
        <v>18</v>
      </c>
      <c r="H485" s="0" t="n">
        <f aca="false">_xlfn.xlookup(G485, years!A$2:A$836, years!B$2:B$836)</f>
        <v>2015</v>
      </c>
      <c r="I485" s="2" t="n">
        <v>0</v>
      </c>
      <c r="J485" s="0" t="n">
        <v>0.48</v>
      </c>
      <c r="K485" s="0" t="n">
        <v>0.682</v>
      </c>
      <c r="L485" s="3" t="str">
        <f aca="false">IF(K485&gt;0.66,"High",IF(K485&gt;0.33&amp;K485&lt;=0.66,"Medium","Low"))</f>
        <v>High</v>
      </c>
      <c r="M485" s="0" t="n">
        <v>-4.94</v>
      </c>
      <c r="N485" s="3" t="n">
        <v>0.13</v>
      </c>
      <c r="O485" s="3" t="n">
        <v>0.0696</v>
      </c>
      <c r="P485" s="4" t="n">
        <v>0</v>
      </c>
      <c r="Q485" s="3" t="n">
        <v>0.0463</v>
      </c>
      <c r="R485" s="3" t="n">
        <v>0.506</v>
      </c>
      <c r="S485" s="3" t="str">
        <f aca="false">IF(R485 &gt;= 0.5, "Positive", "Negative")</f>
        <v>Positive</v>
      </c>
      <c r="T485" s="2" t="n">
        <v>167.939</v>
      </c>
      <c r="U485" s="0" t="s">
        <v>33</v>
      </c>
    </row>
    <row r="486" customFormat="false" ht="14.25" hidden="false" customHeight="false" outlineLevel="0" collapsed="false">
      <c r="A486" s="0" t="n">
        <v>305</v>
      </c>
      <c r="B486" s="0" t="str">
        <f aca="false">_xlfn.xlookup(A486, artists!A$2:A$836, artists!B$2:B$836)</f>
        <v>Kaiser Chiefs</v>
      </c>
      <c r="C486" s="1" t="s">
        <v>531</v>
      </c>
      <c r="D486" s="2" t="n">
        <v>217706</v>
      </c>
      <c r="E486" s="2" t="n">
        <f aca="false">D486/1000</f>
        <v>217.706</v>
      </c>
      <c r="F486" s="10" t="b">
        <f aca="false">FALSE()</f>
        <v>0</v>
      </c>
      <c r="G486" s="0" t="n">
        <v>8</v>
      </c>
      <c r="H486" s="0" t="n">
        <f aca="false">_xlfn.xlookup(G486, years!A$2:A$836, years!B$2:B$836)</f>
        <v>2005</v>
      </c>
      <c r="I486" s="2" t="n">
        <v>58</v>
      </c>
      <c r="J486" s="0" t="n">
        <v>0.49</v>
      </c>
      <c r="K486" s="0" t="n">
        <v>0.956</v>
      </c>
      <c r="L486" s="3" t="str">
        <f aca="false">IF(K486&gt;0.66,"High",IF(K486&gt;0.33&amp;K486&lt;=0.66,"Medium","Low"))</f>
        <v>High</v>
      </c>
      <c r="M486" s="0" t="n">
        <v>-4.556</v>
      </c>
      <c r="N486" s="3" t="n">
        <v>0.0407</v>
      </c>
      <c r="O486" s="3" t="n">
        <v>0.00466</v>
      </c>
      <c r="P486" s="4" t="n">
        <v>6.15E-006</v>
      </c>
      <c r="Q486" s="3" t="n">
        <v>0.242</v>
      </c>
      <c r="R486" s="3" t="n">
        <v>0.577</v>
      </c>
      <c r="S486" s="3" t="str">
        <f aca="false">IF(R486 &gt;= 0.5, "Positive", "Negative")</f>
        <v>Positive</v>
      </c>
      <c r="T486" s="2" t="n">
        <v>160.028</v>
      </c>
      <c r="U486" s="0" t="s">
        <v>43</v>
      </c>
    </row>
    <row r="487" customFormat="false" ht="14.25" hidden="false" customHeight="false" outlineLevel="0" collapsed="false">
      <c r="A487" s="0" t="n">
        <v>1</v>
      </c>
      <c r="B487" s="0" t="str">
        <f aca="false">_xlfn.xlookup(A487, artists!A$2:A$836, artists!B$2:B$836)</f>
        <v>Britney Spears</v>
      </c>
      <c r="C487" s="1" t="s">
        <v>532</v>
      </c>
      <c r="D487" s="2" t="n">
        <v>230306</v>
      </c>
      <c r="E487" s="2" t="n">
        <f aca="false">D487/1000</f>
        <v>230.306</v>
      </c>
      <c r="F487" s="10" t="b">
        <f aca="false">FALSE()</f>
        <v>0</v>
      </c>
      <c r="G487" s="0" t="n">
        <v>6</v>
      </c>
      <c r="H487" s="0" t="n">
        <f aca="false">_xlfn.xlookup(G487, years!A$2:A$836, years!B$2:B$836)</f>
        <v>2003</v>
      </c>
      <c r="I487" s="2" t="n">
        <v>63</v>
      </c>
      <c r="J487" s="0" t="n">
        <v>0.398</v>
      </c>
      <c r="K487" s="0" t="n">
        <v>0.284</v>
      </c>
      <c r="L487" s="3" t="str">
        <f aca="false">IF(K487&gt;0.66,"High",IF(K487&gt;0.33&amp;K487&lt;=0.66,"Medium","Low"))</f>
        <v>Low</v>
      </c>
      <c r="M487" s="0" t="n">
        <v>-12.852</v>
      </c>
      <c r="N487" s="3" t="n">
        <v>0.0337</v>
      </c>
      <c r="O487" s="3" t="n">
        <v>0.966</v>
      </c>
      <c r="P487" s="4" t="n">
        <v>8.57E-005</v>
      </c>
      <c r="Q487" s="3" t="n">
        <v>0.116</v>
      </c>
      <c r="R487" s="3" t="n">
        <v>0.114</v>
      </c>
      <c r="S487" s="3" t="str">
        <f aca="false">IF(R487 &gt;= 0.5, "Positive", "Negative")</f>
        <v>Negative</v>
      </c>
      <c r="T487" s="2" t="n">
        <v>109.599</v>
      </c>
      <c r="U487" s="0" t="s">
        <v>39</v>
      </c>
    </row>
    <row r="488" customFormat="false" ht="14.25" hidden="false" customHeight="false" outlineLevel="0" collapsed="false">
      <c r="A488" s="0" t="n">
        <v>333</v>
      </c>
      <c r="B488" s="0" t="str">
        <f aca="false">_xlfn.xlookup(A488, artists!A$2:A$836, artists!B$2:B$836)</f>
        <v>Cascada</v>
      </c>
      <c r="C488" s="1" t="s">
        <v>533</v>
      </c>
      <c r="D488" s="2" t="n">
        <v>199120</v>
      </c>
      <c r="E488" s="2" t="n">
        <f aca="false">D488/1000</f>
        <v>199.12</v>
      </c>
      <c r="F488" s="10" t="b">
        <f aca="false">FALSE()</f>
        <v>0</v>
      </c>
      <c r="G488" s="0" t="n">
        <v>14</v>
      </c>
      <c r="H488" s="0" t="n">
        <f aca="false">_xlfn.xlookup(G488, years!A$2:A$836, years!B$2:B$836)</f>
        <v>2011</v>
      </c>
      <c r="I488" s="2" t="n">
        <v>0</v>
      </c>
      <c r="J488" s="0" t="n">
        <v>0.64</v>
      </c>
      <c r="K488" s="0" t="n">
        <v>0.977</v>
      </c>
      <c r="L488" s="3" t="str">
        <f aca="false">IF(K488&gt;0.66,"High",IF(K488&gt;0.33&amp;K488&lt;=0.66,"Medium","Low"))</f>
        <v>High</v>
      </c>
      <c r="M488" s="0" t="n">
        <v>-5.369</v>
      </c>
      <c r="N488" s="3" t="n">
        <v>0.0555</v>
      </c>
      <c r="O488" s="3" t="n">
        <v>0.00461</v>
      </c>
      <c r="P488" s="4" t="n">
        <v>1.68E-005</v>
      </c>
      <c r="Q488" s="3" t="n">
        <v>0.371</v>
      </c>
      <c r="R488" s="3" t="n">
        <v>0.493</v>
      </c>
      <c r="S488" s="3" t="str">
        <f aca="false">IF(R488 &gt;= 0.5, "Positive", "Negative")</f>
        <v>Negative</v>
      </c>
      <c r="T488" s="2" t="n">
        <v>142.019</v>
      </c>
      <c r="U488" s="0" t="s">
        <v>53</v>
      </c>
    </row>
    <row r="489" customFormat="false" ht="14.25" hidden="false" customHeight="false" outlineLevel="0" collapsed="false">
      <c r="A489" s="0" t="n">
        <v>105</v>
      </c>
      <c r="B489" s="0" t="str">
        <f aca="false">_xlfn.xlookup(A489, artists!A$2:A$836, artists!B$2:B$836)</f>
        <v>Fragma</v>
      </c>
      <c r="C489" s="1" t="s">
        <v>534</v>
      </c>
      <c r="D489" s="2" t="n">
        <v>213346</v>
      </c>
      <c r="E489" s="2" t="n">
        <f aca="false">D489/1000</f>
        <v>213.346</v>
      </c>
      <c r="F489" s="10" t="b">
        <f aca="false">FALSE()</f>
        <v>0</v>
      </c>
      <c r="G489" s="0" t="n">
        <v>4</v>
      </c>
      <c r="H489" s="0" t="n">
        <f aca="false">_xlfn.xlookup(G489, years!A$2:A$836, years!B$2:B$836)</f>
        <v>2001</v>
      </c>
      <c r="I489" s="2" t="n">
        <v>50</v>
      </c>
      <c r="J489" s="0" t="n">
        <v>0.682</v>
      </c>
      <c r="K489" s="0" t="n">
        <v>0.917</v>
      </c>
      <c r="L489" s="3" t="str">
        <f aca="false">IF(K489&gt;0.66,"High",IF(K489&gt;0.33&amp;K489&lt;=0.66,"Medium","Low"))</f>
        <v>High</v>
      </c>
      <c r="M489" s="0" t="n">
        <v>-5.459</v>
      </c>
      <c r="N489" s="3" t="n">
        <v>0.0318</v>
      </c>
      <c r="O489" s="3" t="n">
        <v>0.15</v>
      </c>
      <c r="P489" s="4" t="n">
        <v>0.0676</v>
      </c>
      <c r="Q489" s="3" t="n">
        <v>0.34</v>
      </c>
      <c r="R489" s="3" t="n">
        <v>0.79</v>
      </c>
      <c r="S489" s="3" t="str">
        <f aca="false">IF(R489 &gt;= 0.5, "Positive", "Negative")</f>
        <v>Positive</v>
      </c>
      <c r="T489" s="2" t="n">
        <v>137.029</v>
      </c>
      <c r="U489" s="0" t="s">
        <v>22</v>
      </c>
    </row>
    <row r="490" customFormat="false" ht="14.25" hidden="false" customHeight="false" outlineLevel="0" collapsed="false">
      <c r="A490" s="0" t="n">
        <v>677</v>
      </c>
      <c r="B490" s="0" t="str">
        <f aca="false">_xlfn.xlookup(A490, artists!A$2:A$836, artists!B$2:B$836)</f>
        <v>Bryson Tiller</v>
      </c>
      <c r="C490" s="1" t="s">
        <v>535</v>
      </c>
      <c r="D490" s="2" t="n">
        <v>194613</v>
      </c>
      <c r="E490" s="2" t="n">
        <f aca="false">D490/1000</f>
        <v>194.613</v>
      </c>
      <c r="F490" s="10" t="b">
        <f aca="false">TRUE()</f>
        <v>1</v>
      </c>
      <c r="G490" s="0" t="n">
        <v>18</v>
      </c>
      <c r="H490" s="0" t="n">
        <f aca="false">_xlfn.xlookup(G490, years!A$2:A$836, years!B$2:B$836)</f>
        <v>2015</v>
      </c>
      <c r="I490" s="2" t="n">
        <v>76</v>
      </c>
      <c r="J490" s="0" t="n">
        <v>0.525</v>
      </c>
      <c r="K490" s="0" t="n">
        <v>0.433</v>
      </c>
      <c r="L490" s="3" t="str">
        <f aca="false">IF(K490&gt;0.66,"High",IF(K490&gt;0.33&amp;K490&lt;=0.66,"Medium","Low"))</f>
        <v>Low</v>
      </c>
      <c r="M490" s="0" t="n">
        <v>-10.598</v>
      </c>
      <c r="N490" s="3" t="n">
        <v>0.185</v>
      </c>
      <c r="O490" s="3" t="n">
        <v>0.107</v>
      </c>
      <c r="P490" s="4" t="n">
        <v>0</v>
      </c>
      <c r="Q490" s="3" t="n">
        <v>0.135</v>
      </c>
      <c r="R490" s="3" t="n">
        <v>0.276</v>
      </c>
      <c r="S490" s="3" t="str">
        <f aca="false">IF(R490 &gt;= 0.5, "Positive", "Negative")</f>
        <v>Negative</v>
      </c>
      <c r="T490" s="2" t="n">
        <v>160.108</v>
      </c>
      <c r="U490" s="0" t="s">
        <v>31</v>
      </c>
    </row>
    <row r="491" customFormat="false" ht="14.25" hidden="false" customHeight="false" outlineLevel="0" collapsed="false">
      <c r="A491" s="0" t="n">
        <v>35</v>
      </c>
      <c r="B491" s="0" t="str">
        <f aca="false">_xlfn.xlookup(A491, artists!A$2:A$836, artists!B$2:B$836)</f>
        <v>JAY-Z</v>
      </c>
      <c r="C491" s="1" t="s">
        <v>536</v>
      </c>
      <c r="D491" s="2" t="n">
        <v>281240</v>
      </c>
      <c r="E491" s="2" t="n">
        <f aca="false">D491/1000</f>
        <v>281.24</v>
      </c>
      <c r="F491" s="10" t="b">
        <f aca="false">TRUE()</f>
        <v>1</v>
      </c>
      <c r="G491" s="0" t="n">
        <v>5</v>
      </c>
      <c r="H491" s="0" t="n">
        <f aca="false">_xlfn.xlookup(G491, years!A$2:A$836, years!B$2:B$836)</f>
        <v>2002</v>
      </c>
      <c r="I491" s="2" t="n">
        <v>56</v>
      </c>
      <c r="J491" s="0" t="n">
        <v>0.714</v>
      </c>
      <c r="K491" s="0" t="n">
        <v>0.862</v>
      </c>
      <c r="L491" s="3" t="str">
        <f aca="false">IF(K491&gt;0.66,"High",IF(K491&gt;0.33&amp;K491&lt;=0.66,"Medium","Low"))</f>
        <v>High</v>
      </c>
      <c r="M491" s="0" t="n">
        <v>-5.531</v>
      </c>
      <c r="N491" s="3" t="n">
        <v>0.286</v>
      </c>
      <c r="O491" s="3" t="n">
        <v>0.0305</v>
      </c>
      <c r="P491" s="4" t="n">
        <v>0</v>
      </c>
      <c r="Q491" s="3" t="n">
        <v>0.0884</v>
      </c>
      <c r="R491" s="3" t="n">
        <v>0.887</v>
      </c>
      <c r="S491" s="3" t="str">
        <f aca="false">IF(R491 &gt;= 0.5, "Positive", "Negative")</f>
        <v>Positive</v>
      </c>
      <c r="T491" s="2" t="n">
        <v>92.849</v>
      </c>
      <c r="U491" s="0" t="s">
        <v>29</v>
      </c>
    </row>
    <row r="492" customFormat="false" ht="14.25" hidden="false" customHeight="false" outlineLevel="0" collapsed="false">
      <c r="A492" s="0" t="n">
        <v>246</v>
      </c>
      <c r="B492" s="0" t="str">
        <f aca="false">_xlfn.xlookup(A492, artists!A$2:A$836, artists!B$2:B$836)</f>
        <v>Jay Sean</v>
      </c>
      <c r="C492" s="1" t="s">
        <v>537</v>
      </c>
      <c r="D492" s="2" t="n">
        <v>190493</v>
      </c>
      <c r="E492" s="2" t="n">
        <f aca="false">D492/1000</f>
        <v>190.493</v>
      </c>
      <c r="F492" s="10" t="b">
        <f aca="false">FALSE()</f>
        <v>0</v>
      </c>
      <c r="G492" s="0" t="n">
        <v>7</v>
      </c>
      <c r="H492" s="0" t="n">
        <f aca="false">_xlfn.xlookup(G492, years!A$2:A$836, years!B$2:B$836)</f>
        <v>2004</v>
      </c>
      <c r="I492" s="2" t="n">
        <v>42</v>
      </c>
      <c r="J492" s="0" t="n">
        <v>0.802</v>
      </c>
      <c r="K492" s="0" t="n">
        <v>0.672</v>
      </c>
      <c r="L492" s="3" t="str">
        <f aca="false">IF(K492&gt;0.66,"High",IF(K492&gt;0.33&amp;K492&lt;=0.66,"Medium","Low"))</f>
        <v>High</v>
      </c>
      <c r="M492" s="0" t="n">
        <v>-4.971</v>
      </c>
      <c r="N492" s="3" t="n">
        <v>0.0847</v>
      </c>
      <c r="O492" s="3" t="n">
        <v>0.0775</v>
      </c>
      <c r="P492" s="4" t="n">
        <v>0</v>
      </c>
      <c r="Q492" s="3" t="n">
        <v>0.136</v>
      </c>
      <c r="R492" s="3" t="n">
        <v>0.619</v>
      </c>
      <c r="S492" s="3" t="str">
        <f aca="false">IF(R492 &gt;= 0.5, "Positive", "Negative")</f>
        <v>Positive</v>
      </c>
      <c r="T492" s="2" t="n">
        <v>96.525</v>
      </c>
      <c r="U492" s="0" t="s">
        <v>31</v>
      </c>
    </row>
    <row r="493" customFormat="false" ht="14.25" hidden="false" customHeight="false" outlineLevel="0" collapsed="false">
      <c r="A493" s="0" t="n">
        <v>55</v>
      </c>
      <c r="B493" s="0" t="str">
        <f aca="false">_xlfn.xlookup(A493, artists!A$2:A$836, artists!B$2:B$836)</f>
        <v>P!nk</v>
      </c>
      <c r="C493" s="1" t="s">
        <v>538</v>
      </c>
      <c r="D493" s="2" t="n">
        <v>213413</v>
      </c>
      <c r="E493" s="2" t="n">
        <f aca="false">D493/1000</f>
        <v>213.413</v>
      </c>
      <c r="F493" s="10" t="b">
        <f aca="false">TRUE()</f>
        <v>1</v>
      </c>
      <c r="G493" s="0" t="n">
        <v>13</v>
      </c>
      <c r="H493" s="0" t="n">
        <f aca="false">_xlfn.xlookup(G493, years!A$2:A$836, years!B$2:B$836)</f>
        <v>2010</v>
      </c>
      <c r="I493" s="2" t="n">
        <v>60</v>
      </c>
      <c r="J493" s="0" t="n">
        <v>0.563</v>
      </c>
      <c r="K493" s="0" t="n">
        <v>0.671</v>
      </c>
      <c r="L493" s="3" t="str">
        <f aca="false">IF(K493&gt;0.66,"High",IF(K493&gt;0.33&amp;K493&lt;=0.66,"Medium","Low"))</f>
        <v>High</v>
      </c>
      <c r="M493" s="0" t="n">
        <v>-4.788</v>
      </c>
      <c r="N493" s="3" t="n">
        <v>0.0373</v>
      </c>
      <c r="O493" s="3" t="n">
        <v>0.0422</v>
      </c>
      <c r="P493" s="4" t="n">
        <v>0</v>
      </c>
      <c r="Q493" s="3" t="n">
        <v>0.36</v>
      </c>
      <c r="R493" s="3" t="n">
        <v>0.45</v>
      </c>
      <c r="S493" s="3" t="str">
        <f aca="false">IF(R493 &gt;= 0.5, "Positive", "Negative")</f>
        <v>Negative</v>
      </c>
      <c r="T493" s="2" t="n">
        <v>91.964</v>
      </c>
      <c r="U493" s="0" t="s">
        <v>39</v>
      </c>
    </row>
    <row r="494" customFormat="false" ht="14.25" hidden="false" customHeight="false" outlineLevel="0" collapsed="false">
      <c r="A494" s="0" t="n">
        <v>584</v>
      </c>
      <c r="B494" s="0" t="str">
        <f aca="false">_xlfn.xlookup(A494, artists!A$2:A$836, artists!B$2:B$836)</f>
        <v>A$AP Rocky</v>
      </c>
      <c r="C494" s="1" t="s">
        <v>539</v>
      </c>
      <c r="D494" s="2" t="n">
        <v>233786</v>
      </c>
      <c r="E494" s="2" t="n">
        <f aca="false">D494/1000</f>
        <v>233.786</v>
      </c>
      <c r="F494" s="10" t="b">
        <f aca="false">TRUE()</f>
        <v>1</v>
      </c>
      <c r="G494" s="0" t="n">
        <v>16</v>
      </c>
      <c r="H494" s="0" t="n">
        <f aca="false">_xlfn.xlookup(G494, years!A$2:A$836, years!B$2:B$836)</f>
        <v>2013</v>
      </c>
      <c r="I494" s="2" t="n">
        <v>76</v>
      </c>
      <c r="J494" s="0" t="n">
        <v>0.853</v>
      </c>
      <c r="K494" s="0" t="n">
        <v>0.693</v>
      </c>
      <c r="L494" s="3" t="str">
        <f aca="false">IF(K494&gt;0.66,"High",IF(K494&gt;0.33&amp;K494&lt;=0.66,"Medium","Low"))</f>
        <v>High</v>
      </c>
      <c r="M494" s="0" t="n">
        <v>-6.87</v>
      </c>
      <c r="N494" s="3" t="n">
        <v>0.275</v>
      </c>
      <c r="O494" s="3" t="n">
        <v>0.0239</v>
      </c>
      <c r="P494" s="4" t="n">
        <v>0</v>
      </c>
      <c r="Q494" s="3" t="n">
        <v>0.11</v>
      </c>
      <c r="R494" s="3" t="n">
        <v>0.662</v>
      </c>
      <c r="S494" s="3" t="str">
        <f aca="false">IF(R494 &gt;= 0.5, "Positive", "Negative")</f>
        <v>Positive</v>
      </c>
      <c r="T494" s="2" t="n">
        <v>95.967</v>
      </c>
      <c r="U494" s="0" t="s">
        <v>29</v>
      </c>
    </row>
    <row r="495" customFormat="false" ht="14.25" hidden="false" customHeight="false" outlineLevel="0" collapsed="false">
      <c r="A495" s="0" t="n">
        <v>385</v>
      </c>
      <c r="B495" s="0" t="str">
        <f aca="false">_xlfn.xlookup(A495, artists!A$2:A$836, artists!B$2:B$836)</f>
        <v>The Red Jumpsuit Apparatus</v>
      </c>
      <c r="C495" s="1" t="s">
        <v>540</v>
      </c>
      <c r="D495" s="2" t="n">
        <v>192000</v>
      </c>
      <c r="E495" s="2" t="n">
        <f aca="false">D495/1000</f>
        <v>192</v>
      </c>
      <c r="F495" s="10" t="b">
        <f aca="false">FALSE()</f>
        <v>0</v>
      </c>
      <c r="G495" s="0" t="n">
        <v>9</v>
      </c>
      <c r="H495" s="0" t="n">
        <f aca="false">_xlfn.xlookup(G495, years!A$2:A$836, years!B$2:B$836)</f>
        <v>2006</v>
      </c>
      <c r="I495" s="2" t="n">
        <v>74</v>
      </c>
      <c r="J495" s="0" t="n">
        <v>0.545</v>
      </c>
      <c r="K495" s="0" t="n">
        <v>0.932</v>
      </c>
      <c r="L495" s="3" t="str">
        <f aca="false">IF(K495&gt;0.66,"High",IF(K495&gt;0.33&amp;K495&lt;=0.66,"Medium","Low"))</f>
        <v>High</v>
      </c>
      <c r="M495" s="0" t="n">
        <v>-2.189</v>
      </c>
      <c r="N495" s="3" t="n">
        <v>0.0399</v>
      </c>
      <c r="O495" s="3" t="n">
        <v>0.000665</v>
      </c>
      <c r="P495" s="4" t="n">
        <v>0</v>
      </c>
      <c r="Q495" s="3" t="n">
        <v>0.127</v>
      </c>
      <c r="R495" s="3" t="n">
        <v>0.464</v>
      </c>
      <c r="S495" s="3" t="str">
        <f aca="false">IF(R495 &gt;= 0.5, "Positive", "Negative")</f>
        <v>Negative</v>
      </c>
      <c r="T495" s="2" t="n">
        <v>92.956</v>
      </c>
      <c r="U495" s="0" t="s">
        <v>39</v>
      </c>
    </row>
    <row r="496" customFormat="false" ht="14.25" hidden="false" customHeight="false" outlineLevel="0" collapsed="false">
      <c r="A496" s="0" t="n">
        <v>550</v>
      </c>
      <c r="B496" s="0" t="str">
        <f aca="false">_xlfn.xlookup(A496, artists!A$2:A$836, artists!B$2:B$836)</f>
        <v>Tyga</v>
      </c>
      <c r="C496" s="1" t="s">
        <v>541</v>
      </c>
      <c r="D496" s="2" t="n">
        <v>206666</v>
      </c>
      <c r="E496" s="2" t="n">
        <f aca="false">D496/1000</f>
        <v>206.666</v>
      </c>
      <c r="F496" s="10" t="b">
        <f aca="false">TRUE()</f>
        <v>1</v>
      </c>
      <c r="G496" s="0" t="n">
        <v>15</v>
      </c>
      <c r="H496" s="0" t="n">
        <f aca="false">_xlfn.xlookup(G496, years!A$2:A$836, years!B$2:B$836)</f>
        <v>2012</v>
      </c>
      <c r="I496" s="2" t="n">
        <v>58</v>
      </c>
      <c r="J496" s="0" t="n">
        <v>0.831</v>
      </c>
      <c r="K496" s="0" t="n">
        <v>0.667</v>
      </c>
      <c r="L496" s="3" t="str">
        <f aca="false">IF(K496&gt;0.66,"High",IF(K496&gt;0.33&amp;K496&lt;=0.66,"Medium","Low"))</f>
        <v>High</v>
      </c>
      <c r="M496" s="0" t="n">
        <v>-8.438</v>
      </c>
      <c r="N496" s="3" t="n">
        <v>0.188</v>
      </c>
      <c r="O496" s="3" t="n">
        <v>0.0103</v>
      </c>
      <c r="P496" s="4" t="n">
        <v>0</v>
      </c>
      <c r="Q496" s="3" t="n">
        <v>0.35</v>
      </c>
      <c r="R496" s="3" t="n">
        <v>0.339</v>
      </c>
      <c r="S496" s="3" t="str">
        <f aca="false">IF(R496 &gt;= 0.5, "Positive", "Negative")</f>
        <v>Negative</v>
      </c>
      <c r="T496" s="2" t="n">
        <v>95.073</v>
      </c>
      <c r="U496" s="0" t="s">
        <v>24</v>
      </c>
    </row>
    <row r="497" customFormat="false" ht="14.25" hidden="false" customHeight="false" outlineLevel="0" collapsed="false">
      <c r="A497" s="0" t="n">
        <v>606</v>
      </c>
      <c r="B497" s="0" t="str">
        <f aca="false">_xlfn.xlookup(A497, artists!A$2:A$836, artists!B$2:B$836)</f>
        <v>ZHU</v>
      </c>
      <c r="C497" s="1" t="s">
        <v>541</v>
      </c>
      <c r="D497" s="2" t="n">
        <v>223386</v>
      </c>
      <c r="E497" s="2" t="n">
        <f aca="false">D497/1000</f>
        <v>223.386</v>
      </c>
      <c r="F497" s="10" t="b">
        <f aca="false">FALSE()</f>
        <v>0</v>
      </c>
      <c r="G497" s="0" t="n">
        <v>17</v>
      </c>
      <c r="H497" s="0" t="n">
        <f aca="false">_xlfn.xlookup(G497, years!A$2:A$836, years!B$2:B$836)</f>
        <v>2014</v>
      </c>
      <c r="I497" s="2" t="n">
        <v>49</v>
      </c>
      <c r="J497" s="0" t="n">
        <v>0.861</v>
      </c>
      <c r="K497" s="0" t="n">
        <v>0.475</v>
      </c>
      <c r="L497" s="3" t="str">
        <f aca="false">IF(K497&gt;0.66,"High",IF(K497&gt;0.33&amp;K497&lt;=0.66,"Medium","Low"))</f>
        <v>Low</v>
      </c>
      <c r="M497" s="0" t="n">
        <v>-7.195</v>
      </c>
      <c r="N497" s="3" t="n">
        <v>0.0487</v>
      </c>
      <c r="O497" s="3" t="n">
        <v>0.00865</v>
      </c>
      <c r="P497" s="4" t="n">
        <v>0.119</v>
      </c>
      <c r="Q497" s="3" t="n">
        <v>0.122</v>
      </c>
      <c r="R497" s="3" t="n">
        <v>0.599</v>
      </c>
      <c r="S497" s="3" t="str">
        <f aca="false">IF(R497 &gt;= 0.5, "Positive", "Negative")</f>
        <v>Positive</v>
      </c>
      <c r="T497" s="2" t="n">
        <v>124.96</v>
      </c>
      <c r="U497" s="0" t="s">
        <v>48</v>
      </c>
    </row>
    <row r="498" customFormat="false" ht="14.25" hidden="false" customHeight="false" outlineLevel="0" collapsed="false">
      <c r="A498" s="0" t="n">
        <v>694</v>
      </c>
      <c r="B498" s="0" t="str">
        <f aca="false">_xlfn.xlookup(A498, artists!A$2:A$836, artists!B$2:B$836)</f>
        <v>Alan Walker</v>
      </c>
      <c r="C498" s="1" t="s">
        <v>541</v>
      </c>
      <c r="D498" s="2" t="n">
        <v>212106</v>
      </c>
      <c r="E498" s="2" t="n">
        <f aca="false">D498/1000</f>
        <v>212.106</v>
      </c>
      <c r="F498" s="10" t="b">
        <f aca="false">FALSE()</f>
        <v>0</v>
      </c>
      <c r="G498" s="0" t="n">
        <v>21</v>
      </c>
      <c r="H498" s="0" t="n">
        <f aca="false">_xlfn.xlookup(G498, years!A$2:A$836, years!B$2:B$836)</f>
        <v>2018</v>
      </c>
      <c r="I498" s="2" t="n">
        <v>78</v>
      </c>
      <c r="J498" s="0" t="n">
        <v>0.468</v>
      </c>
      <c r="K498" s="0" t="n">
        <v>0.627</v>
      </c>
      <c r="L498" s="3" t="str">
        <f aca="false">IF(K498&gt;0.66,"High",IF(K498&gt;0.33&amp;K498&lt;=0.66,"Medium","Low"))</f>
        <v>Low</v>
      </c>
      <c r="M498" s="0" t="n">
        <v>-5.085</v>
      </c>
      <c r="N498" s="3" t="n">
        <v>0.0476</v>
      </c>
      <c r="O498" s="3" t="n">
        <v>0.0281</v>
      </c>
      <c r="P498" s="4" t="n">
        <v>7.97E-006</v>
      </c>
      <c r="Q498" s="3" t="n">
        <v>0.11</v>
      </c>
      <c r="R498" s="3" t="n">
        <v>0.159</v>
      </c>
      <c r="S498" s="3" t="str">
        <f aca="false">IF(R498 &gt;= 0.5, "Positive", "Negative")</f>
        <v>Negative</v>
      </c>
      <c r="T498" s="2" t="n">
        <v>179.642</v>
      </c>
      <c r="U498" s="0" t="s">
        <v>48</v>
      </c>
    </row>
    <row r="499" customFormat="false" ht="14.25" hidden="false" customHeight="false" outlineLevel="0" collapsed="false">
      <c r="A499" s="0" t="n">
        <v>20</v>
      </c>
      <c r="B499" s="0" t="str">
        <f aca="false">_xlfn.xlookup(A499, artists!A$2:A$836, artists!B$2:B$836)</f>
        <v>Linkin Park</v>
      </c>
      <c r="C499" s="1" t="s">
        <v>542</v>
      </c>
      <c r="D499" s="2" t="n">
        <v>162600</v>
      </c>
      <c r="E499" s="2" t="n">
        <f aca="false">D499/1000</f>
        <v>162.6</v>
      </c>
      <c r="F499" s="10" t="b">
        <f aca="false">FALSE()</f>
        <v>0</v>
      </c>
      <c r="G499" s="0" t="n">
        <v>6</v>
      </c>
      <c r="H499" s="0" t="n">
        <f aca="false">_xlfn.xlookup(G499, years!A$2:A$836, years!B$2:B$836)</f>
        <v>2003</v>
      </c>
      <c r="I499" s="2" t="n">
        <v>72</v>
      </c>
      <c r="J499" s="0" t="n">
        <v>0.554</v>
      </c>
      <c r="K499" s="0" t="n">
        <v>0.978</v>
      </c>
      <c r="L499" s="3" t="str">
        <f aca="false">IF(K499&gt;0.66,"High",IF(K499&gt;0.33&amp;K499&lt;=0.66,"Medium","Low"))</f>
        <v>High</v>
      </c>
      <c r="M499" s="0" t="n">
        <v>-3.554</v>
      </c>
      <c r="N499" s="3" t="n">
        <v>0.131</v>
      </c>
      <c r="O499" s="3" t="n">
        <v>0.111</v>
      </c>
      <c r="P499" s="4" t="n">
        <v>0</v>
      </c>
      <c r="Q499" s="3" t="n">
        <v>0.0731</v>
      </c>
      <c r="R499" s="3" t="n">
        <v>0.594</v>
      </c>
      <c r="S499" s="3" t="str">
        <f aca="false">IF(R499 &gt;= 0.5, "Positive", "Negative")</f>
        <v>Positive</v>
      </c>
      <c r="T499" s="2" t="n">
        <v>135.095</v>
      </c>
      <c r="U499" s="0" t="s">
        <v>81</v>
      </c>
    </row>
    <row r="500" customFormat="false" ht="14.25" hidden="false" customHeight="false" outlineLevel="0" collapsed="false">
      <c r="A500" s="0" t="n">
        <v>371</v>
      </c>
      <c r="B500" s="0" t="str">
        <f aca="false">_xlfn.xlookup(A500, artists!A$2:A$836, artists!B$2:B$836)</f>
        <v>Seether</v>
      </c>
      <c r="C500" s="1" t="s">
        <v>543</v>
      </c>
      <c r="D500" s="2" t="n">
        <v>193893</v>
      </c>
      <c r="E500" s="2" t="n">
        <f aca="false">D500/1000</f>
        <v>193.893</v>
      </c>
      <c r="F500" s="10" t="b">
        <f aca="false">TRUE()</f>
        <v>1</v>
      </c>
      <c r="G500" s="0" t="n">
        <v>10</v>
      </c>
      <c r="H500" s="0" t="n">
        <f aca="false">_xlfn.xlookup(G500, years!A$2:A$836, years!B$2:B$836)</f>
        <v>2007</v>
      </c>
      <c r="I500" s="2" t="n">
        <v>73</v>
      </c>
      <c r="J500" s="0" t="n">
        <v>0.611</v>
      </c>
      <c r="K500" s="0" t="n">
        <v>0.95</v>
      </c>
      <c r="L500" s="3" t="str">
        <f aca="false">IF(K500&gt;0.66,"High",IF(K500&gt;0.33&amp;K500&lt;=0.66,"Medium","Low"))</f>
        <v>High</v>
      </c>
      <c r="M500" s="0" t="n">
        <v>-3.509</v>
      </c>
      <c r="N500" s="3" t="n">
        <v>0.0518</v>
      </c>
      <c r="O500" s="3" t="n">
        <v>0.00141</v>
      </c>
      <c r="P500" s="4" t="n">
        <v>1.59E-006</v>
      </c>
      <c r="Q500" s="3" t="n">
        <v>0.0543</v>
      </c>
      <c r="R500" s="3" t="n">
        <v>0.607</v>
      </c>
      <c r="S500" s="3" t="str">
        <f aca="false">IF(R500 &gt;= 0.5, "Positive", "Negative")</f>
        <v>Positive</v>
      </c>
      <c r="T500" s="2" t="n">
        <v>132.078</v>
      </c>
      <c r="U500" s="0" t="s">
        <v>81</v>
      </c>
    </row>
    <row r="501" customFormat="false" ht="14.25" hidden="false" customHeight="false" outlineLevel="0" collapsed="false">
      <c r="A501" s="0" t="n">
        <v>89</v>
      </c>
      <c r="B501" s="0" t="str">
        <f aca="false">_xlfn.xlookup(A501, artists!A$2:A$836, artists!B$2:B$836)</f>
        <v>Mary J. Blige</v>
      </c>
      <c r="C501" s="1" t="s">
        <v>544</v>
      </c>
      <c r="D501" s="2" t="n">
        <v>265866</v>
      </c>
      <c r="E501" s="2" t="n">
        <f aca="false">D501/1000</f>
        <v>265.866</v>
      </c>
      <c r="F501" s="10" t="b">
        <f aca="false">FALSE()</f>
        <v>0</v>
      </c>
      <c r="G501" s="0" t="n">
        <v>4</v>
      </c>
      <c r="H501" s="0" t="n">
        <f aca="false">_xlfn.xlookup(G501, years!A$2:A$836, years!B$2:B$836)</f>
        <v>2001</v>
      </c>
      <c r="I501" s="2" t="n">
        <v>76</v>
      </c>
      <c r="J501" s="0" t="n">
        <v>0.911</v>
      </c>
      <c r="K501" s="0" t="n">
        <v>0.551</v>
      </c>
      <c r="L501" s="3" t="str">
        <f aca="false">IF(K501&gt;0.66,"High",IF(K501&gt;0.33&amp;K501&lt;=0.66,"Medium","Low"))</f>
        <v>Low</v>
      </c>
      <c r="M501" s="0" t="n">
        <v>-3.75</v>
      </c>
      <c r="N501" s="3" t="n">
        <v>0.0449</v>
      </c>
      <c r="O501" s="3" t="n">
        <v>0.132</v>
      </c>
      <c r="P501" s="4" t="n">
        <v>4.12E-005</v>
      </c>
      <c r="Q501" s="3" t="n">
        <v>0.0863</v>
      </c>
      <c r="R501" s="3" t="n">
        <v>0.969</v>
      </c>
      <c r="S501" s="3" t="str">
        <f aca="false">IF(R501 &gt;= 0.5, "Positive", "Negative")</f>
        <v>Positive</v>
      </c>
      <c r="T501" s="2" t="n">
        <v>92.887</v>
      </c>
      <c r="U501" s="0" t="s">
        <v>33</v>
      </c>
    </row>
    <row r="502" customFormat="false" ht="14.25" hidden="false" customHeight="false" outlineLevel="0" collapsed="false">
      <c r="A502" s="0" t="n">
        <v>602</v>
      </c>
      <c r="B502" s="0" t="str">
        <f aca="false">_xlfn.xlookup(A502, artists!A$2:A$836, artists!B$2:B$836)</f>
        <v>Iggy Azalea</v>
      </c>
      <c r="C502" s="1" t="s">
        <v>545</v>
      </c>
      <c r="D502" s="2" t="n">
        <v>199938</v>
      </c>
      <c r="E502" s="2" t="n">
        <f aca="false">D502/1000</f>
        <v>199.938</v>
      </c>
      <c r="F502" s="10" t="b">
        <f aca="false">TRUE()</f>
        <v>1</v>
      </c>
      <c r="G502" s="0" t="n">
        <v>17</v>
      </c>
      <c r="H502" s="0" t="n">
        <f aca="false">_xlfn.xlookup(G502, years!A$2:A$836, years!B$2:B$836)</f>
        <v>2014</v>
      </c>
      <c r="I502" s="2" t="n">
        <v>69</v>
      </c>
      <c r="J502" s="0" t="n">
        <v>0.912</v>
      </c>
      <c r="K502" s="0" t="n">
        <v>0.716</v>
      </c>
      <c r="L502" s="3" t="str">
        <f aca="false">IF(K502&gt;0.66,"High",IF(K502&gt;0.33&amp;K502&lt;=0.66,"Medium","Low"))</f>
        <v>High</v>
      </c>
      <c r="M502" s="0" t="n">
        <v>-4.141</v>
      </c>
      <c r="N502" s="3" t="n">
        <v>0.0697</v>
      </c>
      <c r="O502" s="3" t="n">
        <v>0.0904</v>
      </c>
      <c r="P502" s="4" t="n">
        <v>0</v>
      </c>
      <c r="Q502" s="3" t="n">
        <v>0.0491</v>
      </c>
      <c r="R502" s="3" t="n">
        <v>0.377</v>
      </c>
      <c r="S502" s="3" t="str">
        <f aca="false">IF(R502 &gt;= 0.5, "Positive", "Negative")</f>
        <v>Negative</v>
      </c>
      <c r="T502" s="2" t="n">
        <v>94.981</v>
      </c>
      <c r="U502" s="0" t="s">
        <v>24</v>
      </c>
    </row>
    <row r="503" customFormat="false" ht="14.25" hidden="false" customHeight="false" outlineLevel="0" collapsed="false">
      <c r="A503" s="0" t="n">
        <v>102</v>
      </c>
      <c r="B503" s="0" t="str">
        <f aca="false">_xlfn.xlookup(A503, artists!A$2:A$836, artists!B$2:B$836)</f>
        <v>Nickelback</v>
      </c>
      <c r="C503" s="1" t="s">
        <v>546</v>
      </c>
      <c r="D503" s="2" t="n">
        <v>238173</v>
      </c>
      <c r="E503" s="2" t="n">
        <f aca="false">D503/1000</f>
        <v>238.173</v>
      </c>
      <c r="F503" s="10" t="b">
        <f aca="false">FALSE()</f>
        <v>0</v>
      </c>
      <c r="G503" s="0" t="n">
        <v>8</v>
      </c>
      <c r="H503" s="0" t="n">
        <f aca="false">_xlfn.xlookup(G503, years!A$2:A$836, years!B$2:B$836)</f>
        <v>2005</v>
      </c>
      <c r="I503" s="2" t="n">
        <v>70</v>
      </c>
      <c r="J503" s="0" t="n">
        <v>0.518</v>
      </c>
      <c r="K503" s="0" t="n">
        <v>0.797</v>
      </c>
      <c r="L503" s="3" t="str">
        <f aca="false">IF(K503&gt;0.66,"High",IF(K503&gt;0.33&amp;K503&lt;=0.66,"Medium","Low"))</f>
        <v>High</v>
      </c>
      <c r="M503" s="0" t="n">
        <v>-5.153</v>
      </c>
      <c r="N503" s="3" t="n">
        <v>0.0309</v>
      </c>
      <c r="O503" s="3" t="n">
        <v>0.000681</v>
      </c>
      <c r="P503" s="4" t="n">
        <v>0</v>
      </c>
      <c r="Q503" s="3" t="n">
        <v>0.107</v>
      </c>
      <c r="R503" s="3" t="n">
        <v>0.293</v>
      </c>
      <c r="S503" s="3" t="str">
        <f aca="false">IF(R503 &gt;= 0.5, "Positive", "Negative")</f>
        <v>Negative</v>
      </c>
      <c r="T503" s="2" t="n">
        <v>132.918</v>
      </c>
      <c r="U503" s="0" t="s">
        <v>81</v>
      </c>
    </row>
    <row r="504" customFormat="false" ht="14.25" hidden="false" customHeight="false" outlineLevel="0" collapsed="false">
      <c r="A504" s="0" t="n">
        <v>680</v>
      </c>
      <c r="B504" s="0" t="str">
        <f aca="false">_xlfn.xlookup(A504, artists!A$2:A$836, artists!B$2:B$836)</f>
        <v>Jonas Blue</v>
      </c>
      <c r="C504" s="1" t="s">
        <v>547</v>
      </c>
      <c r="D504" s="2" t="n">
        <v>212424</v>
      </c>
      <c r="E504" s="2" t="n">
        <f aca="false">D504/1000</f>
        <v>212.424</v>
      </c>
      <c r="F504" s="10" t="b">
        <f aca="false">FALSE()</f>
        <v>0</v>
      </c>
      <c r="G504" s="0" t="n">
        <v>18</v>
      </c>
      <c r="H504" s="0" t="n">
        <f aca="false">_xlfn.xlookup(G504, years!A$2:A$836, years!B$2:B$836)</f>
        <v>2015</v>
      </c>
      <c r="I504" s="2" t="n">
        <v>67</v>
      </c>
      <c r="J504" s="0" t="n">
        <v>0.644</v>
      </c>
      <c r="K504" s="0" t="n">
        <v>0.57</v>
      </c>
      <c r="L504" s="3" t="str">
        <f aca="false">IF(K504&gt;0.66,"High",IF(K504&gt;0.33&amp;K504&lt;=0.66,"Medium","Low"))</f>
        <v>Low</v>
      </c>
      <c r="M504" s="0" t="n">
        <v>-6.994</v>
      </c>
      <c r="N504" s="3" t="n">
        <v>0.052</v>
      </c>
      <c r="O504" s="3" t="n">
        <v>0.484</v>
      </c>
      <c r="P504" s="4" t="n">
        <v>0</v>
      </c>
      <c r="Q504" s="3" t="n">
        <v>0.299</v>
      </c>
      <c r="R504" s="3" t="n">
        <v>0.527</v>
      </c>
      <c r="S504" s="3" t="str">
        <f aca="false">IF(R504 &gt;= 0.5, "Positive", "Negative")</f>
        <v>Positive</v>
      </c>
      <c r="T504" s="2" t="n">
        <v>113.945</v>
      </c>
      <c r="U504" s="0" t="s">
        <v>22</v>
      </c>
    </row>
    <row r="505" customFormat="false" ht="14.25" hidden="false" customHeight="false" outlineLevel="0" collapsed="false">
      <c r="A505" s="0" t="n">
        <v>680</v>
      </c>
      <c r="B505" s="0" t="str">
        <f aca="false">_xlfn.xlookup(A505, artists!A$2:A$836, artists!B$2:B$836)</f>
        <v>Jonas Blue</v>
      </c>
      <c r="C505" s="1" t="s">
        <v>547</v>
      </c>
      <c r="D505" s="2" t="n">
        <v>212424</v>
      </c>
      <c r="E505" s="2" t="n">
        <f aca="false">D505/1000</f>
        <v>212.424</v>
      </c>
      <c r="F505" s="10" t="b">
        <f aca="false">FALSE()</f>
        <v>0</v>
      </c>
      <c r="G505" s="0" t="n">
        <v>18</v>
      </c>
      <c r="H505" s="0" t="n">
        <f aca="false">_xlfn.xlookup(G505, years!A$2:A$836, years!B$2:B$836)</f>
        <v>2015</v>
      </c>
      <c r="I505" s="2" t="n">
        <v>1</v>
      </c>
      <c r="J505" s="0" t="n">
        <v>0.459</v>
      </c>
      <c r="K505" s="0" t="n">
        <v>0.587</v>
      </c>
      <c r="L505" s="3" t="str">
        <f aca="false">IF(K505&gt;0.66,"High",IF(K505&gt;0.33&amp;K505&lt;=0.66,"Medium","Low"))</f>
        <v>Low</v>
      </c>
      <c r="M505" s="0" t="n">
        <v>-6.983</v>
      </c>
      <c r="N505" s="3" t="n">
        <v>0.0785</v>
      </c>
      <c r="O505" s="3" t="n">
        <v>0.453</v>
      </c>
      <c r="P505" s="4" t="n">
        <v>0</v>
      </c>
      <c r="Q505" s="3" t="n">
        <v>0.307</v>
      </c>
      <c r="R505" s="3" t="n">
        <v>0.581</v>
      </c>
      <c r="S505" s="3" t="str">
        <f aca="false">IF(R505 &gt;= 0.5, "Positive", "Negative")</f>
        <v>Positive</v>
      </c>
      <c r="T505" s="2" t="n">
        <v>113.901</v>
      </c>
      <c r="U505" s="0" t="s">
        <v>22</v>
      </c>
    </row>
    <row r="506" customFormat="false" ht="14.25" hidden="false" customHeight="false" outlineLevel="0" collapsed="false">
      <c r="A506" s="0" t="n">
        <v>110</v>
      </c>
      <c r="B506" s="0" t="str">
        <f aca="false">_xlfn.xlookup(A506, artists!A$2:A$836, artists!B$2:B$836)</f>
        <v>Gorillaz</v>
      </c>
      <c r="C506" s="1" t="s">
        <v>548</v>
      </c>
      <c r="D506" s="2" t="n">
        <v>222640</v>
      </c>
      <c r="E506" s="2" t="n">
        <f aca="false">D506/1000</f>
        <v>222.64</v>
      </c>
      <c r="F506" s="10" t="b">
        <f aca="false">FALSE()</f>
        <v>0</v>
      </c>
      <c r="G506" s="0" t="n">
        <v>8</v>
      </c>
      <c r="H506" s="0" t="n">
        <f aca="false">_xlfn.xlookup(G506, years!A$2:A$836, years!B$2:B$836)</f>
        <v>2005</v>
      </c>
      <c r="I506" s="2" t="n">
        <v>82</v>
      </c>
      <c r="J506" s="0" t="n">
        <v>0.818</v>
      </c>
      <c r="K506" s="0" t="n">
        <v>0.705</v>
      </c>
      <c r="L506" s="3" t="str">
        <f aca="false">IF(K506&gt;0.66,"High",IF(K506&gt;0.33&amp;K506&lt;=0.66,"Medium","Low"))</f>
        <v>High</v>
      </c>
      <c r="M506" s="0" t="n">
        <v>-6.679</v>
      </c>
      <c r="N506" s="3" t="n">
        <v>0.177</v>
      </c>
      <c r="O506" s="3" t="n">
        <v>0.00836</v>
      </c>
      <c r="P506" s="4" t="n">
        <v>0.00233</v>
      </c>
      <c r="Q506" s="3" t="n">
        <v>0.613</v>
      </c>
      <c r="R506" s="3" t="n">
        <v>0.772</v>
      </c>
      <c r="S506" s="3" t="str">
        <f aca="false">IF(R506 &gt;= 0.5, "Positive", "Negative")</f>
        <v>Positive</v>
      </c>
      <c r="T506" s="2" t="n">
        <v>138.559</v>
      </c>
      <c r="U506" s="0" t="s">
        <v>29</v>
      </c>
    </row>
    <row r="507" customFormat="false" ht="14.25" hidden="false" customHeight="false" outlineLevel="0" collapsed="false">
      <c r="A507" s="0" t="n">
        <v>372</v>
      </c>
      <c r="B507" s="0" t="str">
        <f aca="false">_xlfn.xlookup(A507, artists!A$2:A$836, artists!B$2:B$836)</f>
        <v>Calvin Harris</v>
      </c>
      <c r="C507" s="1" t="s">
        <v>549</v>
      </c>
      <c r="D507" s="2" t="n">
        <v>206413</v>
      </c>
      <c r="E507" s="2" t="n">
        <f aca="false">D507/1000</f>
        <v>206.413</v>
      </c>
      <c r="F507" s="10" t="b">
        <f aca="false">FALSE()</f>
        <v>0</v>
      </c>
      <c r="G507" s="0" t="n">
        <v>15</v>
      </c>
      <c r="H507" s="0" t="n">
        <f aca="false">_xlfn.xlookup(G507, years!A$2:A$836, years!B$2:B$836)</f>
        <v>2012</v>
      </c>
      <c r="I507" s="2" t="n">
        <v>79</v>
      </c>
      <c r="J507" s="0" t="n">
        <v>0.707</v>
      </c>
      <c r="K507" s="0" t="n">
        <v>0.924</v>
      </c>
      <c r="L507" s="3" t="str">
        <f aca="false">IF(K507&gt;0.66,"High",IF(K507&gt;0.33&amp;K507&lt;=0.66,"Medium","Low"))</f>
        <v>High</v>
      </c>
      <c r="M507" s="0" t="n">
        <v>-2.842</v>
      </c>
      <c r="N507" s="3" t="n">
        <v>0.031</v>
      </c>
      <c r="O507" s="3" t="n">
        <v>0.000972</v>
      </c>
      <c r="P507" s="4" t="n">
        <v>0.00703</v>
      </c>
      <c r="Q507" s="3" t="n">
        <v>0.204</v>
      </c>
      <c r="R507" s="3" t="n">
        <v>0.919</v>
      </c>
      <c r="S507" s="3" t="str">
        <f aca="false">IF(R507 &gt;= 0.5, "Positive", "Negative")</f>
        <v>Positive</v>
      </c>
      <c r="T507" s="2" t="n">
        <v>127.937</v>
      </c>
      <c r="U507" s="0" t="s">
        <v>53</v>
      </c>
    </row>
    <row r="508" customFormat="false" ht="14.25" hidden="false" customHeight="false" outlineLevel="0" collapsed="false">
      <c r="A508" s="0" t="n">
        <v>565</v>
      </c>
      <c r="B508" s="0" t="str">
        <f aca="false">_xlfn.xlookup(A508, artists!A$2:A$836, artists!B$2:B$836)</f>
        <v>Rudimental</v>
      </c>
      <c r="C508" s="1" t="s">
        <v>550</v>
      </c>
      <c r="D508" s="2" t="n">
        <v>245186</v>
      </c>
      <c r="E508" s="2" t="n">
        <f aca="false">D508/1000</f>
        <v>245.186</v>
      </c>
      <c r="F508" s="10" t="b">
        <f aca="false">FALSE()</f>
        <v>0</v>
      </c>
      <c r="G508" s="0" t="n">
        <v>16</v>
      </c>
      <c r="H508" s="0" t="n">
        <f aca="false">_xlfn.xlookup(G508, years!A$2:A$836, years!B$2:B$836)</f>
        <v>2013</v>
      </c>
      <c r="I508" s="2" t="n">
        <v>64</v>
      </c>
      <c r="J508" s="0" t="n">
        <v>0.389</v>
      </c>
      <c r="K508" s="0" t="n">
        <v>0.706</v>
      </c>
      <c r="L508" s="3" t="str">
        <f aca="false">IF(K508&gt;0.66,"High",IF(K508&gt;0.33&amp;K508&lt;=0.66,"Medium","Low"))</f>
        <v>High</v>
      </c>
      <c r="M508" s="0" t="n">
        <v>-6.849</v>
      </c>
      <c r="N508" s="3" t="n">
        <v>0.0593</v>
      </c>
      <c r="O508" s="3" t="n">
        <v>0.0026</v>
      </c>
      <c r="P508" s="4" t="n">
        <v>0.000182</v>
      </c>
      <c r="Q508" s="3" t="n">
        <v>0.686</v>
      </c>
      <c r="R508" s="3" t="n">
        <v>0.238</v>
      </c>
      <c r="S508" s="3" t="str">
        <f aca="false">IF(R508 &gt;= 0.5, "Positive", "Negative")</f>
        <v>Negative</v>
      </c>
      <c r="T508" s="2" t="n">
        <v>179.911</v>
      </c>
      <c r="U508" s="0" t="s">
        <v>22</v>
      </c>
    </row>
    <row r="509" customFormat="false" ht="14.25" hidden="false" customHeight="false" outlineLevel="0" collapsed="false">
      <c r="A509" s="0" t="n">
        <v>440</v>
      </c>
      <c r="B509" s="0" t="str">
        <f aca="false">_xlfn.xlookup(A509, artists!A$2:A$836, artists!B$2:B$836)</f>
        <v>Pitbull</v>
      </c>
      <c r="C509" s="1" t="s">
        <v>551</v>
      </c>
      <c r="D509" s="2" t="n">
        <v>229506</v>
      </c>
      <c r="E509" s="2" t="n">
        <f aca="false">D509/1000</f>
        <v>229.506</v>
      </c>
      <c r="F509" s="10" t="b">
        <f aca="false">FALSE()</f>
        <v>0</v>
      </c>
      <c r="G509" s="0" t="n">
        <v>15</v>
      </c>
      <c r="H509" s="0" t="n">
        <f aca="false">_xlfn.xlookup(G509, years!A$2:A$836, years!B$2:B$836)</f>
        <v>2012</v>
      </c>
      <c r="I509" s="2" t="n">
        <v>77</v>
      </c>
      <c r="J509" s="0" t="n">
        <v>0.673</v>
      </c>
      <c r="K509" s="0" t="n">
        <v>0.758</v>
      </c>
      <c r="L509" s="3" t="str">
        <f aca="false">IF(K509&gt;0.66,"High",IF(K509&gt;0.33&amp;K509&lt;=0.66,"Medium","Low"))</f>
        <v>High</v>
      </c>
      <c r="M509" s="0" t="n">
        <v>-3.632</v>
      </c>
      <c r="N509" s="3" t="n">
        <v>0.158</v>
      </c>
      <c r="O509" s="3" t="n">
        <v>0.039</v>
      </c>
      <c r="P509" s="4" t="n">
        <v>0</v>
      </c>
      <c r="Q509" s="3" t="n">
        <v>0.341</v>
      </c>
      <c r="R509" s="3" t="n">
        <v>0.542</v>
      </c>
      <c r="S509" s="3" t="str">
        <f aca="false">IF(R509 &gt;= 0.5, "Positive", "Negative")</f>
        <v>Positive</v>
      </c>
      <c r="T509" s="2" t="n">
        <v>135.956</v>
      </c>
      <c r="U509" s="0" t="s">
        <v>483</v>
      </c>
    </row>
    <row r="510" customFormat="false" ht="14.25" hidden="false" customHeight="false" outlineLevel="0" collapsed="false">
      <c r="A510" s="0" t="n">
        <v>659</v>
      </c>
      <c r="B510" s="0" t="str">
        <f aca="false">_xlfn.xlookup(A510, artists!A$2:A$836, artists!B$2:B$836)</f>
        <v>Years &amp; Years</v>
      </c>
      <c r="C510" s="1" t="s">
        <v>552</v>
      </c>
      <c r="D510" s="2" t="n">
        <v>215360</v>
      </c>
      <c r="E510" s="2" t="n">
        <f aca="false">D510/1000</f>
        <v>215.36</v>
      </c>
      <c r="F510" s="10" t="b">
        <f aca="false">FALSE()</f>
        <v>0</v>
      </c>
      <c r="G510" s="0" t="n">
        <v>18</v>
      </c>
      <c r="H510" s="0" t="n">
        <f aca="false">_xlfn.xlookup(G510, years!A$2:A$836, years!B$2:B$836)</f>
        <v>2015</v>
      </c>
      <c r="I510" s="2" t="n">
        <v>0</v>
      </c>
      <c r="J510" s="0" t="n">
        <v>0.559</v>
      </c>
      <c r="K510" s="0" t="n">
        <v>0.848</v>
      </c>
      <c r="L510" s="3" t="str">
        <f aca="false">IF(K510&gt;0.66,"High",IF(K510&gt;0.33&amp;K510&lt;=0.66,"Medium","Low"))</f>
        <v>High</v>
      </c>
      <c r="M510" s="0" t="n">
        <v>-4.125</v>
      </c>
      <c r="N510" s="3" t="n">
        <v>0.0388</v>
      </c>
      <c r="O510" s="3" t="n">
        <v>0.0665</v>
      </c>
      <c r="P510" s="4" t="n">
        <v>0</v>
      </c>
      <c r="Q510" s="3" t="n">
        <v>0.382</v>
      </c>
      <c r="R510" s="3" t="n">
        <v>0.466</v>
      </c>
      <c r="S510" s="3" t="str">
        <f aca="false">IF(R510 &gt;= 0.5, "Positive", "Negative")</f>
        <v>Negative</v>
      </c>
      <c r="T510" s="2" t="n">
        <v>119.977</v>
      </c>
      <c r="U510" s="0" t="s">
        <v>22</v>
      </c>
    </row>
    <row r="511" customFormat="false" ht="14.25" hidden="false" customHeight="false" outlineLevel="0" collapsed="false">
      <c r="A511" s="0" t="n">
        <v>759</v>
      </c>
      <c r="B511" s="0" t="str">
        <f aca="false">_xlfn.xlookup(A511, artists!A$2:A$836, artists!B$2:B$836)</f>
        <v>6ix9ine</v>
      </c>
      <c r="C511" s="1" t="s">
        <v>553</v>
      </c>
      <c r="D511" s="2" t="n">
        <v>179404</v>
      </c>
      <c r="E511" s="2" t="n">
        <f aca="false">D511/1000</f>
        <v>179.404</v>
      </c>
      <c r="F511" s="10" t="b">
        <f aca="false">TRUE()</f>
        <v>1</v>
      </c>
      <c r="G511" s="0" t="n">
        <v>21</v>
      </c>
      <c r="H511" s="0" t="n">
        <f aca="false">_xlfn.xlookup(G511, years!A$2:A$836, years!B$2:B$836)</f>
        <v>2018</v>
      </c>
      <c r="I511" s="2" t="n">
        <v>42</v>
      </c>
      <c r="J511" s="0" t="n">
        <v>0.931</v>
      </c>
      <c r="K511" s="0" t="n">
        <v>0.387</v>
      </c>
      <c r="L511" s="3" t="str">
        <f aca="false">IF(K511&gt;0.66,"High",IF(K511&gt;0.33&amp;K511&lt;=0.66,"Medium","Low"))</f>
        <v>Low</v>
      </c>
      <c r="M511" s="0" t="n">
        <v>-9.127</v>
      </c>
      <c r="N511" s="3" t="n">
        <v>0.412</v>
      </c>
      <c r="O511" s="3" t="n">
        <v>0.088</v>
      </c>
      <c r="P511" s="4" t="n">
        <v>0</v>
      </c>
      <c r="Q511" s="3" t="n">
        <v>0.136</v>
      </c>
      <c r="R511" s="3" t="n">
        <v>0.376</v>
      </c>
      <c r="S511" s="3" t="str">
        <f aca="false">IF(R511 &gt;= 0.5, "Positive", "Negative")</f>
        <v>Negative</v>
      </c>
      <c r="T511" s="2" t="n">
        <v>125.978</v>
      </c>
      <c r="U511" s="0" t="s">
        <v>29</v>
      </c>
    </row>
    <row r="512" customFormat="false" ht="14.25" hidden="false" customHeight="false" outlineLevel="0" collapsed="false">
      <c r="A512" s="0" t="n">
        <v>332</v>
      </c>
      <c r="B512" s="0" t="str">
        <f aca="false">_xlfn.xlookup(A512, artists!A$2:A$836, artists!B$2:B$836)</f>
        <v>Fergie</v>
      </c>
      <c r="C512" s="1" t="s">
        <v>554</v>
      </c>
      <c r="D512" s="2" t="n">
        <v>292373</v>
      </c>
      <c r="E512" s="2" t="n">
        <f aca="false">D512/1000</f>
        <v>292.373</v>
      </c>
      <c r="F512" s="10" t="b">
        <f aca="false">TRUE()</f>
        <v>1</v>
      </c>
      <c r="G512" s="0" t="n">
        <v>9</v>
      </c>
      <c r="H512" s="0" t="n">
        <f aca="false">_xlfn.xlookup(G512, years!A$2:A$836, years!B$2:B$836)</f>
        <v>2006</v>
      </c>
      <c r="I512" s="2" t="n">
        <v>63</v>
      </c>
      <c r="J512" s="0" t="n">
        <v>0.906</v>
      </c>
      <c r="K512" s="0" t="n">
        <v>0.584</v>
      </c>
      <c r="L512" s="3" t="str">
        <f aca="false">IF(K512&gt;0.66,"High",IF(K512&gt;0.33&amp;K512&lt;=0.66,"Medium","Low"))</f>
        <v>Low</v>
      </c>
      <c r="M512" s="0" t="n">
        <v>-7.72</v>
      </c>
      <c r="N512" s="3" t="n">
        <v>0.316</v>
      </c>
      <c r="O512" s="3" t="n">
        <v>0.0576</v>
      </c>
      <c r="P512" s="4" t="n">
        <v>0</v>
      </c>
      <c r="Q512" s="3" t="n">
        <v>0.128</v>
      </c>
      <c r="R512" s="3" t="n">
        <v>0.831</v>
      </c>
      <c r="S512" s="3" t="str">
        <f aca="false">IF(R512 &gt;= 0.5, "Positive", "Negative")</f>
        <v>Positive</v>
      </c>
      <c r="T512" s="2" t="n">
        <v>129.055</v>
      </c>
      <c r="U512" s="0" t="s">
        <v>33</v>
      </c>
    </row>
    <row r="513" customFormat="false" ht="14.25" hidden="false" customHeight="false" outlineLevel="0" collapsed="false">
      <c r="A513" s="0" t="n">
        <v>582</v>
      </c>
      <c r="B513" s="0" t="str">
        <f aca="false">_xlfn.xlookup(A513, artists!A$2:A$836, artists!B$2:B$836)</f>
        <v>Selena Gomez</v>
      </c>
      <c r="C513" s="1" t="s">
        <v>555</v>
      </c>
      <c r="D513" s="2" t="n">
        <v>186112</v>
      </c>
      <c r="E513" s="2" t="n">
        <f aca="false">D513/1000</f>
        <v>186.112</v>
      </c>
      <c r="F513" s="10" t="b">
        <f aca="false">FALSE()</f>
        <v>0</v>
      </c>
      <c r="G513" s="0" t="n">
        <v>20</v>
      </c>
      <c r="H513" s="0" t="n">
        <f aca="false">_xlfn.xlookup(G513, years!A$2:A$836, years!B$2:B$836)</f>
        <v>2017</v>
      </c>
      <c r="I513" s="2" t="n">
        <v>69</v>
      </c>
      <c r="J513" s="0" t="n">
        <v>0.708</v>
      </c>
      <c r="K513" s="0" t="n">
        <v>0.618</v>
      </c>
      <c r="L513" s="3" t="str">
        <f aca="false">IF(K513&gt;0.66,"High",IF(K513&gt;0.33&amp;K513&lt;=0.66,"Medium","Low"))</f>
        <v>Low</v>
      </c>
      <c r="M513" s="0" t="n">
        <v>-4.424</v>
      </c>
      <c r="N513" s="3" t="n">
        <v>0.0592</v>
      </c>
      <c r="O513" s="3" t="n">
        <v>0.0204</v>
      </c>
      <c r="P513" s="4" t="n">
        <v>6.81E-006</v>
      </c>
      <c r="Q513" s="3" t="n">
        <v>0.062</v>
      </c>
      <c r="R513" s="3" t="n">
        <v>0.265</v>
      </c>
      <c r="S513" s="3" t="str">
        <f aca="false">IF(R513 &gt;= 0.5, "Positive", "Negative")</f>
        <v>Negative</v>
      </c>
      <c r="T513" s="2" t="n">
        <v>123.013</v>
      </c>
      <c r="U513" s="0" t="s">
        <v>39</v>
      </c>
    </row>
    <row r="514" customFormat="false" ht="14.25" hidden="false" customHeight="false" outlineLevel="0" collapsed="false">
      <c r="A514" s="0" t="n">
        <v>449</v>
      </c>
      <c r="B514" s="0" t="str">
        <f aca="false">_xlfn.xlookup(A514, artists!A$2:A$836, artists!B$2:B$836)</f>
        <v>Cheryl</v>
      </c>
      <c r="C514" s="1" t="s">
        <v>556</v>
      </c>
      <c r="D514" s="2" t="n">
        <v>223253</v>
      </c>
      <c r="E514" s="2" t="n">
        <f aca="false">D514/1000</f>
        <v>223.253</v>
      </c>
      <c r="F514" s="10" t="b">
        <f aca="false">FALSE()</f>
        <v>0</v>
      </c>
      <c r="G514" s="0" t="n">
        <v>12</v>
      </c>
      <c r="H514" s="0" t="n">
        <f aca="false">_xlfn.xlookup(G514, years!A$2:A$836, years!B$2:B$836)</f>
        <v>2009</v>
      </c>
      <c r="I514" s="2" t="n">
        <v>65</v>
      </c>
      <c r="J514" s="0" t="n">
        <v>0.739</v>
      </c>
      <c r="K514" s="0" t="n">
        <v>0.741</v>
      </c>
      <c r="L514" s="3" t="str">
        <f aca="false">IF(K514&gt;0.66,"High",IF(K514&gt;0.33&amp;K514&lt;=0.66,"Medium","Low"))</f>
        <v>High</v>
      </c>
      <c r="M514" s="0" t="n">
        <v>-5.873</v>
      </c>
      <c r="N514" s="3" t="n">
        <v>0.0912</v>
      </c>
      <c r="O514" s="3" t="n">
        <v>0.013</v>
      </c>
      <c r="P514" s="4" t="n">
        <v>0</v>
      </c>
      <c r="Q514" s="3" t="n">
        <v>0.0679</v>
      </c>
      <c r="R514" s="3" t="n">
        <v>0.727</v>
      </c>
      <c r="S514" s="3" t="str">
        <f aca="false">IF(R514 &gt;= 0.5, "Positive", "Negative")</f>
        <v>Positive</v>
      </c>
      <c r="T514" s="2" t="n">
        <v>122.988</v>
      </c>
      <c r="U514" s="0" t="s">
        <v>22</v>
      </c>
    </row>
    <row r="515" customFormat="false" ht="14.25" hidden="false" customHeight="false" outlineLevel="0" collapsed="false">
      <c r="A515" s="0" t="n">
        <v>57</v>
      </c>
      <c r="B515" s="0" t="str">
        <f aca="false">_xlfn.xlookup(A515, artists!A$2:A$836, artists!B$2:B$836)</f>
        <v>Christina Aguilera</v>
      </c>
      <c r="C515" s="1" t="s">
        <v>557</v>
      </c>
      <c r="D515" s="2" t="n">
        <v>245960</v>
      </c>
      <c r="E515" s="2" t="n">
        <f aca="false">D515/1000</f>
        <v>245.96</v>
      </c>
      <c r="F515" s="10" t="b">
        <f aca="false">FALSE()</f>
        <v>0</v>
      </c>
      <c r="G515" s="0" t="n">
        <v>5</v>
      </c>
      <c r="H515" s="0" t="n">
        <f aca="false">_xlfn.xlookup(G515, years!A$2:A$836, years!B$2:B$836)</f>
        <v>2002</v>
      </c>
      <c r="I515" s="2" t="n">
        <v>67</v>
      </c>
      <c r="J515" s="0" t="n">
        <v>0.435</v>
      </c>
      <c r="K515" s="0" t="n">
        <v>0.92</v>
      </c>
      <c r="L515" s="3" t="str">
        <f aca="false">IF(K515&gt;0.66,"High",IF(K515&gt;0.33&amp;K515&lt;=0.66,"Medium","Low"))</f>
        <v>High</v>
      </c>
      <c r="M515" s="0" t="n">
        <v>-1.357</v>
      </c>
      <c r="N515" s="3" t="n">
        <v>0.201</v>
      </c>
      <c r="O515" s="3" t="n">
        <v>0.235</v>
      </c>
      <c r="P515" s="4" t="n">
        <v>0.000353</v>
      </c>
      <c r="Q515" s="3" t="n">
        <v>0.552</v>
      </c>
      <c r="R515" s="3" t="n">
        <v>0.45</v>
      </c>
      <c r="S515" s="3" t="str">
        <f aca="false">IF(R515 &gt;= 0.5, "Positive", "Negative")</f>
        <v>Negative</v>
      </c>
      <c r="T515" s="2" t="n">
        <v>188.899</v>
      </c>
      <c r="U515" s="0" t="s">
        <v>39</v>
      </c>
    </row>
    <row r="516" customFormat="false" ht="14.25" hidden="false" customHeight="false" outlineLevel="0" collapsed="false">
      <c r="A516" s="0" t="n">
        <v>56</v>
      </c>
      <c r="B516" s="0" t="str">
        <f aca="false">_xlfn.xlookup(A516, artists!A$2:A$836, artists!B$2:B$836)</f>
        <v>Craig David</v>
      </c>
      <c r="C516" s="1" t="s">
        <v>558</v>
      </c>
      <c r="D516" s="2" t="n">
        <v>257200</v>
      </c>
      <c r="E516" s="2" t="n">
        <f aca="false">D516/1000</f>
        <v>257.2</v>
      </c>
      <c r="F516" s="10" t="b">
        <f aca="false">FALSE()</f>
        <v>0</v>
      </c>
      <c r="G516" s="0" t="n">
        <v>3</v>
      </c>
      <c r="H516" s="0" t="n">
        <f aca="false">_xlfn.xlookup(G516, years!A$2:A$836, years!B$2:B$836)</f>
        <v>2000</v>
      </c>
      <c r="I516" s="2" t="n">
        <v>60</v>
      </c>
      <c r="J516" s="0" t="n">
        <v>0.682</v>
      </c>
      <c r="K516" s="0" t="n">
        <v>0.744</v>
      </c>
      <c r="L516" s="3" t="str">
        <f aca="false">IF(K516&gt;0.66,"High",IF(K516&gt;0.33&amp;K516&lt;=0.66,"Medium","Low"))</f>
        <v>High</v>
      </c>
      <c r="M516" s="0" t="n">
        <v>-6.981</v>
      </c>
      <c r="N516" s="3" t="n">
        <v>0.0365</v>
      </c>
      <c r="O516" s="3" t="n">
        <v>0.376</v>
      </c>
      <c r="P516" s="4" t="n">
        <v>0.00951</v>
      </c>
      <c r="Q516" s="3" t="n">
        <v>0.06</v>
      </c>
      <c r="R516" s="3" t="n">
        <v>0.827</v>
      </c>
      <c r="S516" s="3" t="str">
        <f aca="false">IF(R516 &gt;= 0.5, "Positive", "Negative")</f>
        <v>Positive</v>
      </c>
      <c r="T516" s="2" t="n">
        <v>132.493</v>
      </c>
      <c r="U516" s="0" t="s">
        <v>31</v>
      </c>
    </row>
    <row r="517" customFormat="false" ht="14.25" hidden="false" customHeight="false" outlineLevel="0" collapsed="false">
      <c r="A517" s="0" t="n">
        <v>657</v>
      </c>
      <c r="B517" s="0" t="str">
        <f aca="false">_xlfn.xlookup(A517, artists!A$2:A$836, artists!B$2:B$836)</f>
        <v>Zara Larsson</v>
      </c>
      <c r="C517" s="1" t="s">
        <v>559</v>
      </c>
      <c r="D517" s="2" t="n">
        <v>202213</v>
      </c>
      <c r="E517" s="2" t="n">
        <f aca="false">D517/1000</f>
        <v>202.213</v>
      </c>
      <c r="F517" s="10" t="b">
        <f aca="false">FALSE()</f>
        <v>0</v>
      </c>
      <c r="G517" s="0" t="n">
        <v>18</v>
      </c>
      <c r="H517" s="0" t="n">
        <f aca="false">_xlfn.xlookup(G517, years!A$2:A$836, years!B$2:B$836)</f>
        <v>2015</v>
      </c>
      <c r="I517" s="2" t="n">
        <v>0</v>
      </c>
      <c r="J517" s="0" t="n">
        <v>0.658</v>
      </c>
      <c r="K517" s="0" t="n">
        <v>0.741</v>
      </c>
      <c r="L517" s="3" t="str">
        <f aca="false">IF(K517&gt;0.66,"High",IF(K517&gt;0.33&amp;K517&lt;=0.66,"Medium","Low"))</f>
        <v>High</v>
      </c>
      <c r="M517" s="0" t="n">
        <v>-2.86</v>
      </c>
      <c r="N517" s="3" t="n">
        <v>0.0536</v>
      </c>
      <c r="O517" s="3" t="n">
        <v>0.141</v>
      </c>
      <c r="P517" s="4" t="n">
        <v>0</v>
      </c>
      <c r="Q517" s="3" t="n">
        <v>0.189</v>
      </c>
      <c r="R517" s="3" t="n">
        <v>0.789</v>
      </c>
      <c r="S517" s="3" t="str">
        <f aca="false">IF(R517 &gt;= 0.5, "Positive", "Negative")</f>
        <v>Positive</v>
      </c>
      <c r="T517" s="2" t="n">
        <v>98.024</v>
      </c>
      <c r="U517" s="0" t="s">
        <v>22</v>
      </c>
    </row>
    <row r="518" customFormat="false" ht="14.25" hidden="false" customHeight="false" outlineLevel="0" collapsed="false">
      <c r="A518" s="0" t="n">
        <v>455</v>
      </c>
      <c r="B518" s="0" t="str">
        <f aca="false">_xlfn.xlookup(A518, artists!A$2:A$836, artists!B$2:B$836)</f>
        <v>Drake</v>
      </c>
      <c r="C518" s="1" t="s">
        <v>560</v>
      </c>
      <c r="D518" s="2" t="n">
        <v>208946</v>
      </c>
      <c r="E518" s="2" t="n">
        <f aca="false">D518/1000</f>
        <v>208.946</v>
      </c>
      <c r="F518" s="10" t="b">
        <f aca="false">FALSE()</f>
        <v>0</v>
      </c>
      <c r="G518" s="0" t="n">
        <v>13</v>
      </c>
      <c r="H518" s="0" t="n">
        <f aca="false">_xlfn.xlookup(G518, years!A$2:A$836, years!B$2:B$836)</f>
        <v>2010</v>
      </c>
      <c r="I518" s="2" t="n">
        <v>56</v>
      </c>
      <c r="J518" s="0" t="n">
        <v>0.625</v>
      </c>
      <c r="K518" s="0" t="n">
        <v>0.613</v>
      </c>
      <c r="L518" s="3" t="str">
        <f aca="false">IF(K518&gt;0.66,"High",IF(K518&gt;0.33&amp;K518&lt;=0.66,"Medium","Low"))</f>
        <v>Low</v>
      </c>
      <c r="M518" s="0" t="n">
        <v>-6.005</v>
      </c>
      <c r="N518" s="3" t="n">
        <v>0.173</v>
      </c>
      <c r="O518" s="3" t="n">
        <v>0.0209</v>
      </c>
      <c r="P518" s="4" t="n">
        <v>0</v>
      </c>
      <c r="Q518" s="3" t="n">
        <v>0.0286</v>
      </c>
      <c r="R518" s="3" t="n">
        <v>0.738</v>
      </c>
      <c r="S518" s="3" t="str">
        <f aca="false">IF(R518 &gt;= 0.5, "Positive", "Negative")</f>
        <v>Positive</v>
      </c>
      <c r="T518" s="2" t="n">
        <v>96.033</v>
      </c>
      <c r="U518" s="0" t="s">
        <v>31</v>
      </c>
    </row>
    <row r="519" customFormat="false" ht="14.25" hidden="false" customHeight="false" outlineLevel="0" collapsed="false">
      <c r="A519" s="0" t="n">
        <v>291</v>
      </c>
      <c r="B519" s="0" t="str">
        <f aca="false">_xlfn.xlookup(A519, artists!A$2:A$836, artists!B$2:B$836)</f>
        <v>Chris Brown</v>
      </c>
      <c r="C519" s="1" t="s">
        <v>561</v>
      </c>
      <c r="D519" s="2" t="n">
        <v>213666</v>
      </c>
      <c r="E519" s="2" t="n">
        <f aca="false">D519/1000</f>
        <v>213.666</v>
      </c>
      <c r="F519" s="10" t="b">
        <f aca="false">FALSE()</f>
        <v>0</v>
      </c>
      <c r="G519" s="0" t="n">
        <v>16</v>
      </c>
      <c r="H519" s="0" t="n">
        <f aca="false">_xlfn.xlookup(G519, years!A$2:A$836, years!B$2:B$836)</f>
        <v>2013</v>
      </c>
      <c r="I519" s="2" t="n">
        <v>0</v>
      </c>
      <c r="J519" s="0" t="n">
        <v>0.659</v>
      </c>
      <c r="K519" s="0" t="n">
        <v>0.735</v>
      </c>
      <c r="L519" s="3" t="str">
        <f aca="false">IF(K519&gt;0.66,"High",IF(K519&gt;0.33&amp;K519&lt;=0.66,"Medium","Low"))</f>
        <v>High</v>
      </c>
      <c r="M519" s="0" t="n">
        <v>-4.758</v>
      </c>
      <c r="N519" s="3" t="n">
        <v>0.056</v>
      </c>
      <c r="O519" s="3" t="n">
        <v>0.0466</v>
      </c>
      <c r="P519" s="4" t="n">
        <v>0</v>
      </c>
      <c r="Q519" s="3" t="n">
        <v>0.111</v>
      </c>
      <c r="R519" s="3" t="n">
        <v>0.609</v>
      </c>
      <c r="S519" s="3" t="str">
        <f aca="false">IF(R519 &gt;= 0.5, "Positive", "Negative")</f>
        <v>Positive</v>
      </c>
      <c r="T519" s="2" t="n">
        <v>104.038</v>
      </c>
      <c r="U519" s="0" t="s">
        <v>31</v>
      </c>
    </row>
    <row r="520" customFormat="false" ht="14.25" hidden="false" customHeight="false" outlineLevel="0" collapsed="false">
      <c r="A520" s="0" t="n">
        <v>498</v>
      </c>
      <c r="B520" s="0" t="str">
        <f aca="false">_xlfn.xlookup(A520, artists!A$2:A$836, artists!B$2:B$836)</f>
        <v>Ellie Goulding</v>
      </c>
      <c r="C520" s="1" t="s">
        <v>562</v>
      </c>
      <c r="D520" s="2" t="n">
        <v>213445</v>
      </c>
      <c r="E520" s="2" t="n">
        <f aca="false">D520/1000</f>
        <v>213.445</v>
      </c>
      <c r="F520" s="10" t="b">
        <f aca="false">FALSE()</f>
        <v>0</v>
      </c>
      <c r="G520" s="0" t="n">
        <v>18</v>
      </c>
      <c r="H520" s="0" t="n">
        <f aca="false">_xlfn.xlookup(G520, years!A$2:A$836, years!B$2:B$836)</f>
        <v>2015</v>
      </c>
      <c r="I520" s="2" t="n">
        <v>0</v>
      </c>
      <c r="J520" s="0" t="n">
        <v>0.699</v>
      </c>
      <c r="K520" s="0" t="n">
        <v>0.688</v>
      </c>
      <c r="L520" s="3" t="str">
        <f aca="false">IF(K520&gt;0.66,"High",IF(K520&gt;0.33&amp;K520&lt;=0.66,"Medium","Low"))</f>
        <v>High</v>
      </c>
      <c r="M520" s="0" t="n">
        <v>-6.607</v>
      </c>
      <c r="N520" s="3" t="n">
        <v>0.0522</v>
      </c>
      <c r="O520" s="3" t="n">
        <v>0.264</v>
      </c>
      <c r="P520" s="4" t="n">
        <v>4.11E-006</v>
      </c>
      <c r="Q520" s="3" t="n">
        <v>0.0863</v>
      </c>
      <c r="R520" s="3" t="n">
        <v>0.742</v>
      </c>
      <c r="S520" s="3" t="str">
        <f aca="false">IF(R520 &gt;= 0.5, "Positive", "Negative")</f>
        <v>Positive</v>
      </c>
      <c r="T520" s="2" t="n">
        <v>154.943</v>
      </c>
      <c r="U520" s="0" t="s">
        <v>292</v>
      </c>
    </row>
    <row r="521" customFormat="false" ht="14.25" hidden="false" customHeight="false" outlineLevel="0" collapsed="false">
      <c r="A521" s="0" t="n">
        <v>462</v>
      </c>
      <c r="B521" s="0" t="str">
        <f aca="false">_xlfn.xlookup(A521, artists!A$2:A$836, artists!B$2:B$836)</f>
        <v>Kasabian</v>
      </c>
      <c r="C521" s="1" t="s">
        <v>563</v>
      </c>
      <c r="D521" s="2" t="n">
        <v>252279</v>
      </c>
      <c r="E521" s="2" t="n">
        <f aca="false">D521/1000</f>
        <v>252.279</v>
      </c>
      <c r="F521" s="10" t="b">
        <f aca="false">FALSE()</f>
        <v>0</v>
      </c>
      <c r="G521" s="0" t="n">
        <v>12</v>
      </c>
      <c r="H521" s="0" t="n">
        <f aca="false">_xlfn.xlookup(G521, years!A$2:A$836, years!B$2:B$836)</f>
        <v>2009</v>
      </c>
      <c r="I521" s="2" t="n">
        <v>64</v>
      </c>
      <c r="J521" s="0" t="n">
        <v>0.525</v>
      </c>
      <c r="K521" s="0" t="n">
        <v>0.742</v>
      </c>
      <c r="L521" s="3" t="str">
        <f aca="false">IF(K521&gt;0.66,"High",IF(K521&gt;0.33&amp;K521&lt;=0.66,"Medium","Low"))</f>
        <v>High</v>
      </c>
      <c r="M521" s="0" t="n">
        <v>-5.643</v>
      </c>
      <c r="N521" s="3" t="n">
        <v>0.0311</v>
      </c>
      <c r="O521" s="3" t="n">
        <v>0.0874</v>
      </c>
      <c r="P521" s="4" t="n">
        <v>0.149</v>
      </c>
      <c r="Q521" s="3" t="n">
        <v>0.117</v>
      </c>
      <c r="R521" s="3" t="n">
        <v>0.179</v>
      </c>
      <c r="S521" s="3" t="str">
        <f aca="false">IF(R521 &gt;= 0.5, "Positive", "Negative")</f>
        <v>Negative</v>
      </c>
      <c r="T521" s="2" t="n">
        <v>117.029</v>
      </c>
      <c r="U521" s="0" t="s">
        <v>43</v>
      </c>
    </row>
    <row r="522" customFormat="false" ht="14.25" hidden="false" customHeight="false" outlineLevel="0" collapsed="false">
      <c r="A522" s="0" t="n">
        <v>387</v>
      </c>
      <c r="B522" s="0" t="str">
        <f aca="false">_xlfn.xlookup(A522, artists!A$2:A$836, artists!B$2:B$836)</f>
        <v>Sean Kingston</v>
      </c>
      <c r="C522" s="1" t="s">
        <v>564</v>
      </c>
      <c r="D522" s="2" t="n">
        <v>239986</v>
      </c>
      <c r="E522" s="2" t="n">
        <f aca="false">D522/1000</f>
        <v>239.986</v>
      </c>
      <c r="F522" s="10" t="b">
        <f aca="false">FALSE()</f>
        <v>0</v>
      </c>
      <c r="G522" s="0" t="n">
        <v>12</v>
      </c>
      <c r="H522" s="0" t="n">
        <f aca="false">_xlfn.xlookup(G522, years!A$2:A$836, years!B$2:B$836)</f>
        <v>2009</v>
      </c>
      <c r="I522" s="2" t="n">
        <v>71</v>
      </c>
      <c r="J522" s="0" t="n">
        <v>0.839</v>
      </c>
      <c r="K522" s="0" t="n">
        <v>0.804</v>
      </c>
      <c r="L522" s="3" t="str">
        <f aca="false">IF(K522&gt;0.66,"High",IF(K522&gt;0.33&amp;K522&lt;=0.66,"Medium","Low"))</f>
        <v>High</v>
      </c>
      <c r="M522" s="0" t="n">
        <v>-2.513</v>
      </c>
      <c r="N522" s="3" t="n">
        <v>0.0329</v>
      </c>
      <c r="O522" s="3" t="n">
        <v>0.0192</v>
      </c>
      <c r="P522" s="4" t="n">
        <v>0</v>
      </c>
      <c r="Q522" s="3" t="n">
        <v>0.331</v>
      </c>
      <c r="R522" s="3" t="n">
        <v>0.888</v>
      </c>
      <c r="S522" s="3" t="str">
        <f aca="false">IF(R522 &gt;= 0.5, "Positive", "Negative")</f>
        <v>Positive</v>
      </c>
      <c r="T522" s="2" t="n">
        <v>122.973</v>
      </c>
      <c r="U522" s="0" t="s">
        <v>31</v>
      </c>
    </row>
    <row r="523" customFormat="false" ht="14.25" hidden="false" customHeight="false" outlineLevel="0" collapsed="false">
      <c r="A523" s="0" t="n">
        <v>503</v>
      </c>
      <c r="B523" s="0" t="str">
        <f aca="false">_xlfn.xlookup(A523, artists!A$2:A$836, artists!B$2:B$836)</f>
        <v>Owl City</v>
      </c>
      <c r="C523" s="1" t="s">
        <v>565</v>
      </c>
      <c r="D523" s="2" t="n">
        <v>228346</v>
      </c>
      <c r="E523" s="2" t="n">
        <f aca="false">D523/1000</f>
        <v>228.346</v>
      </c>
      <c r="F523" s="10" t="b">
        <f aca="false">FALSE()</f>
        <v>0</v>
      </c>
      <c r="G523" s="0" t="n">
        <v>12</v>
      </c>
      <c r="H523" s="0" t="n">
        <f aca="false">_xlfn.xlookup(G523, years!A$2:A$836, years!B$2:B$836)</f>
        <v>2009</v>
      </c>
      <c r="I523" s="2" t="n">
        <v>78</v>
      </c>
      <c r="J523" s="0" t="n">
        <v>0.512</v>
      </c>
      <c r="K523" s="0" t="n">
        <v>0.662</v>
      </c>
      <c r="L523" s="3" t="str">
        <f aca="false">IF(K523&gt;0.66,"High",IF(K523&gt;0.33&amp;K523&lt;=0.66,"Medium","Low"))</f>
        <v>High</v>
      </c>
      <c r="M523" s="0" t="n">
        <v>-6.797</v>
      </c>
      <c r="N523" s="3" t="n">
        <v>0.0439</v>
      </c>
      <c r="O523" s="3" t="n">
        <v>0.0275</v>
      </c>
      <c r="P523" s="4" t="n">
        <v>0</v>
      </c>
      <c r="Q523" s="3" t="n">
        <v>0.118</v>
      </c>
      <c r="R523" s="3" t="n">
        <v>0.472</v>
      </c>
      <c r="S523" s="3" t="str">
        <f aca="false">IF(R523 &gt;= 0.5, "Positive", "Negative")</f>
        <v>Negative</v>
      </c>
      <c r="T523" s="2" t="n">
        <v>180.114</v>
      </c>
      <c r="U523" s="0" t="s">
        <v>35</v>
      </c>
    </row>
    <row r="524" customFormat="false" ht="14.25" hidden="false" customHeight="false" outlineLevel="0" collapsed="false">
      <c r="A524" s="0" t="n">
        <v>668</v>
      </c>
      <c r="B524" s="0" t="str">
        <f aca="false">_xlfn.xlookup(A524, artists!A$2:A$836, artists!B$2:B$836)</f>
        <v>Kygo</v>
      </c>
      <c r="C524" s="1" t="s">
        <v>566</v>
      </c>
      <c r="D524" s="2" t="n">
        <v>271640</v>
      </c>
      <c r="E524" s="2" t="n">
        <f aca="false">D524/1000</f>
        <v>271.64</v>
      </c>
      <c r="F524" s="10" t="b">
        <f aca="false">FALSE()</f>
        <v>0</v>
      </c>
      <c r="G524" s="0" t="n">
        <v>19</v>
      </c>
      <c r="H524" s="0" t="n">
        <f aca="false">_xlfn.xlookup(G524, years!A$2:A$836, years!B$2:B$836)</f>
        <v>2016</v>
      </c>
      <c r="I524" s="2" t="n">
        <v>76</v>
      </c>
      <c r="J524" s="0" t="n">
        <v>0.704</v>
      </c>
      <c r="K524" s="0" t="n">
        <v>0.634</v>
      </c>
      <c r="L524" s="3" t="str">
        <f aca="false">IF(K524&gt;0.66,"High",IF(K524&gt;0.33&amp;K524&lt;=0.66,"Medium","Low"))</f>
        <v>Low</v>
      </c>
      <c r="M524" s="0" t="n">
        <v>-7.374</v>
      </c>
      <c r="N524" s="3" t="n">
        <v>0.0428</v>
      </c>
      <c r="O524" s="3" t="n">
        <v>0.393</v>
      </c>
      <c r="P524" s="4" t="n">
        <v>3.17E-005</v>
      </c>
      <c r="Q524" s="3" t="n">
        <v>0.0952</v>
      </c>
      <c r="R524" s="3" t="n">
        <v>0.411</v>
      </c>
      <c r="S524" s="3" t="str">
        <f aca="false">IF(R524 &gt;= 0.5, "Positive", "Negative")</f>
        <v>Negative</v>
      </c>
      <c r="T524" s="2" t="n">
        <v>113.927</v>
      </c>
      <c r="U524" s="0" t="s">
        <v>22</v>
      </c>
    </row>
    <row r="525" customFormat="false" ht="14.25" hidden="false" customHeight="false" outlineLevel="0" collapsed="false">
      <c r="A525" s="0" t="n">
        <v>398</v>
      </c>
      <c r="B525" s="0" t="str">
        <f aca="false">_xlfn.xlookup(A525, artists!A$2:A$836, artists!B$2:B$836)</f>
        <v>Katy Perry</v>
      </c>
      <c r="C525" s="1" t="s">
        <v>567</v>
      </c>
      <c r="D525" s="2" t="n">
        <v>227893</v>
      </c>
      <c r="E525" s="2" t="n">
        <f aca="false">D525/1000</f>
        <v>227.893</v>
      </c>
      <c r="F525" s="10" t="b">
        <f aca="false">FALSE()</f>
        <v>0</v>
      </c>
      <c r="G525" s="0" t="n">
        <v>13</v>
      </c>
      <c r="H525" s="0" t="n">
        <f aca="false">_xlfn.xlookup(G525, years!A$2:A$836, years!B$2:B$836)</f>
        <v>2010</v>
      </c>
      <c r="I525" s="2" t="n">
        <v>72</v>
      </c>
      <c r="J525" s="0" t="n">
        <v>0.638</v>
      </c>
      <c r="K525" s="0" t="n">
        <v>0.832</v>
      </c>
      <c r="L525" s="3" t="str">
        <f aca="false">IF(K525&gt;0.66,"High",IF(K525&gt;0.33&amp;K525&lt;=0.66,"Medium","Low"))</f>
        <v>High</v>
      </c>
      <c r="M525" s="0" t="n">
        <v>-5.039</v>
      </c>
      <c r="N525" s="3" t="n">
        <v>0.049</v>
      </c>
      <c r="O525" s="3" t="n">
        <v>0.141</v>
      </c>
      <c r="P525" s="4" t="n">
        <v>0</v>
      </c>
      <c r="Q525" s="3" t="n">
        <v>0.113</v>
      </c>
      <c r="R525" s="3" t="n">
        <v>0.648</v>
      </c>
      <c r="S525" s="3" t="str">
        <f aca="false">IF(R525 &gt;= 0.5, "Positive", "Negative")</f>
        <v>Positive</v>
      </c>
      <c r="T525" s="2" t="n">
        <v>124.071</v>
      </c>
      <c r="U525" s="0" t="s">
        <v>39</v>
      </c>
    </row>
    <row r="526" customFormat="false" ht="14.25" hidden="false" customHeight="false" outlineLevel="0" collapsed="false">
      <c r="A526" s="0" t="n">
        <v>278</v>
      </c>
      <c r="B526" s="0" t="str">
        <f aca="false">_xlfn.xlookup(A526, artists!A$2:A$836, artists!B$2:B$836)</f>
        <v>The Streets</v>
      </c>
      <c r="C526" s="1" t="s">
        <v>568</v>
      </c>
      <c r="D526" s="2" t="n">
        <v>254266</v>
      </c>
      <c r="E526" s="2" t="n">
        <f aca="false">D526/1000</f>
        <v>254.266</v>
      </c>
      <c r="F526" s="10" t="b">
        <f aca="false">TRUE()</f>
        <v>1</v>
      </c>
      <c r="G526" s="0" t="n">
        <v>7</v>
      </c>
      <c r="H526" s="0" t="n">
        <f aca="false">_xlfn.xlookup(G526, years!A$2:A$836, years!B$2:B$836)</f>
        <v>2004</v>
      </c>
      <c r="I526" s="2" t="n">
        <v>58</v>
      </c>
      <c r="J526" s="0" t="n">
        <v>0.68</v>
      </c>
      <c r="K526" s="0" t="n">
        <v>0.844</v>
      </c>
      <c r="L526" s="3" t="str">
        <f aca="false">IF(K526&gt;0.66,"High",IF(K526&gt;0.33&amp;K526&lt;=0.66,"Medium","Low"))</f>
        <v>High</v>
      </c>
      <c r="M526" s="0" t="n">
        <v>-1.729</v>
      </c>
      <c r="N526" s="3" t="n">
        <v>0.299</v>
      </c>
      <c r="O526" s="3" t="n">
        <v>0.23</v>
      </c>
      <c r="P526" s="4" t="n">
        <v>0</v>
      </c>
      <c r="Q526" s="3" t="n">
        <v>0.0305</v>
      </c>
      <c r="R526" s="3" t="n">
        <v>0.895</v>
      </c>
      <c r="S526" s="3" t="str">
        <f aca="false">IF(R526 &gt;= 0.5, "Positive", "Negative")</f>
        <v>Positive</v>
      </c>
      <c r="T526" s="2" t="n">
        <v>172.302</v>
      </c>
      <c r="U526" s="0" t="s">
        <v>143</v>
      </c>
    </row>
    <row r="527" customFormat="false" ht="14.25" hidden="false" customHeight="false" outlineLevel="0" collapsed="false">
      <c r="A527" s="0" t="n">
        <v>658</v>
      </c>
      <c r="B527" s="0" t="str">
        <f aca="false">_xlfn.xlookup(A527, artists!A$2:A$836, artists!B$2:B$836)</f>
        <v>Travis Scott</v>
      </c>
      <c r="C527" s="1" t="s">
        <v>569</v>
      </c>
      <c r="D527" s="2" t="n">
        <v>243836</v>
      </c>
      <c r="E527" s="2" t="n">
        <f aca="false">D527/1000</f>
        <v>243.836</v>
      </c>
      <c r="F527" s="10" t="b">
        <f aca="false">TRUE()</f>
        <v>1</v>
      </c>
      <c r="G527" s="0" t="n">
        <v>19</v>
      </c>
      <c r="H527" s="0" t="n">
        <f aca="false">_xlfn.xlookup(G527, years!A$2:A$836, years!B$2:B$836)</f>
        <v>2016</v>
      </c>
      <c r="I527" s="2" t="n">
        <v>83</v>
      </c>
      <c r="J527" s="0" t="n">
        <v>0.841</v>
      </c>
      <c r="K527" s="0" t="n">
        <v>0.728</v>
      </c>
      <c r="L527" s="3" t="str">
        <f aca="false">IF(K527&gt;0.66,"High",IF(K527&gt;0.33&amp;K527&lt;=0.66,"Medium","Low"))</f>
        <v>High</v>
      </c>
      <c r="M527" s="0" t="n">
        <v>-3.37</v>
      </c>
      <c r="N527" s="3" t="n">
        <v>0.0484</v>
      </c>
      <c r="O527" s="3" t="n">
        <v>0.0847</v>
      </c>
      <c r="P527" s="4" t="n">
        <v>0</v>
      </c>
      <c r="Q527" s="3" t="n">
        <v>0.149</v>
      </c>
      <c r="R527" s="3" t="n">
        <v>0.43</v>
      </c>
      <c r="S527" s="3" t="str">
        <f aca="false">IF(R527 &gt;= 0.5, "Positive", "Negative")</f>
        <v>Negative</v>
      </c>
      <c r="T527" s="2" t="n">
        <v>130.049</v>
      </c>
      <c r="U527" s="0" t="s">
        <v>143</v>
      </c>
    </row>
    <row r="528" customFormat="false" ht="14.25" hidden="false" customHeight="false" outlineLevel="0" collapsed="false">
      <c r="A528" s="0" t="n">
        <v>438</v>
      </c>
      <c r="B528" s="0" t="str">
        <f aca="false">_xlfn.xlookup(A528, artists!A$2:A$836, artists!B$2:B$836)</f>
        <v>David Guetta</v>
      </c>
      <c r="C528" s="1" t="s">
        <v>570</v>
      </c>
      <c r="D528" s="2" t="n">
        <v>194680</v>
      </c>
      <c r="E528" s="2" t="n">
        <f aca="false">D528/1000</f>
        <v>194.68</v>
      </c>
      <c r="F528" s="10" t="b">
        <f aca="false">FALSE()</f>
        <v>0</v>
      </c>
      <c r="G528" s="0" t="n">
        <v>21</v>
      </c>
      <c r="H528" s="0" t="n">
        <f aca="false">_xlfn.xlookup(G528, years!A$2:A$836, years!B$2:B$836)</f>
        <v>2018</v>
      </c>
      <c r="I528" s="2" t="n">
        <v>59</v>
      </c>
      <c r="J528" s="0" t="n">
        <v>0.631</v>
      </c>
      <c r="K528" s="0" t="n">
        <v>0.649</v>
      </c>
      <c r="L528" s="3" t="str">
        <f aca="false">IF(K528&gt;0.66,"High",IF(K528&gt;0.33&amp;K528&lt;=0.66,"Medium","Low"))</f>
        <v>Low</v>
      </c>
      <c r="M528" s="0" t="n">
        <v>-5.892</v>
      </c>
      <c r="N528" s="3" t="n">
        <v>0.0385</v>
      </c>
      <c r="O528" s="3" t="n">
        <v>0.0817</v>
      </c>
      <c r="P528" s="4" t="n">
        <v>3.8E-006</v>
      </c>
      <c r="Q528" s="3" t="n">
        <v>0.0934</v>
      </c>
      <c r="R528" s="3" t="n">
        <v>0.421</v>
      </c>
      <c r="S528" s="3" t="str">
        <f aca="false">IF(R528 &gt;= 0.5, "Positive", "Negative")</f>
        <v>Negative</v>
      </c>
      <c r="T528" s="2" t="n">
        <v>93.95</v>
      </c>
      <c r="U528" s="0" t="s">
        <v>53</v>
      </c>
    </row>
    <row r="529" customFormat="false" ht="14.25" hidden="false" customHeight="false" outlineLevel="0" collapsed="false">
      <c r="A529" s="0" t="n">
        <v>269</v>
      </c>
      <c r="B529" s="0" t="str">
        <f aca="false">_xlfn.xlookup(A529, artists!A$2:A$836, artists!B$2:B$836)</f>
        <v>Kanye West</v>
      </c>
      <c r="C529" s="1" t="s">
        <v>571</v>
      </c>
      <c r="D529" s="2" t="n">
        <v>237506</v>
      </c>
      <c r="E529" s="2" t="n">
        <f aca="false">D529/1000</f>
        <v>237.506</v>
      </c>
      <c r="F529" s="10" t="b">
        <f aca="false">TRUE()</f>
        <v>1</v>
      </c>
      <c r="G529" s="0" t="n">
        <v>10</v>
      </c>
      <c r="H529" s="0" t="n">
        <f aca="false">_xlfn.xlookup(G529, years!A$2:A$836, years!B$2:B$836)</f>
        <v>2007</v>
      </c>
      <c r="I529" s="2" t="n">
        <v>52</v>
      </c>
      <c r="J529" s="0" t="n">
        <v>0.639</v>
      </c>
      <c r="K529" s="0" t="n">
        <v>0.628</v>
      </c>
      <c r="L529" s="3" t="str">
        <f aca="false">IF(K529&gt;0.66,"High",IF(K529&gt;0.33&amp;K529&lt;=0.66,"Medium","Low"))</f>
        <v>Low</v>
      </c>
      <c r="M529" s="0" t="n">
        <v>-7.578</v>
      </c>
      <c r="N529" s="3" t="n">
        <v>0.0399</v>
      </c>
      <c r="O529" s="3" t="n">
        <v>0.0381</v>
      </c>
      <c r="P529" s="4" t="n">
        <v>0</v>
      </c>
      <c r="Q529" s="3" t="n">
        <v>0.386</v>
      </c>
      <c r="R529" s="3" t="n">
        <v>0.43</v>
      </c>
      <c r="S529" s="3" t="str">
        <f aca="false">IF(R529 &gt;= 0.5, "Positive", "Negative")</f>
        <v>Negative</v>
      </c>
      <c r="T529" s="2" t="n">
        <v>90.482</v>
      </c>
      <c r="U529" s="0" t="s">
        <v>29</v>
      </c>
    </row>
    <row r="530" customFormat="false" ht="14.25" hidden="false" customHeight="false" outlineLevel="0" collapsed="false">
      <c r="A530" s="0" t="n">
        <v>678</v>
      </c>
      <c r="B530" s="0" t="str">
        <f aca="false">_xlfn.xlookup(A530, artists!A$2:A$836, artists!B$2:B$836)</f>
        <v>Rich Homie Quan</v>
      </c>
      <c r="C530" s="1" t="s">
        <v>572</v>
      </c>
      <c r="D530" s="2" t="n">
        <v>176674</v>
      </c>
      <c r="E530" s="2" t="n">
        <f aca="false">D530/1000</f>
        <v>176.674</v>
      </c>
      <c r="F530" s="10" t="b">
        <f aca="false">TRUE()</f>
        <v>1</v>
      </c>
      <c r="G530" s="0" t="n">
        <v>18</v>
      </c>
      <c r="H530" s="0" t="n">
        <f aca="false">_xlfn.xlookup(G530, years!A$2:A$836, years!B$2:B$836)</f>
        <v>2015</v>
      </c>
      <c r="I530" s="2" t="n">
        <v>1</v>
      </c>
      <c r="J530" s="0" t="n">
        <v>0.676</v>
      </c>
      <c r="K530" s="0" t="n">
        <v>0.615</v>
      </c>
      <c r="L530" s="3" t="str">
        <f aca="false">IF(K530&gt;0.66,"High",IF(K530&gt;0.33&amp;K530&lt;=0.66,"Medium","Low"))</f>
        <v>Low</v>
      </c>
      <c r="M530" s="0" t="n">
        <v>-7.534</v>
      </c>
      <c r="N530" s="3" t="n">
        <v>0.0496</v>
      </c>
      <c r="O530" s="3" t="n">
        <v>0.0384</v>
      </c>
      <c r="P530" s="4" t="n">
        <v>0</v>
      </c>
      <c r="Q530" s="3" t="n">
        <v>0.341</v>
      </c>
      <c r="R530" s="3" t="n">
        <v>0.883</v>
      </c>
      <c r="S530" s="3" t="str">
        <f aca="false">IF(R530 &gt;= 0.5, "Positive", "Negative")</f>
        <v>Positive</v>
      </c>
      <c r="T530" s="2" t="n">
        <v>163.993</v>
      </c>
      <c r="U530" s="0" t="s">
        <v>24</v>
      </c>
    </row>
    <row r="531" customFormat="false" ht="14.25" hidden="false" customHeight="false" outlineLevel="0" collapsed="false">
      <c r="A531" s="0" t="n">
        <v>174</v>
      </c>
      <c r="B531" s="0" t="str">
        <f aca="false">_xlfn.xlookup(A531, artists!A$2:A$836, artists!B$2:B$836)</f>
        <v>Ashanti</v>
      </c>
      <c r="C531" s="1" t="s">
        <v>573</v>
      </c>
      <c r="D531" s="2" t="n">
        <v>227386</v>
      </c>
      <c r="E531" s="2" t="n">
        <f aca="false">D531/1000</f>
        <v>227.386</v>
      </c>
      <c r="F531" s="10" t="b">
        <f aca="false">TRUE()</f>
        <v>1</v>
      </c>
      <c r="G531" s="0" t="n">
        <v>5</v>
      </c>
      <c r="H531" s="0" t="n">
        <f aca="false">_xlfn.xlookup(G531, years!A$2:A$836, years!B$2:B$836)</f>
        <v>2002</v>
      </c>
      <c r="I531" s="2" t="n">
        <v>70</v>
      </c>
      <c r="J531" s="0" t="n">
        <v>0.665</v>
      </c>
      <c r="K531" s="0" t="n">
        <v>0.695</v>
      </c>
      <c r="L531" s="3" t="str">
        <f aca="false">IF(K531&gt;0.66,"High",IF(K531&gt;0.33&amp;K531&lt;=0.66,"Medium","Low"))</f>
        <v>High</v>
      </c>
      <c r="M531" s="0" t="n">
        <v>-5.763</v>
      </c>
      <c r="N531" s="3" t="n">
        <v>0.0532</v>
      </c>
      <c r="O531" s="3" t="n">
        <v>0.347</v>
      </c>
      <c r="P531" s="4" t="n">
        <v>0</v>
      </c>
      <c r="Q531" s="3" t="n">
        <v>0.106</v>
      </c>
      <c r="R531" s="3" t="n">
        <v>0.707</v>
      </c>
      <c r="S531" s="3" t="str">
        <f aca="false">IF(R531 &gt;= 0.5, "Positive", "Negative")</f>
        <v>Positive</v>
      </c>
      <c r="T531" s="2" t="n">
        <v>90.119</v>
      </c>
      <c r="U531" s="0" t="s">
        <v>31</v>
      </c>
    </row>
    <row r="532" customFormat="false" ht="14.25" hidden="false" customHeight="false" outlineLevel="0" collapsed="false">
      <c r="A532" s="0" t="n">
        <v>746</v>
      </c>
      <c r="B532" s="0" t="str">
        <f aca="false">_xlfn.xlookup(A532, artists!A$2:A$836, artists!B$2:B$836)</f>
        <v>Post Malone</v>
      </c>
      <c r="C532" s="1" t="s">
        <v>574</v>
      </c>
      <c r="D532" s="2" t="n">
        <v>220293</v>
      </c>
      <c r="E532" s="2" t="n">
        <f aca="false">D532/1000</f>
        <v>220.293</v>
      </c>
      <c r="F532" s="10" t="b">
        <f aca="false">TRUE()</f>
        <v>1</v>
      </c>
      <c r="G532" s="0" t="n">
        <v>19</v>
      </c>
      <c r="H532" s="0" t="n">
        <f aca="false">_xlfn.xlookup(G532, years!A$2:A$836, years!B$2:B$836)</f>
        <v>2016</v>
      </c>
      <c r="I532" s="2" t="n">
        <v>81</v>
      </c>
      <c r="J532" s="0" t="n">
        <v>0.63</v>
      </c>
      <c r="K532" s="0" t="n">
        <v>0.804</v>
      </c>
      <c r="L532" s="3" t="str">
        <f aca="false">IF(K532&gt;0.66,"High",IF(K532&gt;0.33&amp;K532&lt;=0.66,"Medium","Low"))</f>
        <v>High</v>
      </c>
      <c r="M532" s="0" t="n">
        <v>-4.183</v>
      </c>
      <c r="N532" s="3" t="n">
        <v>0.0363</v>
      </c>
      <c r="O532" s="3" t="n">
        <v>0.215</v>
      </c>
      <c r="P532" s="4" t="n">
        <v>0</v>
      </c>
      <c r="Q532" s="3" t="n">
        <v>0.253</v>
      </c>
      <c r="R532" s="3" t="n">
        <v>0.492</v>
      </c>
      <c r="S532" s="3" t="str">
        <f aca="false">IF(R532 &gt;= 0.5, "Positive", "Negative")</f>
        <v>Negative</v>
      </c>
      <c r="T532" s="2" t="n">
        <v>123.146</v>
      </c>
      <c r="U532" s="0" t="s">
        <v>29</v>
      </c>
    </row>
    <row r="533" customFormat="false" ht="14.25" hidden="false" customHeight="false" outlineLevel="0" collapsed="false">
      <c r="A533" s="0" t="n">
        <v>291</v>
      </c>
      <c r="B533" s="0" t="str">
        <f aca="false">_xlfn.xlookup(A533, artists!A$2:A$836, artists!B$2:B$836)</f>
        <v>Chris Brown</v>
      </c>
      <c r="C533" s="1" t="s">
        <v>575</v>
      </c>
      <c r="D533" s="2" t="n">
        <v>278573</v>
      </c>
      <c r="E533" s="2" t="n">
        <f aca="false">D533/1000</f>
        <v>278.573</v>
      </c>
      <c r="F533" s="10" t="b">
        <f aca="false">FALSE()</f>
        <v>0</v>
      </c>
      <c r="G533" s="0" t="n">
        <v>11</v>
      </c>
      <c r="H533" s="0" t="n">
        <f aca="false">_xlfn.xlookup(G533, years!A$2:A$836, years!B$2:B$836)</f>
        <v>2008</v>
      </c>
      <c r="I533" s="2" t="n">
        <v>74</v>
      </c>
      <c r="J533" s="0" t="n">
        <v>0.672</v>
      </c>
      <c r="K533" s="0" t="n">
        <v>0.82</v>
      </c>
      <c r="L533" s="3" t="str">
        <f aca="false">IF(K533&gt;0.66,"High",IF(K533&gt;0.33&amp;K533&lt;=0.66,"Medium","Low"))</f>
        <v>High</v>
      </c>
      <c r="M533" s="0" t="n">
        <v>-4.456</v>
      </c>
      <c r="N533" s="3" t="n">
        <v>0.0459</v>
      </c>
      <c r="O533" s="3" t="n">
        <v>0.0368</v>
      </c>
      <c r="P533" s="4" t="n">
        <v>0.000188</v>
      </c>
      <c r="Q533" s="3" t="n">
        <v>0.184</v>
      </c>
      <c r="R533" s="3" t="n">
        <v>0.438</v>
      </c>
      <c r="S533" s="3" t="str">
        <f aca="false">IF(R533 &gt;= 0.5, "Positive", "Negative")</f>
        <v>Negative</v>
      </c>
      <c r="T533" s="2" t="n">
        <v>120.005</v>
      </c>
      <c r="U533" s="0" t="s">
        <v>31</v>
      </c>
    </row>
    <row r="534" customFormat="false" ht="14.25" hidden="false" customHeight="false" outlineLevel="0" collapsed="false">
      <c r="A534" s="0" t="n">
        <v>455</v>
      </c>
      <c r="B534" s="0" t="str">
        <f aca="false">_xlfn.xlookup(A534, artists!A$2:A$836, artists!B$2:B$836)</f>
        <v>Drake</v>
      </c>
      <c r="C534" s="1" t="s">
        <v>575</v>
      </c>
      <c r="D534" s="2" t="n">
        <v>357706</v>
      </c>
      <c r="E534" s="2" t="n">
        <f aca="false">D534/1000</f>
        <v>357.706</v>
      </c>
      <c r="F534" s="10" t="b">
        <f aca="false">TRUE()</f>
        <v>1</v>
      </c>
      <c r="G534" s="0" t="n">
        <v>12</v>
      </c>
      <c r="H534" s="0" t="n">
        <f aca="false">_xlfn.xlookup(G534, years!A$2:A$836, years!B$2:B$836)</f>
        <v>2009</v>
      </c>
      <c r="I534" s="2" t="n">
        <v>73</v>
      </c>
      <c r="J534" s="0" t="n">
        <v>0.457</v>
      </c>
      <c r="K534" s="0" t="n">
        <v>0.906</v>
      </c>
      <c r="L534" s="3" t="str">
        <f aca="false">IF(K534&gt;0.66,"High",IF(K534&gt;0.33&amp;K534&lt;=0.66,"Medium","Low"))</f>
        <v>High</v>
      </c>
      <c r="M534" s="0" t="n">
        <v>-2.278</v>
      </c>
      <c r="N534" s="3" t="n">
        <v>0.342</v>
      </c>
      <c r="O534" s="3" t="n">
        <v>0.249</v>
      </c>
      <c r="P534" s="4" t="n">
        <v>0</v>
      </c>
      <c r="Q534" s="3" t="n">
        <v>0.182</v>
      </c>
      <c r="R534" s="3" t="n">
        <v>0.54</v>
      </c>
      <c r="S534" s="3" t="str">
        <f aca="false">IF(R534 &gt;= 0.5, "Positive", "Negative")</f>
        <v>Positive</v>
      </c>
      <c r="T534" s="2" t="n">
        <v>104.02</v>
      </c>
      <c r="U534" s="0" t="s">
        <v>31</v>
      </c>
    </row>
    <row r="535" customFormat="false" ht="14.25" hidden="false" customHeight="false" outlineLevel="0" collapsed="false">
      <c r="A535" s="0" t="n">
        <v>19</v>
      </c>
      <c r="B535" s="0" t="str">
        <f aca="false">_xlfn.xlookup(A535, artists!A$2:A$836, artists!B$2:B$836)</f>
        <v>Dr. Dre</v>
      </c>
      <c r="C535" s="1" t="s">
        <v>576</v>
      </c>
      <c r="D535" s="2" t="n">
        <v>222293</v>
      </c>
      <c r="E535" s="2" t="n">
        <f aca="false">D535/1000</f>
        <v>222.293</v>
      </c>
      <c r="F535" s="10" t="b">
        <f aca="false">TRUE()</f>
        <v>1</v>
      </c>
      <c r="G535" s="0" t="n">
        <v>2</v>
      </c>
      <c r="H535" s="0" t="n">
        <f aca="false">_xlfn.xlookup(G535, years!A$2:A$836, years!B$2:B$836)</f>
        <v>1999</v>
      </c>
      <c r="I535" s="2" t="n">
        <v>79</v>
      </c>
      <c r="J535" s="0" t="n">
        <v>0.924</v>
      </c>
      <c r="K535" s="0" t="n">
        <v>0.74</v>
      </c>
      <c r="L535" s="3" t="str">
        <f aca="false">IF(K535&gt;0.66,"High",IF(K535&gt;0.33&amp;K535&lt;=0.66,"Medium","Low"))</f>
        <v>High</v>
      </c>
      <c r="M535" s="0" t="n">
        <v>-1.299</v>
      </c>
      <c r="N535" s="3" t="n">
        <v>0.0774</v>
      </c>
      <c r="O535" s="3" t="n">
        <v>0.0827</v>
      </c>
      <c r="P535" s="4" t="n">
        <v>0</v>
      </c>
      <c r="Q535" s="3" t="n">
        <v>0.163</v>
      </c>
      <c r="R535" s="3" t="n">
        <v>0.621</v>
      </c>
      <c r="S535" s="3" t="str">
        <f aca="false">IF(R535 &gt;= 0.5, "Positive", "Negative")</f>
        <v>Positive</v>
      </c>
      <c r="T535" s="2" t="n">
        <v>133.974</v>
      </c>
      <c r="U535" s="0" t="s">
        <v>29</v>
      </c>
    </row>
    <row r="536" customFormat="false" ht="14.25" hidden="false" customHeight="false" outlineLevel="0" collapsed="false">
      <c r="A536" s="0" t="n">
        <v>156</v>
      </c>
      <c r="B536" s="0" t="str">
        <f aca="false">_xlfn.xlookup(A536, artists!A$2:A$836, artists!B$2:B$836)</f>
        <v>Sugababes</v>
      </c>
      <c r="C536" s="1" t="s">
        <v>577</v>
      </c>
      <c r="D536" s="2" t="n">
        <v>195866</v>
      </c>
      <c r="E536" s="2" t="n">
        <f aca="false">D536/1000</f>
        <v>195.866</v>
      </c>
      <c r="F536" s="10" t="b">
        <f aca="false">FALSE()</f>
        <v>0</v>
      </c>
      <c r="G536" s="0" t="n">
        <v>5</v>
      </c>
      <c r="H536" s="0" t="n">
        <f aca="false">_xlfn.xlookup(G536, years!A$2:A$836, years!B$2:B$836)</f>
        <v>2002</v>
      </c>
      <c r="I536" s="2" t="n">
        <v>45</v>
      </c>
      <c r="J536" s="0" t="n">
        <v>0.517</v>
      </c>
      <c r="K536" s="0" t="n">
        <v>0.919</v>
      </c>
      <c r="L536" s="3" t="str">
        <f aca="false">IF(K536&gt;0.66,"High",IF(K536&gt;0.33&amp;K536&lt;=0.66,"Medium","Low"))</f>
        <v>High</v>
      </c>
      <c r="M536" s="0" t="n">
        <v>-3.451</v>
      </c>
      <c r="N536" s="3" t="n">
        <v>0.0925</v>
      </c>
      <c r="O536" s="3" t="n">
        <v>0.0996</v>
      </c>
      <c r="P536" s="4" t="n">
        <v>1.81E-006</v>
      </c>
      <c r="Q536" s="3" t="n">
        <v>0.557</v>
      </c>
      <c r="R536" s="3" t="n">
        <v>0.387</v>
      </c>
      <c r="S536" s="3" t="str">
        <f aca="false">IF(R536 &gt;= 0.5, "Positive", "Negative")</f>
        <v>Negative</v>
      </c>
      <c r="T536" s="2" t="n">
        <v>91.868</v>
      </c>
      <c r="U536" s="0" t="s">
        <v>33</v>
      </c>
    </row>
    <row r="537" customFormat="false" ht="14.25" hidden="false" customHeight="false" outlineLevel="0" collapsed="false">
      <c r="A537" s="0" t="n">
        <v>790</v>
      </c>
      <c r="B537" s="0" t="str">
        <f aca="false">_xlfn.xlookup(A537, artists!A$2:A$836, artists!B$2:B$836)</f>
        <v>Lil Dicky</v>
      </c>
      <c r="C537" s="1" t="s">
        <v>578</v>
      </c>
      <c r="D537" s="2" t="n">
        <v>216631</v>
      </c>
      <c r="E537" s="2" t="n">
        <f aca="false">D537/1000</f>
        <v>216.631</v>
      </c>
      <c r="F537" s="10" t="b">
        <f aca="false">TRUE()</f>
        <v>1</v>
      </c>
      <c r="G537" s="0" t="n">
        <v>21</v>
      </c>
      <c r="H537" s="0" t="n">
        <f aca="false">_xlfn.xlookup(G537, years!A$2:A$836, years!B$2:B$836)</f>
        <v>2018</v>
      </c>
      <c r="I537" s="2" t="n">
        <v>70</v>
      </c>
      <c r="J537" s="0" t="n">
        <v>0.755</v>
      </c>
      <c r="K537" s="0" t="n">
        <v>0.599</v>
      </c>
      <c r="L537" s="3" t="str">
        <f aca="false">IF(K537&gt;0.66,"High",IF(K537&gt;0.33&amp;K537&lt;=0.66,"Medium","Low"))</f>
        <v>Low</v>
      </c>
      <c r="M537" s="0" t="n">
        <v>-5.042</v>
      </c>
      <c r="N537" s="3" t="n">
        <v>0.224</v>
      </c>
      <c r="O537" s="3" t="n">
        <v>0.147</v>
      </c>
      <c r="P537" s="4" t="n">
        <v>0</v>
      </c>
      <c r="Q537" s="3" t="n">
        <v>0.109</v>
      </c>
      <c r="R537" s="3" t="n">
        <v>0.755</v>
      </c>
      <c r="S537" s="3" t="str">
        <f aca="false">IF(R537 &gt;= 0.5, "Positive", "Negative")</f>
        <v>Positive</v>
      </c>
      <c r="T537" s="2" t="n">
        <v>133.123</v>
      </c>
      <c r="U537" s="0" t="s">
        <v>24</v>
      </c>
    </row>
    <row r="538" customFormat="false" ht="14.25" hidden="false" customHeight="false" outlineLevel="0" collapsed="false">
      <c r="A538" s="0" t="n">
        <v>254</v>
      </c>
      <c r="B538" s="0" t="str">
        <f aca="false">_xlfn.xlookup(A538, artists!A$2:A$836, artists!B$2:B$836)</f>
        <v>Petey Pablo</v>
      </c>
      <c r="C538" s="1" t="s">
        <v>579</v>
      </c>
      <c r="D538" s="2" t="n">
        <v>235186</v>
      </c>
      <c r="E538" s="2" t="n">
        <f aca="false">D538/1000</f>
        <v>235.186</v>
      </c>
      <c r="F538" s="10" t="b">
        <f aca="false">TRUE()</f>
        <v>1</v>
      </c>
      <c r="G538" s="0" t="n">
        <v>6</v>
      </c>
      <c r="H538" s="0" t="n">
        <f aca="false">_xlfn.xlookup(G538, years!A$2:A$836, years!B$2:B$836)</f>
        <v>2003</v>
      </c>
      <c r="I538" s="2" t="n">
        <v>56</v>
      </c>
      <c r="J538" s="0" t="n">
        <v>0.737</v>
      </c>
      <c r="K538" s="0" t="n">
        <v>0.697</v>
      </c>
      <c r="L538" s="3" t="str">
        <f aca="false">IF(K538&gt;0.66,"High",IF(K538&gt;0.33&amp;K538&lt;=0.66,"Medium","Low"))</f>
        <v>High</v>
      </c>
      <c r="M538" s="0" t="n">
        <v>-3.716</v>
      </c>
      <c r="N538" s="3" t="n">
        <v>0.254</v>
      </c>
      <c r="O538" s="3" t="n">
        <v>0.0756</v>
      </c>
      <c r="P538" s="4" t="n">
        <v>0</v>
      </c>
      <c r="Q538" s="3" t="n">
        <v>0.359</v>
      </c>
      <c r="R538" s="3" t="n">
        <v>0.662</v>
      </c>
      <c r="S538" s="3" t="str">
        <f aca="false">IF(R538 &gt;= 0.5, "Positive", "Negative")</f>
        <v>Positive</v>
      </c>
      <c r="T538" s="2" t="n">
        <v>104.917</v>
      </c>
      <c r="U538" s="0" t="s">
        <v>24</v>
      </c>
    </row>
    <row r="539" customFormat="false" ht="14.25" hidden="false" customHeight="false" outlineLevel="0" collapsed="false">
      <c r="A539" s="0" t="n">
        <v>194</v>
      </c>
      <c r="B539" s="0" t="str">
        <f aca="false">_xlfn.xlookup(A539, artists!A$2:A$836, artists!B$2:B$836)</f>
        <v>Black Eyed Peas</v>
      </c>
      <c r="C539" s="1" t="s">
        <v>580</v>
      </c>
      <c r="D539" s="2" t="n">
        <v>214893</v>
      </c>
      <c r="E539" s="2" t="n">
        <f aca="false">D539/1000</f>
        <v>214.893</v>
      </c>
      <c r="F539" s="10" t="b">
        <f aca="false">TRUE()</f>
        <v>1</v>
      </c>
      <c r="G539" s="0" t="n">
        <v>6</v>
      </c>
      <c r="H539" s="0" t="n">
        <f aca="false">_xlfn.xlookup(G539, years!A$2:A$836, years!B$2:B$836)</f>
        <v>2003</v>
      </c>
      <c r="I539" s="2" t="n">
        <v>49</v>
      </c>
      <c r="J539" s="0" t="n">
        <v>0.86</v>
      </c>
      <c r="K539" s="0" t="n">
        <v>0.866</v>
      </c>
      <c r="L539" s="3" t="str">
        <f aca="false">IF(K539&gt;0.66,"High",IF(K539&gt;0.33&amp;K539&lt;=0.66,"Medium","Low"))</f>
        <v>High</v>
      </c>
      <c r="M539" s="0" t="n">
        <v>-6.345</v>
      </c>
      <c r="N539" s="3" t="n">
        <v>0.232</v>
      </c>
      <c r="O539" s="3" t="n">
        <v>0.104</v>
      </c>
      <c r="P539" s="4" t="n">
        <v>1.42E-006</v>
      </c>
      <c r="Q539" s="3" t="n">
        <v>0.584</v>
      </c>
      <c r="R539" s="3" t="n">
        <v>0.933</v>
      </c>
      <c r="S539" s="3" t="str">
        <f aca="false">IF(R539 &gt;= 0.5, "Positive", "Negative")</f>
        <v>Positive</v>
      </c>
      <c r="T539" s="2" t="n">
        <v>100.15</v>
      </c>
      <c r="U539" s="0" t="s">
        <v>24</v>
      </c>
    </row>
    <row r="540" customFormat="false" ht="14.25" hidden="false" customHeight="false" outlineLevel="0" collapsed="false">
      <c r="A540" s="0" t="n">
        <v>610</v>
      </c>
      <c r="B540" s="0" t="str">
        <f aca="false">_xlfn.xlookup(A540, artists!A$2:A$836, artists!B$2:B$836)</f>
        <v>DJ Snake</v>
      </c>
      <c r="C540" s="1" t="s">
        <v>581</v>
      </c>
      <c r="D540" s="2" t="n">
        <v>205946</v>
      </c>
      <c r="E540" s="2" t="n">
        <f aca="false">D540/1000</f>
        <v>205.946</v>
      </c>
      <c r="F540" s="10" t="b">
        <f aca="false">FALSE()</f>
        <v>0</v>
      </c>
      <c r="G540" s="0" t="n">
        <v>19</v>
      </c>
      <c r="H540" s="0" t="n">
        <f aca="false">_xlfn.xlookup(G540, years!A$2:A$836, years!B$2:B$836)</f>
        <v>2016</v>
      </c>
      <c r="I540" s="2" t="n">
        <v>81</v>
      </c>
      <c r="J540" s="0" t="n">
        <v>0.649</v>
      </c>
      <c r="K540" s="0" t="n">
        <v>0.716</v>
      </c>
      <c r="L540" s="3" t="str">
        <f aca="false">IF(K540&gt;0.66,"High",IF(K540&gt;0.33&amp;K540&lt;=0.66,"Medium","Low"))</f>
        <v>High</v>
      </c>
      <c r="M540" s="0" t="n">
        <v>-5.371</v>
      </c>
      <c r="N540" s="3" t="n">
        <v>0.0349</v>
      </c>
      <c r="O540" s="3" t="n">
        <v>0.0863</v>
      </c>
      <c r="P540" s="4" t="n">
        <v>2.63E-005</v>
      </c>
      <c r="Q540" s="3" t="n">
        <v>0.135</v>
      </c>
      <c r="R540" s="3" t="n">
        <v>0.163</v>
      </c>
      <c r="S540" s="3" t="str">
        <f aca="false">IF(R540 &gt;= 0.5, "Positive", "Negative")</f>
        <v>Negative</v>
      </c>
      <c r="T540" s="2" t="n">
        <v>99.988</v>
      </c>
      <c r="U540" s="0" t="s">
        <v>53</v>
      </c>
    </row>
    <row r="541" customFormat="false" ht="14.25" hidden="false" customHeight="false" outlineLevel="0" collapsed="false">
      <c r="A541" s="0" t="n">
        <v>463</v>
      </c>
      <c r="B541" s="0" t="str">
        <f aca="false">_xlfn.xlookup(A541, artists!A$2:A$836, artists!B$2:B$836)</f>
        <v>Justin Bieber</v>
      </c>
      <c r="C541" s="1" t="s">
        <v>582</v>
      </c>
      <c r="D541" s="2" t="n">
        <v>189466</v>
      </c>
      <c r="E541" s="2" t="n">
        <f aca="false">D541/1000</f>
        <v>189.466</v>
      </c>
      <c r="F541" s="10" t="b">
        <f aca="false">FALSE()</f>
        <v>0</v>
      </c>
      <c r="G541" s="0" t="n">
        <v>20</v>
      </c>
      <c r="H541" s="0" t="n">
        <f aca="false">_xlfn.xlookup(G541, years!A$2:A$836, years!B$2:B$836)</f>
        <v>2017</v>
      </c>
      <c r="I541" s="2" t="n">
        <v>0</v>
      </c>
      <c r="J541" s="0" t="n">
        <v>0.744</v>
      </c>
      <c r="K541" s="0" t="n">
        <v>0.739</v>
      </c>
      <c r="L541" s="3" t="str">
        <f aca="false">IF(K541&gt;0.66,"High",IF(K541&gt;0.33&amp;K541&lt;=0.66,"Medium","Low"))</f>
        <v>High</v>
      </c>
      <c r="M541" s="0" t="n">
        <v>-5.35</v>
      </c>
      <c r="N541" s="3" t="n">
        <v>0.0387</v>
      </c>
      <c r="O541" s="3" t="n">
        <v>0.00459</v>
      </c>
      <c r="P541" s="4" t="n">
        <v>0</v>
      </c>
      <c r="Q541" s="3" t="n">
        <v>0.306</v>
      </c>
      <c r="R541" s="3" t="n">
        <v>0.649</v>
      </c>
      <c r="S541" s="3" t="str">
        <f aca="false">IF(R541 &gt;= 0.5, "Positive", "Negative")</f>
        <v>Positive</v>
      </c>
      <c r="T541" s="2" t="n">
        <v>104.99</v>
      </c>
      <c r="U541" s="0" t="s">
        <v>39</v>
      </c>
    </row>
    <row r="542" customFormat="false" ht="14.25" hidden="false" customHeight="false" outlineLevel="0" collapsed="false">
      <c r="A542" s="0" t="n">
        <v>324</v>
      </c>
      <c r="B542" s="0" t="str">
        <f aca="false">_xlfn.xlookup(A542, artists!A$2:A$836, artists!B$2:B$836)</f>
        <v>Infernal</v>
      </c>
      <c r="C542" s="1" t="s">
        <v>583</v>
      </c>
      <c r="D542" s="2" t="n">
        <v>209666</v>
      </c>
      <c r="E542" s="2" t="n">
        <f aca="false">D542/1000</f>
        <v>209.666</v>
      </c>
      <c r="F542" s="10" t="b">
        <f aca="false">FALSE()</f>
        <v>0</v>
      </c>
      <c r="G542" s="0" t="n">
        <v>7</v>
      </c>
      <c r="H542" s="0" t="n">
        <f aca="false">_xlfn.xlookup(G542, years!A$2:A$836, years!B$2:B$836)</f>
        <v>2004</v>
      </c>
      <c r="I542" s="2" t="n">
        <v>57</v>
      </c>
      <c r="J542" s="0" t="n">
        <v>0.741</v>
      </c>
      <c r="K542" s="0" t="n">
        <v>0.869</v>
      </c>
      <c r="L542" s="3" t="str">
        <f aca="false">IF(K542&gt;0.66,"High",IF(K542&gt;0.33&amp;K542&lt;=0.66,"Medium","Low"))</f>
        <v>High</v>
      </c>
      <c r="M542" s="0" t="n">
        <v>-6.534</v>
      </c>
      <c r="N542" s="3" t="n">
        <v>0.0816</v>
      </c>
      <c r="O542" s="3" t="n">
        <v>0.096</v>
      </c>
      <c r="P542" s="4" t="n">
        <v>0</v>
      </c>
      <c r="Q542" s="3" t="n">
        <v>0.0396</v>
      </c>
      <c r="R542" s="3" t="n">
        <v>0.839</v>
      </c>
      <c r="S542" s="3" t="str">
        <f aca="false">IF(R542 &gt;= 0.5, "Positive", "Negative")</f>
        <v>Positive</v>
      </c>
      <c r="T542" s="2" t="n">
        <v>126.069</v>
      </c>
      <c r="U542" s="0" t="s">
        <v>39</v>
      </c>
    </row>
    <row r="543" customFormat="false" ht="14.25" hidden="false" customHeight="false" outlineLevel="0" collapsed="false">
      <c r="A543" s="0" t="n">
        <v>212</v>
      </c>
      <c r="B543" s="0" t="str">
        <f aca="false">_xlfn.xlookup(A543, artists!A$2:A$836, artists!B$2:B$836)</f>
        <v>Pharrell Williams</v>
      </c>
      <c r="C543" s="1" t="s">
        <v>584</v>
      </c>
      <c r="D543" s="2" t="n">
        <v>236506</v>
      </c>
      <c r="E543" s="2" t="n">
        <f aca="false">D543/1000</f>
        <v>236.506</v>
      </c>
      <c r="F543" s="10" t="b">
        <f aca="false">TRUE()</f>
        <v>1</v>
      </c>
      <c r="G543" s="0" t="n">
        <v>6</v>
      </c>
      <c r="H543" s="0" t="n">
        <f aca="false">_xlfn.xlookup(G543, years!A$2:A$836, years!B$2:B$836)</f>
        <v>2003</v>
      </c>
      <c r="I543" s="2" t="n">
        <v>67</v>
      </c>
      <c r="J543" s="0" t="n">
        <v>0.894</v>
      </c>
      <c r="K543" s="0" t="n">
        <v>0.404</v>
      </c>
      <c r="L543" s="3" t="str">
        <f aca="false">IF(K543&gt;0.66,"High",IF(K543&gt;0.33&amp;K543&lt;=0.66,"Medium","Low"))</f>
        <v>Low</v>
      </c>
      <c r="M543" s="0" t="n">
        <v>-5.913</v>
      </c>
      <c r="N543" s="3" t="n">
        <v>0.13</v>
      </c>
      <c r="O543" s="3" t="n">
        <v>0.453</v>
      </c>
      <c r="P543" s="4" t="n">
        <v>1.57E-006</v>
      </c>
      <c r="Q543" s="3" t="n">
        <v>0.0801</v>
      </c>
      <c r="R543" s="3" t="n">
        <v>0.759</v>
      </c>
      <c r="S543" s="3" t="str">
        <f aca="false">IF(R543 &gt;= 0.5, "Positive", "Negative")</f>
        <v>Positive</v>
      </c>
      <c r="T543" s="2" t="n">
        <v>102.009</v>
      </c>
      <c r="U543" s="0" t="s">
        <v>24</v>
      </c>
    </row>
    <row r="544" customFormat="false" ht="14.25" hidden="false" customHeight="false" outlineLevel="0" collapsed="false">
      <c r="A544" s="0" t="n">
        <v>274</v>
      </c>
      <c r="B544" s="0" t="str">
        <f aca="false">_xlfn.xlookup(A544, artists!A$2:A$836, artists!B$2:B$836)</f>
        <v>Eamon</v>
      </c>
      <c r="C544" s="1" t="s">
        <v>585</v>
      </c>
      <c r="D544" s="2" t="n">
        <v>225106</v>
      </c>
      <c r="E544" s="2" t="n">
        <f aca="false">D544/1000</f>
        <v>225.106</v>
      </c>
      <c r="F544" s="10" t="b">
        <f aca="false">TRUE()</f>
        <v>1</v>
      </c>
      <c r="G544" s="0" t="n">
        <v>7</v>
      </c>
      <c r="H544" s="0" t="n">
        <f aca="false">_xlfn.xlookup(G544, years!A$2:A$836, years!B$2:B$836)</f>
        <v>2004</v>
      </c>
      <c r="I544" s="2" t="n">
        <v>64</v>
      </c>
      <c r="J544" s="0" t="n">
        <v>0.828</v>
      </c>
      <c r="K544" s="0" t="n">
        <v>0.653</v>
      </c>
      <c r="L544" s="3" t="str">
        <f aca="false">IF(K544&gt;0.66,"High",IF(K544&gt;0.33&amp;K544&lt;=0.66,"Medium","Low"))</f>
        <v>Low</v>
      </c>
      <c r="M544" s="0" t="n">
        <v>-6.245</v>
      </c>
      <c r="N544" s="3" t="n">
        <v>0.0653</v>
      </c>
      <c r="O544" s="3" t="n">
        <v>0.214</v>
      </c>
      <c r="P544" s="4" t="n">
        <v>3.25E-006</v>
      </c>
      <c r="Q544" s="3" t="n">
        <v>0.0404</v>
      </c>
      <c r="R544" s="3" t="n">
        <v>0.575</v>
      </c>
      <c r="S544" s="3" t="str">
        <f aca="false">IF(R544 &gt;= 0.5, "Positive", "Negative")</f>
        <v>Positive</v>
      </c>
      <c r="T544" s="2" t="n">
        <v>68.507</v>
      </c>
      <c r="U544" s="0" t="s">
        <v>118</v>
      </c>
    </row>
    <row r="545" customFormat="false" ht="14.25" hidden="false" customHeight="false" outlineLevel="0" collapsed="false">
      <c r="A545" s="0" t="n">
        <v>95</v>
      </c>
      <c r="B545" s="0" t="str">
        <f aca="false">_xlfn.xlookup(A545, artists!A$2:A$836, artists!B$2:B$836)</f>
        <v>Blue</v>
      </c>
      <c r="C545" s="1" t="s">
        <v>586</v>
      </c>
      <c r="D545" s="2" t="n">
        <v>222400</v>
      </c>
      <c r="E545" s="2" t="n">
        <f aca="false">D545/1000</f>
        <v>222.4</v>
      </c>
      <c r="F545" s="10" t="b">
        <f aca="false">FALSE()</f>
        <v>0</v>
      </c>
      <c r="G545" s="0" t="n">
        <v>6</v>
      </c>
      <c r="H545" s="0" t="n">
        <f aca="false">_xlfn.xlookup(G545, years!A$2:A$836, years!B$2:B$836)</f>
        <v>2003</v>
      </c>
      <c r="I545" s="2" t="n">
        <v>48</v>
      </c>
      <c r="J545" s="0" t="n">
        <v>0.6</v>
      </c>
      <c r="K545" s="0" t="n">
        <v>0.736</v>
      </c>
      <c r="L545" s="3" t="str">
        <f aca="false">IF(K545&gt;0.66,"High",IF(K545&gt;0.33&amp;K545&lt;=0.66,"Medium","Low"))</f>
        <v>High</v>
      </c>
      <c r="M545" s="0" t="n">
        <v>-6.228</v>
      </c>
      <c r="N545" s="3" t="n">
        <v>0.0329</v>
      </c>
      <c r="O545" s="3" t="n">
        <v>0.325</v>
      </c>
      <c r="P545" s="4" t="n">
        <v>0</v>
      </c>
      <c r="Q545" s="3" t="n">
        <v>0.137</v>
      </c>
      <c r="R545" s="3" t="n">
        <v>0.848</v>
      </c>
      <c r="S545" s="3" t="str">
        <f aca="false">IF(R545 &gt;= 0.5, "Positive", "Negative")</f>
        <v>Positive</v>
      </c>
      <c r="T545" s="2" t="n">
        <v>158.108</v>
      </c>
      <c r="U545" s="0" t="s">
        <v>39</v>
      </c>
    </row>
    <row r="546" customFormat="false" ht="14.25" hidden="false" customHeight="false" outlineLevel="0" collapsed="false">
      <c r="A546" s="0" t="n">
        <v>288</v>
      </c>
      <c r="B546" s="0" t="str">
        <f aca="false">_xlfn.xlookup(A546, artists!A$2:A$836, artists!B$2:B$836)</f>
        <v>The Chemical Brothers</v>
      </c>
      <c r="C546" s="1" t="s">
        <v>587</v>
      </c>
      <c r="D546" s="2" t="n">
        <v>393813</v>
      </c>
      <c r="E546" s="2" t="n">
        <f aca="false">D546/1000</f>
        <v>393.813</v>
      </c>
      <c r="F546" s="10" t="b">
        <f aca="false">FALSE()</f>
        <v>0</v>
      </c>
      <c r="G546" s="0" t="n">
        <v>8</v>
      </c>
      <c r="H546" s="0" t="n">
        <f aca="false">_xlfn.xlookup(G546, years!A$2:A$836, years!B$2:B$836)</f>
        <v>2005</v>
      </c>
      <c r="I546" s="2" t="n">
        <v>63</v>
      </c>
      <c r="J546" s="0" t="n">
        <v>0.745</v>
      </c>
      <c r="K546" s="0" t="n">
        <v>0.714</v>
      </c>
      <c r="L546" s="3" t="str">
        <f aca="false">IF(K546&gt;0.66,"High",IF(K546&gt;0.33&amp;K546&lt;=0.66,"Medium","Low"))</f>
        <v>High</v>
      </c>
      <c r="M546" s="0" t="n">
        <v>-3.681</v>
      </c>
      <c r="N546" s="3" t="n">
        <v>0.0751</v>
      </c>
      <c r="O546" s="3" t="n">
        <v>0.0141</v>
      </c>
      <c r="P546" s="4" t="n">
        <v>0.0222</v>
      </c>
      <c r="Q546" s="3" t="n">
        <v>0.363</v>
      </c>
      <c r="R546" s="3" t="n">
        <v>0.365</v>
      </c>
      <c r="S546" s="3" t="str">
        <f aca="false">IF(R546 &gt;= 0.5, "Positive", "Negative")</f>
        <v>Negative</v>
      </c>
      <c r="T546" s="2" t="n">
        <v>104.003</v>
      </c>
      <c r="U546" s="0" t="s">
        <v>48</v>
      </c>
    </row>
    <row r="547" customFormat="false" ht="14.25" hidden="false" customHeight="false" outlineLevel="0" collapsed="false">
      <c r="A547" s="0" t="n">
        <v>541</v>
      </c>
      <c r="B547" s="0" t="str">
        <f aca="false">_xlfn.xlookup(A547, artists!A$2:A$836, artists!B$2:B$836)</f>
        <v>PSY</v>
      </c>
      <c r="C547" s="1" t="s">
        <v>588</v>
      </c>
      <c r="D547" s="2" t="n">
        <v>219493</v>
      </c>
      <c r="E547" s="2" t="n">
        <f aca="false">D547/1000</f>
        <v>219.493</v>
      </c>
      <c r="F547" s="10" t="b">
        <f aca="false">FALSE()</f>
        <v>0</v>
      </c>
      <c r="G547" s="0" t="n">
        <v>15</v>
      </c>
      <c r="H547" s="0" t="n">
        <f aca="false">_xlfn.xlookup(G547, years!A$2:A$836, years!B$2:B$836)</f>
        <v>2012</v>
      </c>
      <c r="I547" s="2" t="n">
        <v>72</v>
      </c>
      <c r="J547" s="0" t="n">
        <v>0.727</v>
      </c>
      <c r="K547" s="0" t="n">
        <v>0.937</v>
      </c>
      <c r="L547" s="3" t="str">
        <f aca="false">IF(K547&gt;0.66,"High",IF(K547&gt;0.33&amp;K547&lt;=0.66,"Medium","Low"))</f>
        <v>High</v>
      </c>
      <c r="M547" s="0" t="n">
        <v>-2.871</v>
      </c>
      <c r="N547" s="3" t="n">
        <v>0.286</v>
      </c>
      <c r="O547" s="3" t="n">
        <v>0.00417</v>
      </c>
      <c r="P547" s="4" t="n">
        <v>0</v>
      </c>
      <c r="Q547" s="3" t="n">
        <v>0.091</v>
      </c>
      <c r="R547" s="3" t="n">
        <v>0.749</v>
      </c>
      <c r="S547" s="3" t="str">
        <f aca="false">IF(R547 &gt;= 0.5, "Positive", "Negative")</f>
        <v>Positive</v>
      </c>
      <c r="T547" s="2" t="n">
        <v>132.067</v>
      </c>
      <c r="U547" s="0" t="s">
        <v>39</v>
      </c>
    </row>
    <row r="548" customFormat="false" ht="14.25" hidden="false" customHeight="false" outlineLevel="0" collapsed="false">
      <c r="A548" s="0" t="n">
        <v>99</v>
      </c>
      <c r="B548" s="0" t="str">
        <f aca="false">_xlfn.xlookup(A548, artists!A$2:A$836, artists!B$2:B$836)</f>
        <v>Eve</v>
      </c>
      <c r="C548" s="1" t="s">
        <v>589</v>
      </c>
      <c r="D548" s="2" t="n">
        <v>239266</v>
      </c>
      <c r="E548" s="2" t="n">
        <f aca="false">D548/1000</f>
        <v>239.266</v>
      </c>
      <c r="F548" s="10" t="b">
        <f aca="false">TRUE()</f>
        <v>1</v>
      </c>
      <c r="G548" s="0" t="n">
        <v>5</v>
      </c>
      <c r="H548" s="0" t="n">
        <f aca="false">_xlfn.xlookup(G548, years!A$2:A$836, years!B$2:B$836)</f>
        <v>2002</v>
      </c>
      <c r="I548" s="2" t="n">
        <v>58</v>
      </c>
      <c r="J548" s="0" t="n">
        <v>0.723</v>
      </c>
      <c r="K548" s="0" t="n">
        <v>0.84</v>
      </c>
      <c r="L548" s="3" t="str">
        <f aca="false">IF(K548&gt;0.66,"High",IF(K548&gt;0.33&amp;K548&lt;=0.66,"Medium","Low"))</f>
        <v>High</v>
      </c>
      <c r="M548" s="0" t="n">
        <v>-3.523</v>
      </c>
      <c r="N548" s="3" t="n">
        <v>0.0608</v>
      </c>
      <c r="O548" s="3" t="n">
        <v>0.0619</v>
      </c>
      <c r="P548" s="4" t="n">
        <v>0</v>
      </c>
      <c r="Q548" s="3" t="n">
        <v>0.0945</v>
      </c>
      <c r="R548" s="3" t="n">
        <v>0.827</v>
      </c>
      <c r="S548" s="3" t="str">
        <f aca="false">IF(R548 &gt;= 0.5, "Positive", "Negative")</f>
        <v>Positive</v>
      </c>
      <c r="T548" s="2" t="n">
        <v>94.332</v>
      </c>
      <c r="U548" s="0" t="s">
        <v>31</v>
      </c>
    </row>
    <row r="549" customFormat="false" ht="14.25" hidden="false" customHeight="false" outlineLevel="0" collapsed="false">
      <c r="A549" s="0" t="n">
        <v>238</v>
      </c>
      <c r="B549" s="0" t="str">
        <f aca="false">_xlfn.xlookup(A549, artists!A$2:A$836, artists!B$2:B$836)</f>
        <v>Daddy Yankee</v>
      </c>
      <c r="C549" s="1" t="s">
        <v>590</v>
      </c>
      <c r="D549" s="2" t="n">
        <v>192600</v>
      </c>
      <c r="E549" s="2" t="n">
        <f aca="false">D549/1000</f>
        <v>192.6</v>
      </c>
      <c r="F549" s="10" t="b">
        <f aca="false">FALSE()</f>
        <v>0</v>
      </c>
      <c r="G549" s="0" t="n">
        <v>7</v>
      </c>
      <c r="H549" s="0" t="n">
        <f aca="false">_xlfn.xlookup(G549, years!A$2:A$836, years!B$2:B$836)</f>
        <v>2004</v>
      </c>
      <c r="I549" s="2" t="n">
        <v>11</v>
      </c>
      <c r="J549" s="0" t="n">
        <v>0.857</v>
      </c>
      <c r="K549" s="0" t="n">
        <v>0.801</v>
      </c>
      <c r="L549" s="3" t="str">
        <f aca="false">IF(K549&gt;0.66,"High",IF(K549&gt;0.33&amp;K549&lt;=0.66,"Medium","Low"))</f>
        <v>High</v>
      </c>
      <c r="M549" s="0" t="n">
        <v>-6.499</v>
      </c>
      <c r="N549" s="3" t="n">
        <v>0.0618</v>
      </c>
      <c r="O549" s="3" t="n">
        <v>0.332</v>
      </c>
      <c r="P549" s="4" t="n">
        <v>1.2E-006</v>
      </c>
      <c r="Q549" s="3" t="n">
        <v>0.0789</v>
      </c>
      <c r="R549" s="3" t="n">
        <v>0.753</v>
      </c>
      <c r="S549" s="3" t="str">
        <f aca="false">IF(R549 &gt;= 0.5, "Positive", "Negative")</f>
        <v>Positive</v>
      </c>
      <c r="T549" s="2" t="n">
        <v>96.009</v>
      </c>
      <c r="U549" s="0" t="s">
        <v>312</v>
      </c>
    </row>
    <row r="550" customFormat="false" ht="14.25" hidden="false" customHeight="false" outlineLevel="0" collapsed="false">
      <c r="A550" s="0" t="n">
        <v>397</v>
      </c>
      <c r="B550" s="0" t="str">
        <f aca="false">_xlfn.xlookup(A550, artists!A$2:A$836, artists!B$2:B$836)</f>
        <v>Flo Rida</v>
      </c>
      <c r="C550" s="1" t="s">
        <v>591</v>
      </c>
      <c r="D550" s="2" t="n">
        <v>190185</v>
      </c>
      <c r="E550" s="2" t="n">
        <f aca="false">D550/1000</f>
        <v>190.185</v>
      </c>
      <c r="F550" s="10" t="b">
        <f aca="false">FALSE()</f>
        <v>0</v>
      </c>
      <c r="G550" s="0" t="n">
        <v>18</v>
      </c>
      <c r="H550" s="0" t="n">
        <f aca="false">_xlfn.xlookup(G550, years!A$2:A$836, years!B$2:B$836)</f>
        <v>2015</v>
      </c>
      <c r="I550" s="2" t="n">
        <v>49</v>
      </c>
      <c r="J550" s="0" t="n">
        <v>0.657</v>
      </c>
      <c r="K550" s="0" t="n">
        <v>0.827</v>
      </c>
      <c r="L550" s="3" t="str">
        <f aca="false">IF(K550&gt;0.66,"High",IF(K550&gt;0.33&amp;K550&lt;=0.66,"Medium","Low"))</f>
        <v>High</v>
      </c>
      <c r="M550" s="0" t="n">
        <v>-4.036</v>
      </c>
      <c r="N550" s="3" t="n">
        <v>0.0734</v>
      </c>
      <c r="O550" s="3" t="n">
        <v>0.000704</v>
      </c>
      <c r="P550" s="4" t="n">
        <v>0.00534</v>
      </c>
      <c r="Q550" s="3" t="n">
        <v>0.065</v>
      </c>
      <c r="R550" s="3" t="n">
        <v>0.69</v>
      </c>
      <c r="S550" s="3" t="str">
        <f aca="false">IF(R550 &gt;= 0.5, "Positive", "Negative")</f>
        <v>Positive</v>
      </c>
      <c r="T550" s="2" t="n">
        <v>145.889</v>
      </c>
      <c r="U550" s="0" t="s">
        <v>24</v>
      </c>
    </row>
    <row r="551" customFormat="false" ht="14.25" hidden="false" customHeight="false" outlineLevel="0" collapsed="false">
      <c r="A551" s="0" t="n">
        <v>609</v>
      </c>
      <c r="B551" s="0" t="str">
        <f aca="false">_xlfn.xlookup(A551, artists!A$2:A$836, artists!B$2:B$836)</f>
        <v>Oliver Heldens</v>
      </c>
      <c r="C551" s="1" t="s">
        <v>592</v>
      </c>
      <c r="D551" s="2" t="n">
        <v>165440</v>
      </c>
      <c r="E551" s="2" t="n">
        <f aca="false">D551/1000</f>
        <v>165.44</v>
      </c>
      <c r="F551" s="10" t="b">
        <f aca="false">FALSE()</f>
        <v>0</v>
      </c>
      <c r="G551" s="0" t="n">
        <v>17</v>
      </c>
      <c r="H551" s="0" t="n">
        <f aca="false">_xlfn.xlookup(G551, years!A$2:A$836, years!B$2:B$836)</f>
        <v>2014</v>
      </c>
      <c r="I551" s="2" t="n">
        <v>67</v>
      </c>
      <c r="J551" s="0" t="n">
        <v>0.609</v>
      </c>
      <c r="K551" s="0" t="n">
        <v>0.885</v>
      </c>
      <c r="L551" s="3" t="str">
        <f aca="false">IF(K551&gt;0.66,"High",IF(K551&gt;0.33&amp;K551&lt;=0.66,"Medium","Low"))</f>
        <v>High</v>
      </c>
      <c r="M551" s="0" t="n">
        <v>-5.469</v>
      </c>
      <c r="N551" s="3" t="n">
        <v>0.0642</v>
      </c>
      <c r="O551" s="3" t="n">
        <v>0.00521</v>
      </c>
      <c r="P551" s="4" t="n">
        <v>1.15E-005</v>
      </c>
      <c r="Q551" s="3" t="n">
        <v>0.336</v>
      </c>
      <c r="R551" s="3" t="n">
        <v>0.76</v>
      </c>
      <c r="S551" s="3" t="str">
        <f aca="false">IF(R551 &gt;= 0.5, "Positive", "Negative")</f>
        <v>Positive</v>
      </c>
      <c r="T551" s="2" t="n">
        <v>124.959</v>
      </c>
      <c r="U551" s="0" t="s">
        <v>22</v>
      </c>
    </row>
    <row r="552" customFormat="false" ht="14.25" hidden="false" customHeight="false" outlineLevel="0" collapsed="false">
      <c r="A552" s="0" t="n">
        <v>765</v>
      </c>
      <c r="B552" s="0" t="str">
        <f aca="false">_xlfn.xlookup(A552, artists!A$2:A$836, artists!B$2:B$836)</f>
        <v>EO</v>
      </c>
      <c r="C552" s="1" t="s">
        <v>593</v>
      </c>
      <c r="D552" s="2" t="n">
        <v>170825</v>
      </c>
      <c r="E552" s="2" t="n">
        <f aca="false">D552/1000</f>
        <v>170.825</v>
      </c>
      <c r="F552" s="10" t="b">
        <f aca="false">FALSE()</f>
        <v>0</v>
      </c>
      <c r="G552" s="0" t="n">
        <v>21</v>
      </c>
      <c r="H552" s="0" t="n">
        <f aca="false">_xlfn.xlookup(G552, years!A$2:A$836, years!B$2:B$836)</f>
        <v>2018</v>
      </c>
      <c r="I552" s="2" t="n">
        <v>67</v>
      </c>
      <c r="J552" s="0" t="n">
        <v>0.862</v>
      </c>
      <c r="K552" s="0" t="n">
        <v>0.583</v>
      </c>
      <c r="L552" s="3" t="str">
        <f aca="false">IF(K552&gt;0.66,"High",IF(K552&gt;0.33&amp;K552&lt;=0.66,"Medium","Low"))</f>
        <v>Low</v>
      </c>
      <c r="M552" s="0" t="n">
        <v>-6.26</v>
      </c>
      <c r="N552" s="3" t="n">
        <v>0.0654</v>
      </c>
      <c r="O552" s="3" t="n">
        <v>0.811</v>
      </c>
      <c r="P552" s="4" t="n">
        <v>1.86E-005</v>
      </c>
      <c r="Q552" s="3" t="n">
        <v>0.191</v>
      </c>
      <c r="R552" s="3" t="n">
        <v>0.852</v>
      </c>
      <c r="S552" s="3" t="str">
        <f aca="false">IF(R552 &gt;= 0.5, "Positive", "Negative")</f>
        <v>Positive</v>
      </c>
      <c r="T552" s="2" t="n">
        <v>103.019</v>
      </c>
      <c r="U552" s="0" t="s">
        <v>118</v>
      </c>
    </row>
    <row r="553" customFormat="false" ht="14.25" hidden="false" customHeight="false" outlineLevel="0" collapsed="false">
      <c r="A553" s="0" t="n">
        <v>641</v>
      </c>
      <c r="B553" s="0" t="str">
        <f aca="false">_xlfn.xlookup(A553, artists!A$2:A$836, artists!B$2:B$836)</f>
        <v>Sheppard</v>
      </c>
      <c r="C553" s="1" t="s">
        <v>594</v>
      </c>
      <c r="D553" s="2" t="n">
        <v>218227</v>
      </c>
      <c r="E553" s="2" t="n">
        <f aca="false">D553/1000</f>
        <v>218.227</v>
      </c>
      <c r="F553" s="10" t="b">
        <f aca="false">FALSE()</f>
        <v>0</v>
      </c>
      <c r="G553" s="0" t="n">
        <v>17</v>
      </c>
      <c r="H553" s="0" t="n">
        <f aca="false">_xlfn.xlookup(G553, years!A$2:A$836, years!B$2:B$836)</f>
        <v>2014</v>
      </c>
      <c r="I553" s="2" t="n">
        <v>0</v>
      </c>
      <c r="J553" s="0" t="n">
        <v>0.707</v>
      </c>
      <c r="K553" s="0" t="n">
        <v>0.771</v>
      </c>
      <c r="L553" s="3" t="str">
        <f aca="false">IF(K553&gt;0.66,"High",IF(K553&gt;0.33&amp;K553&lt;=0.66,"Medium","Low"))</f>
        <v>High</v>
      </c>
      <c r="M553" s="0" t="n">
        <v>-6.275</v>
      </c>
      <c r="N553" s="3" t="n">
        <v>0.0783</v>
      </c>
      <c r="O553" s="3" t="n">
        <v>0.434</v>
      </c>
      <c r="P553" s="4" t="n">
        <v>0.0013</v>
      </c>
      <c r="Q553" s="3" t="n">
        <v>0.115</v>
      </c>
      <c r="R553" s="3" t="n">
        <v>0.437</v>
      </c>
      <c r="S553" s="3" t="str">
        <f aca="false">IF(R553 &gt;= 0.5, "Positive", "Negative")</f>
        <v>Negative</v>
      </c>
      <c r="T553" s="2" t="n">
        <v>142.016</v>
      </c>
      <c r="U553" s="0" t="s">
        <v>292</v>
      </c>
    </row>
    <row r="554" customFormat="false" ht="14.25" hidden="false" customHeight="false" outlineLevel="0" collapsed="false">
      <c r="A554" s="0" t="n">
        <v>137</v>
      </c>
      <c r="B554" s="0" t="str">
        <f aca="false">_xlfn.xlookup(A554, artists!A$2:A$836, artists!B$2:B$836)</f>
        <v>Ludacris</v>
      </c>
      <c r="C554" s="1" t="s">
        <v>595</v>
      </c>
      <c r="D554" s="2" t="n">
        <v>270746</v>
      </c>
      <c r="E554" s="2" t="n">
        <f aca="false">D554/1000</f>
        <v>270.746</v>
      </c>
      <c r="F554" s="10" t="b">
        <f aca="false">TRUE()</f>
        <v>1</v>
      </c>
      <c r="G554" s="0" t="n">
        <v>7</v>
      </c>
      <c r="H554" s="0" t="n">
        <f aca="false">_xlfn.xlookup(G554, years!A$2:A$836, years!B$2:B$836)</f>
        <v>2004</v>
      </c>
      <c r="I554" s="2" t="n">
        <v>59</v>
      </c>
      <c r="J554" s="0" t="n">
        <v>0.555</v>
      </c>
      <c r="K554" s="0" t="n">
        <v>0.639</v>
      </c>
      <c r="L554" s="3" t="str">
        <f aca="false">IF(K554&gt;0.66,"High",IF(K554&gt;0.33&amp;K554&lt;=0.66,"Medium","Low"))</f>
        <v>Low</v>
      </c>
      <c r="M554" s="0" t="n">
        <v>-5.16</v>
      </c>
      <c r="N554" s="3" t="n">
        <v>0.263</v>
      </c>
      <c r="O554" s="3" t="n">
        <v>0.0594</v>
      </c>
      <c r="P554" s="4" t="n">
        <v>0</v>
      </c>
      <c r="Q554" s="3" t="n">
        <v>0.118</v>
      </c>
      <c r="R554" s="3" t="n">
        <v>0.184</v>
      </c>
      <c r="S554" s="3" t="str">
        <f aca="false">IF(R554 &gt;= 0.5, "Positive", "Negative")</f>
        <v>Negative</v>
      </c>
      <c r="T554" s="2" t="n">
        <v>171.609</v>
      </c>
      <c r="U554" s="0" t="s">
        <v>24</v>
      </c>
    </row>
    <row r="555" customFormat="false" ht="14.25" hidden="false" customHeight="false" outlineLevel="0" collapsed="false">
      <c r="A555" s="0" t="n">
        <v>169</v>
      </c>
      <c r="B555" s="0" t="str">
        <f aca="false">_xlfn.xlookup(A555, artists!A$2:A$836, artists!B$2:B$836)</f>
        <v>Sean Paul</v>
      </c>
      <c r="C555" s="1" t="s">
        <v>596</v>
      </c>
      <c r="D555" s="2" t="n">
        <v>211666</v>
      </c>
      <c r="E555" s="2" t="n">
        <f aca="false">D555/1000</f>
        <v>211.666</v>
      </c>
      <c r="F555" s="10" t="b">
        <f aca="false">FALSE()</f>
        <v>0</v>
      </c>
      <c r="G555" s="0" t="n">
        <v>5</v>
      </c>
      <c r="H555" s="0" t="n">
        <f aca="false">_xlfn.xlookup(G555, years!A$2:A$836, years!B$2:B$836)</f>
        <v>2002</v>
      </c>
      <c r="I555" s="2" t="n">
        <v>74</v>
      </c>
      <c r="J555" s="0" t="n">
        <v>0.735</v>
      </c>
      <c r="K555" s="0" t="n">
        <v>0.824</v>
      </c>
      <c r="L555" s="3" t="str">
        <f aca="false">IF(K555&gt;0.66,"High",IF(K555&gt;0.33&amp;K555&lt;=0.66,"Medium","Low"))</f>
        <v>High</v>
      </c>
      <c r="M555" s="0" t="n">
        <v>-4.143</v>
      </c>
      <c r="N555" s="3" t="n">
        <v>0.036</v>
      </c>
      <c r="O555" s="3" t="n">
        <v>0.615</v>
      </c>
      <c r="P555" s="4" t="n">
        <v>0</v>
      </c>
      <c r="Q555" s="3" t="n">
        <v>0.158</v>
      </c>
      <c r="R555" s="3" t="n">
        <v>0.726</v>
      </c>
      <c r="S555" s="3" t="str">
        <f aca="false">IF(R555 &gt;= 0.5, "Positive", "Negative")</f>
        <v>Positive</v>
      </c>
      <c r="T555" s="2" t="n">
        <v>100.202</v>
      </c>
      <c r="U555" s="0" t="s">
        <v>24</v>
      </c>
    </row>
    <row r="556" customFormat="false" ht="14.25" hidden="false" customHeight="false" outlineLevel="0" collapsed="false">
      <c r="A556" s="0" t="n">
        <v>33</v>
      </c>
      <c r="B556" s="0" t="str">
        <f aca="false">_xlfn.xlookup(A556, artists!A$2:A$836, artists!B$2:B$836)</f>
        <v>Montell Jordan</v>
      </c>
      <c r="C556" s="1" t="s">
        <v>597</v>
      </c>
      <c r="D556" s="2" t="n">
        <v>276266</v>
      </c>
      <c r="E556" s="2" t="n">
        <f aca="false">D556/1000</f>
        <v>276.266</v>
      </c>
      <c r="F556" s="10" t="b">
        <f aca="false">FALSE()</f>
        <v>0</v>
      </c>
      <c r="G556" s="0" t="n">
        <v>2</v>
      </c>
      <c r="H556" s="0" t="n">
        <f aca="false">_xlfn.xlookup(G556, years!A$2:A$836, years!B$2:B$836)</f>
        <v>1999</v>
      </c>
      <c r="I556" s="2" t="n">
        <v>59</v>
      </c>
      <c r="J556" s="0" t="n">
        <v>0.813</v>
      </c>
      <c r="K556" s="0" t="n">
        <v>0.491</v>
      </c>
      <c r="L556" s="3" t="str">
        <f aca="false">IF(K556&gt;0.66,"High",IF(K556&gt;0.33&amp;K556&lt;=0.66,"Medium","Low"))</f>
        <v>Low</v>
      </c>
      <c r="M556" s="0" t="n">
        <v>-9.923</v>
      </c>
      <c r="N556" s="3" t="n">
        <v>0.077</v>
      </c>
      <c r="O556" s="3" t="n">
        <v>0.241</v>
      </c>
      <c r="P556" s="4" t="n">
        <v>4.61E-005</v>
      </c>
      <c r="Q556" s="3" t="n">
        <v>0.0817</v>
      </c>
      <c r="R556" s="3" t="n">
        <v>0.868</v>
      </c>
      <c r="S556" s="3" t="str">
        <f aca="false">IF(R556 &gt;= 0.5, "Positive", "Negative")</f>
        <v>Positive</v>
      </c>
      <c r="T556" s="2" t="n">
        <v>99.008</v>
      </c>
      <c r="U556" s="0" t="s">
        <v>31</v>
      </c>
    </row>
    <row r="557" customFormat="false" ht="14.25" hidden="false" customHeight="false" outlineLevel="0" collapsed="false">
      <c r="A557" s="0" t="n">
        <v>166</v>
      </c>
      <c r="B557" s="0" t="str">
        <f aca="false">_xlfn.xlookup(A557, artists!A$2:A$836, artists!B$2:B$836)</f>
        <v>Fat Joe</v>
      </c>
      <c r="C557" s="1" t="s">
        <v>598</v>
      </c>
      <c r="D557" s="2" t="n">
        <v>211320</v>
      </c>
      <c r="E557" s="2" t="n">
        <f aca="false">D557/1000</f>
        <v>211.32</v>
      </c>
      <c r="F557" s="10" t="b">
        <f aca="false">FALSE()</f>
        <v>0</v>
      </c>
      <c r="G557" s="0" t="n">
        <v>8</v>
      </c>
      <c r="H557" s="0" t="n">
        <f aca="false">_xlfn.xlookup(G557, years!A$2:A$836, years!B$2:B$836)</f>
        <v>2005</v>
      </c>
      <c r="I557" s="2" t="n">
        <v>41</v>
      </c>
      <c r="J557" s="0" t="n">
        <v>0.905</v>
      </c>
      <c r="K557" s="0" t="n">
        <v>0.55</v>
      </c>
      <c r="L557" s="3" t="str">
        <f aca="false">IF(K557&gt;0.66,"High",IF(K557&gt;0.33&amp;K557&lt;=0.66,"Medium","Low"))</f>
        <v>Low</v>
      </c>
      <c r="M557" s="0" t="n">
        <v>-7.558</v>
      </c>
      <c r="N557" s="3" t="n">
        <v>0.372</v>
      </c>
      <c r="O557" s="3" t="n">
        <v>0.0628</v>
      </c>
      <c r="P557" s="4" t="n">
        <v>0</v>
      </c>
      <c r="Q557" s="3" t="n">
        <v>0.0644</v>
      </c>
      <c r="R557" s="3" t="n">
        <v>0.52</v>
      </c>
      <c r="S557" s="3" t="str">
        <f aca="false">IF(R557 &gt;= 0.5, "Positive", "Negative")</f>
        <v>Positive</v>
      </c>
      <c r="T557" s="2" t="n">
        <v>100.813</v>
      </c>
      <c r="U557" s="0" t="s">
        <v>24</v>
      </c>
    </row>
    <row r="558" customFormat="false" ht="14.25" hidden="false" customHeight="false" outlineLevel="0" collapsed="false">
      <c r="A558" s="0" t="n">
        <v>276</v>
      </c>
      <c r="B558" s="0" t="str">
        <f aca="false">_xlfn.xlookup(A558, artists!A$2:A$836, artists!B$2:B$836)</f>
        <v>Lloyd</v>
      </c>
      <c r="C558" s="1" t="s">
        <v>599</v>
      </c>
      <c r="D558" s="2" t="n">
        <v>209533</v>
      </c>
      <c r="E558" s="2" t="n">
        <f aca="false">D558/1000</f>
        <v>209.533</v>
      </c>
      <c r="F558" s="10" t="b">
        <f aca="false">FALSE()</f>
        <v>0</v>
      </c>
      <c r="G558" s="0" t="n">
        <v>10</v>
      </c>
      <c r="H558" s="0" t="n">
        <f aca="false">_xlfn.xlookup(G558, years!A$2:A$836, years!B$2:B$836)</f>
        <v>2007</v>
      </c>
      <c r="I558" s="2" t="n">
        <v>62</v>
      </c>
      <c r="J558" s="0" t="n">
        <v>0.822</v>
      </c>
      <c r="K558" s="0" t="n">
        <v>0.905</v>
      </c>
      <c r="L558" s="3" t="str">
        <f aca="false">IF(K558&gt;0.66,"High",IF(K558&gt;0.33&amp;K558&lt;=0.66,"Medium","Low"))</f>
        <v>High</v>
      </c>
      <c r="M558" s="0" t="n">
        <v>-4.032</v>
      </c>
      <c r="N558" s="3" t="n">
        <v>0.241</v>
      </c>
      <c r="O558" s="3" t="n">
        <v>0.123</v>
      </c>
      <c r="P558" s="4" t="n">
        <v>0</v>
      </c>
      <c r="Q558" s="3" t="n">
        <v>0.0496</v>
      </c>
      <c r="R558" s="3" t="n">
        <v>0.674</v>
      </c>
      <c r="S558" s="3" t="str">
        <f aca="false">IF(R558 &gt;= 0.5, "Positive", "Negative")</f>
        <v>Positive</v>
      </c>
      <c r="T558" s="2" t="n">
        <v>128.014</v>
      </c>
      <c r="U558" s="0" t="s">
        <v>31</v>
      </c>
    </row>
    <row r="559" customFormat="false" ht="14.25" hidden="false" customHeight="false" outlineLevel="0" collapsed="false">
      <c r="A559" s="0" t="n">
        <v>201</v>
      </c>
      <c r="B559" s="0" t="str">
        <f aca="false">_xlfn.xlookup(A559, artists!A$2:A$836, artists!B$2:B$836)</f>
        <v>Lil Jon &amp; The East Side Boyz</v>
      </c>
      <c r="C559" s="1" t="s">
        <v>600</v>
      </c>
      <c r="D559" s="2" t="n">
        <v>324600</v>
      </c>
      <c r="E559" s="2" t="n">
        <f aca="false">D559/1000</f>
        <v>324.6</v>
      </c>
      <c r="F559" s="10" t="b">
        <f aca="false">FALSE()</f>
        <v>0</v>
      </c>
      <c r="G559" s="0" t="n">
        <v>5</v>
      </c>
      <c r="H559" s="0" t="n">
        <f aca="false">_xlfn.xlookup(G559, years!A$2:A$836, years!B$2:B$836)</f>
        <v>2002</v>
      </c>
      <c r="I559" s="2" t="n">
        <v>47</v>
      </c>
      <c r="J559" s="0" t="n">
        <v>0.78</v>
      </c>
      <c r="K559" s="0" t="n">
        <v>0.604</v>
      </c>
      <c r="L559" s="3" t="str">
        <f aca="false">IF(K559&gt;0.66,"High",IF(K559&gt;0.33&amp;K559&lt;=0.66,"Medium","Low"))</f>
        <v>Low</v>
      </c>
      <c r="M559" s="0" t="n">
        <v>-8.019</v>
      </c>
      <c r="N559" s="3" t="n">
        <v>0.0396</v>
      </c>
      <c r="O559" s="3" t="n">
        <v>0.022</v>
      </c>
      <c r="P559" s="4" t="n">
        <v>0</v>
      </c>
      <c r="Q559" s="3" t="n">
        <v>0.194</v>
      </c>
      <c r="R559" s="3" t="n">
        <v>0.12</v>
      </c>
      <c r="S559" s="3" t="str">
        <f aca="false">IF(R559 &gt;= 0.5, "Positive", "Negative")</f>
        <v>Negative</v>
      </c>
      <c r="T559" s="2" t="n">
        <v>101.043</v>
      </c>
      <c r="U559" s="0" t="s">
        <v>24</v>
      </c>
    </row>
    <row r="560" customFormat="false" ht="14.25" hidden="false" customHeight="false" outlineLevel="0" collapsed="false">
      <c r="A560" s="0" t="n">
        <v>103</v>
      </c>
      <c r="B560" s="0" t="str">
        <f aca="false">_xlfn.xlookup(A560, artists!A$2:A$836, artists!B$2:B$836)</f>
        <v>Daft Punk</v>
      </c>
      <c r="C560" s="1" t="s">
        <v>601</v>
      </c>
      <c r="D560" s="2" t="n">
        <v>248413</v>
      </c>
      <c r="E560" s="2" t="n">
        <f aca="false">D560/1000</f>
        <v>248.413</v>
      </c>
      <c r="F560" s="10" t="b">
        <f aca="false">FALSE()</f>
        <v>0</v>
      </c>
      <c r="G560" s="0" t="n">
        <v>16</v>
      </c>
      <c r="H560" s="0" t="n">
        <f aca="false">_xlfn.xlookup(G560, years!A$2:A$836, years!B$2:B$836)</f>
        <v>2013</v>
      </c>
      <c r="I560" s="2" t="n">
        <v>83</v>
      </c>
      <c r="J560" s="0" t="n">
        <v>0.794</v>
      </c>
      <c r="K560" s="0" t="n">
        <v>0.811</v>
      </c>
      <c r="L560" s="3" t="str">
        <f aca="false">IF(K560&gt;0.66,"High",IF(K560&gt;0.33&amp;K560&lt;=0.66,"Medium","Low"))</f>
        <v>High</v>
      </c>
      <c r="M560" s="0" t="n">
        <v>-8.966</v>
      </c>
      <c r="N560" s="3" t="n">
        <v>0.038</v>
      </c>
      <c r="O560" s="3" t="n">
        <v>0.0426</v>
      </c>
      <c r="P560" s="4" t="n">
        <v>1.07E-006</v>
      </c>
      <c r="Q560" s="3" t="n">
        <v>0.101</v>
      </c>
      <c r="R560" s="3" t="n">
        <v>0.862</v>
      </c>
      <c r="S560" s="3" t="str">
        <f aca="false">IF(R560 &gt;= 0.5, "Positive", "Negative")</f>
        <v>Positive</v>
      </c>
      <c r="T560" s="2" t="n">
        <v>116.047</v>
      </c>
      <c r="U560" s="0" t="s">
        <v>143</v>
      </c>
    </row>
    <row r="561" customFormat="false" ht="14.25" hidden="false" customHeight="false" outlineLevel="0" collapsed="false">
      <c r="A561" s="0" t="n">
        <v>100</v>
      </c>
      <c r="B561" s="0" t="str">
        <f aca="false">_xlfn.xlookup(A561, artists!A$2:A$836, artists!B$2:B$836)</f>
        <v>Jennifer Lopez</v>
      </c>
      <c r="C561" s="1" t="s">
        <v>602</v>
      </c>
      <c r="D561" s="2" t="n">
        <v>225533</v>
      </c>
      <c r="E561" s="2" t="n">
        <f aca="false">D561/1000</f>
        <v>225.533</v>
      </c>
      <c r="F561" s="10" t="b">
        <f aca="false">FALSE()</f>
        <v>0</v>
      </c>
      <c r="G561" s="0" t="n">
        <v>8</v>
      </c>
      <c r="H561" s="0" t="n">
        <f aca="false">_xlfn.xlookup(G561, years!A$2:A$836, years!B$2:B$836)</f>
        <v>2005</v>
      </c>
      <c r="I561" s="2" t="n">
        <v>65</v>
      </c>
      <c r="J561" s="0" t="n">
        <v>0.741</v>
      </c>
      <c r="K561" s="0" t="n">
        <v>0.759</v>
      </c>
      <c r="L561" s="3" t="str">
        <f aca="false">IF(K561&gt;0.66,"High",IF(K561&gt;0.33&amp;K561&lt;=0.66,"Medium","Low"))</f>
        <v>High</v>
      </c>
      <c r="M561" s="0" t="n">
        <v>-5.096</v>
      </c>
      <c r="N561" s="3" t="n">
        <v>0.12</v>
      </c>
      <c r="O561" s="3" t="n">
        <v>0.0218</v>
      </c>
      <c r="P561" s="4" t="n">
        <v>0</v>
      </c>
      <c r="Q561" s="3" t="n">
        <v>0.628</v>
      </c>
      <c r="R561" s="3" t="n">
        <v>0.362</v>
      </c>
      <c r="S561" s="3" t="str">
        <f aca="false">IF(R561 &gt;= 0.5, "Positive", "Negative")</f>
        <v>Negative</v>
      </c>
      <c r="T561" s="2" t="n">
        <v>97.084</v>
      </c>
      <c r="U561" s="0" t="s">
        <v>31</v>
      </c>
    </row>
    <row r="562" customFormat="false" ht="14.25" hidden="false" customHeight="false" outlineLevel="0" collapsed="false">
      <c r="A562" s="0" t="n">
        <v>55</v>
      </c>
      <c r="B562" s="0" t="str">
        <f aca="false">_xlfn.xlookup(A562, artists!A$2:A$836, artists!B$2:B$836)</f>
        <v>P!nk</v>
      </c>
      <c r="C562" s="1" t="s">
        <v>603</v>
      </c>
      <c r="D562" s="2" t="n">
        <v>192533</v>
      </c>
      <c r="E562" s="2" t="n">
        <f aca="false">D562/1000</f>
        <v>192.533</v>
      </c>
      <c r="F562" s="10" t="b">
        <f aca="false">FALSE()</f>
        <v>0</v>
      </c>
      <c r="G562" s="0" t="n">
        <v>4</v>
      </c>
      <c r="H562" s="0" t="n">
        <f aca="false">_xlfn.xlookup(G562, years!A$2:A$836, years!B$2:B$836)</f>
        <v>2001</v>
      </c>
      <c r="I562" s="2" t="n">
        <v>68</v>
      </c>
      <c r="J562" s="0" t="n">
        <v>0.802</v>
      </c>
      <c r="K562" s="0" t="n">
        <v>0.903</v>
      </c>
      <c r="L562" s="3" t="str">
        <f aca="false">IF(K562&gt;0.66,"High",IF(K562&gt;0.33&amp;K562&lt;=0.66,"Medium","Low"))</f>
        <v>High</v>
      </c>
      <c r="M562" s="0" t="n">
        <v>-3.267</v>
      </c>
      <c r="N562" s="3" t="n">
        <v>0.046</v>
      </c>
      <c r="O562" s="3" t="n">
        <v>0.0011</v>
      </c>
      <c r="P562" s="4" t="n">
        <v>0</v>
      </c>
      <c r="Q562" s="3" t="n">
        <v>0.173</v>
      </c>
      <c r="R562" s="3" t="n">
        <v>0.96</v>
      </c>
      <c r="S562" s="3" t="str">
        <f aca="false">IF(R562 &gt;= 0.5, "Positive", "Negative")</f>
        <v>Positive</v>
      </c>
      <c r="T562" s="2" t="n">
        <v>128.93</v>
      </c>
      <c r="U562" s="0" t="s">
        <v>39</v>
      </c>
    </row>
    <row r="563" customFormat="false" ht="14.25" hidden="false" customHeight="false" outlineLevel="0" collapsed="false">
      <c r="A563" s="0" t="n">
        <v>249</v>
      </c>
      <c r="B563" s="0" t="str">
        <f aca="false">_xlfn.xlookup(A563, artists!A$2:A$836, artists!B$2:B$836)</f>
        <v>Ciara</v>
      </c>
      <c r="C563" s="1" t="s">
        <v>604</v>
      </c>
      <c r="D563" s="2" t="n">
        <v>261880</v>
      </c>
      <c r="E563" s="2" t="n">
        <f aca="false">D563/1000</f>
        <v>261.88</v>
      </c>
      <c r="F563" s="10" t="b">
        <f aca="false">FALSE()</f>
        <v>0</v>
      </c>
      <c r="G563" s="0" t="n">
        <v>9</v>
      </c>
      <c r="H563" s="0" t="n">
        <f aca="false">_xlfn.xlookup(G563, years!A$2:A$836, years!B$2:B$836)</f>
        <v>2006</v>
      </c>
      <c r="I563" s="2" t="n">
        <v>59</v>
      </c>
      <c r="J563" s="0" t="n">
        <v>0.964</v>
      </c>
      <c r="K563" s="0" t="n">
        <v>0.595</v>
      </c>
      <c r="L563" s="3" t="str">
        <f aca="false">IF(K563&gt;0.66,"High",IF(K563&gt;0.33&amp;K563&lt;=0.66,"Medium","Low"))</f>
        <v>Low</v>
      </c>
      <c r="M563" s="0" t="n">
        <v>-6.887</v>
      </c>
      <c r="N563" s="3" t="n">
        <v>0.109</v>
      </c>
      <c r="O563" s="3" t="n">
        <v>0.0248</v>
      </c>
      <c r="P563" s="4" t="n">
        <v>5.14E-006</v>
      </c>
      <c r="Q563" s="3" t="n">
        <v>0.0405</v>
      </c>
      <c r="R563" s="3" t="n">
        <v>0.629</v>
      </c>
      <c r="S563" s="3" t="str">
        <f aca="false">IF(R563 &gt;= 0.5, "Positive", "Negative")</f>
        <v>Positive</v>
      </c>
      <c r="T563" s="2" t="n">
        <v>128.593</v>
      </c>
      <c r="U563" s="0" t="s">
        <v>33</v>
      </c>
    </row>
    <row r="564" customFormat="false" ht="14.25" hidden="false" customHeight="false" outlineLevel="0" collapsed="false">
      <c r="A564" s="0" t="n">
        <v>164</v>
      </c>
      <c r="B564" s="0" t="str">
        <f aca="false">_xlfn.xlookup(A564, artists!A$2:A$836, artists!B$2:B$836)</f>
        <v>B2K</v>
      </c>
      <c r="C564" s="1" t="s">
        <v>605</v>
      </c>
      <c r="D564" s="2" t="n">
        <v>282773</v>
      </c>
      <c r="E564" s="2" t="n">
        <f aca="false">D564/1000</f>
        <v>282.773</v>
      </c>
      <c r="F564" s="10" t="b">
        <f aca="false">FALSE()</f>
        <v>0</v>
      </c>
      <c r="G564" s="0" t="n">
        <v>6</v>
      </c>
      <c r="H564" s="0" t="n">
        <f aca="false">_xlfn.xlookup(G564, years!A$2:A$836, years!B$2:B$836)</f>
        <v>2003</v>
      </c>
      <c r="I564" s="2" t="n">
        <v>62</v>
      </c>
      <c r="J564" s="0" t="n">
        <v>0.835</v>
      </c>
      <c r="K564" s="0" t="n">
        <v>0.68</v>
      </c>
      <c r="L564" s="3" t="str">
        <f aca="false">IF(K564&gt;0.66,"High",IF(K564&gt;0.33&amp;K564&lt;=0.66,"Medium","Low"))</f>
        <v>High</v>
      </c>
      <c r="M564" s="0" t="n">
        <v>-6.02</v>
      </c>
      <c r="N564" s="3" t="n">
        <v>0.21</v>
      </c>
      <c r="O564" s="3" t="n">
        <v>0.1</v>
      </c>
      <c r="P564" s="4" t="n">
        <v>0</v>
      </c>
      <c r="Q564" s="3" t="n">
        <v>0.049</v>
      </c>
      <c r="R564" s="3" t="n">
        <v>0.889</v>
      </c>
      <c r="S564" s="3" t="str">
        <f aca="false">IF(R564 &gt;= 0.5, "Positive", "Negative")</f>
        <v>Positive</v>
      </c>
      <c r="T564" s="2" t="n">
        <v>95.508</v>
      </c>
      <c r="U564" s="0" t="s">
        <v>31</v>
      </c>
    </row>
    <row r="565" customFormat="false" ht="14.25" hidden="false" customHeight="false" outlineLevel="0" collapsed="false">
      <c r="A565" s="0" t="n">
        <v>41</v>
      </c>
      <c r="B565" s="0" t="str">
        <f aca="false">_xlfn.xlookup(A565, artists!A$2:A$836, artists!B$2:B$836)</f>
        <v>Missy Elliott</v>
      </c>
      <c r="C565" s="1" t="s">
        <v>606</v>
      </c>
      <c r="D565" s="2" t="n">
        <v>211120</v>
      </c>
      <c r="E565" s="2" t="n">
        <f aca="false">D565/1000</f>
        <v>211.12</v>
      </c>
      <c r="F565" s="10" t="b">
        <f aca="false">TRUE()</f>
        <v>1</v>
      </c>
      <c r="G565" s="0" t="n">
        <v>4</v>
      </c>
      <c r="H565" s="0" t="n">
        <f aca="false">_xlfn.xlookup(G565, years!A$2:A$836, years!B$2:B$836)</f>
        <v>2001</v>
      </c>
      <c r="I565" s="2" t="n">
        <v>68</v>
      </c>
      <c r="J565" s="0" t="n">
        <v>0.797</v>
      </c>
      <c r="K565" s="0" t="n">
        <v>0.75</v>
      </c>
      <c r="L565" s="3" t="str">
        <f aca="false">IF(K565&gt;0.66,"High",IF(K565&gt;0.33&amp;K565&lt;=0.66,"Medium","Low"))</f>
        <v>High</v>
      </c>
      <c r="M565" s="0" t="n">
        <v>-9.369</v>
      </c>
      <c r="N565" s="3" t="n">
        <v>0.247</v>
      </c>
      <c r="O565" s="3" t="n">
        <v>0.533</v>
      </c>
      <c r="P565" s="4" t="n">
        <v>0.108</v>
      </c>
      <c r="Q565" s="3" t="n">
        <v>0.095</v>
      </c>
      <c r="R565" s="3" t="n">
        <v>0.74</v>
      </c>
      <c r="S565" s="3" t="str">
        <f aca="false">IF(R565 &gt;= 0.5, "Positive", "Negative")</f>
        <v>Positive</v>
      </c>
      <c r="T565" s="2" t="n">
        <v>177.87</v>
      </c>
      <c r="U565" s="0" t="s">
        <v>31</v>
      </c>
    </row>
    <row r="566" customFormat="false" ht="14.25" hidden="false" customHeight="false" outlineLevel="0" collapsed="false">
      <c r="A566" s="0" t="n">
        <v>438</v>
      </c>
      <c r="B566" s="0" t="str">
        <f aca="false">_xlfn.xlookup(A566, artists!A$2:A$836, artists!B$2:B$836)</f>
        <v>David Guetta</v>
      </c>
      <c r="C566" s="1" t="s">
        <v>607</v>
      </c>
      <c r="D566" s="2" t="n">
        <v>188000</v>
      </c>
      <c r="E566" s="2" t="n">
        <f aca="false">D566/1000</f>
        <v>188</v>
      </c>
      <c r="F566" s="10" t="b">
        <f aca="false">FALSE()</f>
        <v>0</v>
      </c>
      <c r="G566" s="0" t="n">
        <v>13</v>
      </c>
      <c r="H566" s="0" t="n">
        <f aca="false">_xlfn.xlookup(G566, years!A$2:A$836, years!B$2:B$836)</f>
        <v>2010</v>
      </c>
      <c r="I566" s="2" t="n">
        <v>62</v>
      </c>
      <c r="J566" s="0" t="n">
        <v>0.615</v>
      </c>
      <c r="K566" s="0" t="n">
        <v>0.913</v>
      </c>
      <c r="L566" s="3" t="str">
        <f aca="false">IF(K566&gt;0.66,"High",IF(K566&gt;0.33&amp;K566&lt;=0.66,"Medium","Low"))</f>
        <v>High</v>
      </c>
      <c r="M566" s="0" t="n">
        <v>-5.077</v>
      </c>
      <c r="N566" s="3" t="n">
        <v>0.0816</v>
      </c>
      <c r="O566" s="3" t="n">
        <v>0.178</v>
      </c>
      <c r="P566" s="4" t="n">
        <v>0</v>
      </c>
      <c r="Q566" s="3" t="n">
        <v>0.0773</v>
      </c>
      <c r="R566" s="3" t="n">
        <v>0.45</v>
      </c>
      <c r="S566" s="3" t="str">
        <f aca="false">IF(R566 &gt;= 0.5, "Positive", "Negative")</f>
        <v>Negative</v>
      </c>
      <c r="T566" s="2" t="n">
        <v>129.944</v>
      </c>
      <c r="U566" s="0" t="s">
        <v>53</v>
      </c>
    </row>
    <row r="567" customFormat="false" ht="14.25" hidden="false" customHeight="false" outlineLevel="0" collapsed="false">
      <c r="A567" s="0" t="n">
        <v>111</v>
      </c>
      <c r="B567" s="0" t="str">
        <f aca="false">_xlfn.xlookup(A567, artists!A$2:A$836, artists!B$2:B$836)</f>
        <v>2Pac</v>
      </c>
      <c r="C567" s="1" t="s">
        <v>608</v>
      </c>
      <c r="D567" s="2" t="n">
        <v>238053</v>
      </c>
      <c r="E567" s="2" t="n">
        <f aca="false">D567/1000</f>
        <v>238.053</v>
      </c>
      <c r="F567" s="10" t="b">
        <f aca="false">TRUE()</f>
        <v>1</v>
      </c>
      <c r="G567" s="0" t="n">
        <v>7</v>
      </c>
      <c r="H567" s="0" t="n">
        <f aca="false">_xlfn.xlookup(G567, years!A$2:A$836, years!B$2:B$836)</f>
        <v>2004</v>
      </c>
      <c r="I567" s="2" t="n">
        <v>68</v>
      </c>
      <c r="J567" s="0" t="n">
        <v>0.794</v>
      </c>
      <c r="K567" s="0" t="n">
        <v>0.614</v>
      </c>
      <c r="L567" s="3" t="str">
        <f aca="false">IF(K567&gt;0.66,"High",IF(K567&gt;0.33&amp;K567&lt;=0.66,"Medium","Low"))</f>
        <v>Low</v>
      </c>
      <c r="M567" s="0" t="n">
        <v>-5.352</v>
      </c>
      <c r="N567" s="3" t="n">
        <v>0.0467</v>
      </c>
      <c r="O567" s="3" t="n">
        <v>0.0964</v>
      </c>
      <c r="P567" s="4" t="n">
        <v>0</v>
      </c>
      <c r="Q567" s="3" t="n">
        <v>0.0788</v>
      </c>
      <c r="R567" s="3" t="n">
        <v>0.663</v>
      </c>
      <c r="S567" s="3" t="str">
        <f aca="false">IF(R567 &gt;= 0.5, "Positive", "Negative")</f>
        <v>Positive</v>
      </c>
      <c r="T567" s="2" t="n">
        <v>80.569</v>
      </c>
      <c r="U567" s="0" t="s">
        <v>29</v>
      </c>
    </row>
    <row r="568" customFormat="false" ht="14.25" hidden="false" customHeight="false" outlineLevel="0" collapsed="false">
      <c r="A568" s="0" t="n">
        <v>640</v>
      </c>
      <c r="B568" s="0" t="str">
        <f aca="false">_xlfn.xlookup(A568, artists!A$2:A$836, artists!B$2:B$836)</f>
        <v>Ella Henderson</v>
      </c>
      <c r="C568" s="1" t="s">
        <v>609</v>
      </c>
      <c r="D568" s="2" t="n">
        <v>213213</v>
      </c>
      <c r="E568" s="2" t="n">
        <f aca="false">D568/1000</f>
        <v>213.213</v>
      </c>
      <c r="F568" s="10" t="b">
        <f aca="false">FALSE()</f>
        <v>0</v>
      </c>
      <c r="G568" s="0" t="n">
        <v>17</v>
      </c>
      <c r="H568" s="0" t="n">
        <f aca="false">_xlfn.xlookup(G568, years!A$2:A$836, years!B$2:B$836)</f>
        <v>2014</v>
      </c>
      <c r="I568" s="2" t="n">
        <v>63</v>
      </c>
      <c r="J568" s="0" t="n">
        <v>0.68</v>
      </c>
      <c r="K568" s="0" t="n">
        <v>0.84</v>
      </c>
      <c r="L568" s="3" t="str">
        <f aca="false">IF(K568&gt;0.66,"High",IF(K568&gt;0.33&amp;K568&lt;=0.66,"Medium","Low"))</f>
        <v>High</v>
      </c>
      <c r="M568" s="0" t="n">
        <v>-3.823</v>
      </c>
      <c r="N568" s="3" t="n">
        <v>0.0414</v>
      </c>
      <c r="O568" s="3" t="n">
        <v>0.0457</v>
      </c>
      <c r="P568" s="4" t="n">
        <v>8.66E-006</v>
      </c>
      <c r="Q568" s="3" t="n">
        <v>0.143</v>
      </c>
      <c r="R568" s="3" t="n">
        <v>0.468</v>
      </c>
      <c r="S568" s="3" t="str">
        <f aca="false">IF(R568 &gt;= 0.5, "Positive", "Negative")</f>
        <v>Negative</v>
      </c>
      <c r="T568" s="2" t="n">
        <v>104.975</v>
      </c>
      <c r="U568" s="0" t="s">
        <v>22</v>
      </c>
    </row>
    <row r="569" customFormat="false" ht="14.25" hidden="false" customHeight="false" outlineLevel="0" collapsed="false">
      <c r="A569" s="0" t="n">
        <v>705</v>
      </c>
      <c r="B569" s="0" t="str">
        <f aca="false">_xlfn.xlookup(A569, artists!A$2:A$836, artists!B$2:B$836)</f>
        <v>DNCE</v>
      </c>
      <c r="C569" s="1" t="s">
        <v>610</v>
      </c>
      <c r="D569" s="2" t="n">
        <v>219146</v>
      </c>
      <c r="E569" s="2" t="n">
        <f aca="false">D569/1000</f>
        <v>219.146</v>
      </c>
      <c r="F569" s="10" t="b">
        <f aca="false">TRUE()</f>
        <v>1</v>
      </c>
      <c r="G569" s="0" t="n">
        <v>19</v>
      </c>
      <c r="H569" s="0" t="n">
        <f aca="false">_xlfn.xlookup(G569, years!A$2:A$836, years!B$2:B$836)</f>
        <v>2016</v>
      </c>
      <c r="I569" s="2" t="n">
        <v>79</v>
      </c>
      <c r="J569" s="0" t="n">
        <v>0.774</v>
      </c>
      <c r="K569" s="0" t="n">
        <v>0.753</v>
      </c>
      <c r="L569" s="3" t="str">
        <f aca="false">IF(K569&gt;0.66,"High",IF(K569&gt;0.33&amp;K569&lt;=0.66,"Medium","Low"))</f>
        <v>High</v>
      </c>
      <c r="M569" s="0" t="n">
        <v>-5.446</v>
      </c>
      <c r="N569" s="3" t="n">
        <v>0.0517</v>
      </c>
      <c r="O569" s="3" t="n">
        <v>0.152</v>
      </c>
      <c r="P569" s="4" t="n">
        <v>0</v>
      </c>
      <c r="Q569" s="3" t="n">
        <v>0.0371</v>
      </c>
      <c r="R569" s="3" t="n">
        <v>0.896</v>
      </c>
      <c r="S569" s="3" t="str">
        <f aca="false">IF(R569 &gt;= 0.5, "Positive", "Negative")</f>
        <v>Positive</v>
      </c>
      <c r="T569" s="2" t="n">
        <v>119.002</v>
      </c>
      <c r="U569" s="0" t="s">
        <v>39</v>
      </c>
    </row>
    <row r="570" customFormat="false" ht="14.25" hidden="false" customHeight="false" outlineLevel="0" collapsed="false">
      <c r="A570" s="0" t="n">
        <v>372</v>
      </c>
      <c r="B570" s="0" t="str">
        <f aca="false">_xlfn.xlookup(A570, artists!A$2:A$836, artists!B$2:B$836)</f>
        <v>Calvin Harris</v>
      </c>
      <c r="C570" s="1" t="s">
        <v>611</v>
      </c>
      <c r="D570" s="2" t="n">
        <v>229184</v>
      </c>
      <c r="E570" s="2" t="n">
        <f aca="false">D570/1000</f>
        <v>229.184</v>
      </c>
      <c r="F570" s="10" t="b">
        <f aca="false">FALSE()</f>
        <v>0</v>
      </c>
      <c r="G570" s="0" t="n">
        <v>22</v>
      </c>
      <c r="H570" s="0" t="n">
        <f aca="false">_xlfn.xlookup(G570, years!A$2:A$836, years!B$2:B$836)</f>
        <v>2019</v>
      </c>
      <c r="I570" s="2" t="n">
        <v>73</v>
      </c>
      <c r="J570" s="0" t="n">
        <v>0.807</v>
      </c>
      <c r="K570" s="0" t="n">
        <v>0.887</v>
      </c>
      <c r="L570" s="3" t="str">
        <f aca="false">IF(K570&gt;0.66,"High",IF(K570&gt;0.33&amp;K570&lt;=0.66,"Medium","Low"))</f>
        <v>High</v>
      </c>
      <c r="M570" s="0" t="n">
        <v>-4.311</v>
      </c>
      <c r="N570" s="3" t="n">
        <v>0.0361</v>
      </c>
      <c r="O570" s="3" t="n">
        <v>0.016</v>
      </c>
      <c r="P570" s="4" t="n">
        <v>0.000503</v>
      </c>
      <c r="Q570" s="3" t="n">
        <v>0.0811</v>
      </c>
      <c r="R570" s="3" t="n">
        <v>0.606</v>
      </c>
      <c r="S570" s="3" t="str">
        <f aca="false">IF(R570 &gt;= 0.5, "Positive", "Negative")</f>
        <v>Positive</v>
      </c>
      <c r="T570" s="2" t="n">
        <v>122.015</v>
      </c>
      <c r="U570" s="0" t="s">
        <v>53</v>
      </c>
    </row>
    <row r="571" customFormat="false" ht="14.25" hidden="false" customHeight="false" outlineLevel="0" collapsed="false">
      <c r="A571" s="0" t="n">
        <v>1</v>
      </c>
      <c r="B571" s="0" t="str">
        <f aca="false">_xlfn.xlookup(A571, artists!A$2:A$836, artists!B$2:B$836)</f>
        <v>Britney Spears</v>
      </c>
      <c r="C571" s="1" t="s">
        <v>612</v>
      </c>
      <c r="D571" s="2" t="n">
        <v>251240</v>
      </c>
      <c r="E571" s="2" t="n">
        <f aca="false">D571/1000</f>
        <v>251.24</v>
      </c>
      <c r="F571" s="10" t="b">
        <f aca="false">FALSE()</f>
        <v>0</v>
      </c>
      <c r="G571" s="0" t="n">
        <v>10</v>
      </c>
      <c r="H571" s="0" t="n">
        <f aca="false">_xlfn.xlookup(G571, years!A$2:A$836, years!B$2:B$836)</f>
        <v>2007</v>
      </c>
      <c r="I571" s="2" t="n">
        <v>79</v>
      </c>
      <c r="J571" s="0" t="n">
        <v>0.788</v>
      </c>
      <c r="K571" s="0" t="n">
        <v>0.844</v>
      </c>
      <c r="L571" s="3" t="str">
        <f aca="false">IF(K571&gt;0.66,"High",IF(K571&gt;0.33&amp;K571&lt;=0.66,"Medium","Low"))</f>
        <v>High</v>
      </c>
      <c r="M571" s="0" t="n">
        <v>-3.131</v>
      </c>
      <c r="N571" s="3" t="n">
        <v>0.0334</v>
      </c>
      <c r="O571" s="3" t="n">
        <v>0.25</v>
      </c>
      <c r="P571" s="4" t="n">
        <v>0.000678</v>
      </c>
      <c r="Q571" s="3" t="n">
        <v>0.0723</v>
      </c>
      <c r="R571" s="3" t="n">
        <v>0.382</v>
      </c>
      <c r="S571" s="3" t="str">
        <f aca="false">IF(R571 &gt;= 0.5, "Positive", "Negative")</f>
        <v>Negative</v>
      </c>
      <c r="T571" s="2" t="n">
        <v>113.324</v>
      </c>
      <c r="U571" s="0" t="s">
        <v>39</v>
      </c>
    </row>
    <row r="572" customFormat="false" ht="14.25" hidden="false" customHeight="false" outlineLevel="0" collapsed="false">
      <c r="A572" s="0" t="n">
        <v>291</v>
      </c>
      <c r="B572" s="0" t="str">
        <f aca="false">_xlfn.xlookup(A572, artists!A$2:A$836, artists!B$2:B$836)</f>
        <v>Chris Brown</v>
      </c>
      <c r="C572" s="1" t="s">
        <v>613</v>
      </c>
      <c r="D572" s="2" t="n">
        <v>186826</v>
      </c>
      <c r="E572" s="2" t="n">
        <f aca="false">D572/1000</f>
        <v>186.826</v>
      </c>
      <c r="F572" s="10" t="b">
        <f aca="false">FALSE()</f>
        <v>0</v>
      </c>
      <c r="G572" s="0" t="n">
        <v>8</v>
      </c>
      <c r="H572" s="0" t="n">
        <f aca="false">_xlfn.xlookup(G572, years!A$2:A$836, years!B$2:B$836)</f>
        <v>2005</v>
      </c>
      <c r="I572" s="2" t="n">
        <v>63</v>
      </c>
      <c r="J572" s="0" t="n">
        <v>0.678</v>
      </c>
      <c r="K572" s="0" t="n">
        <v>0.572</v>
      </c>
      <c r="L572" s="3" t="str">
        <f aca="false">IF(K572&gt;0.66,"High",IF(K572&gt;0.33&amp;K572&lt;=0.66,"Medium","Low"))</f>
        <v>Low</v>
      </c>
      <c r="M572" s="0" t="n">
        <v>-7.033</v>
      </c>
      <c r="N572" s="3" t="n">
        <v>0.0466</v>
      </c>
      <c r="O572" s="3" t="n">
        <v>0.00374</v>
      </c>
      <c r="P572" s="4" t="n">
        <v>6.59E-005</v>
      </c>
      <c r="Q572" s="3" t="n">
        <v>0.118</v>
      </c>
      <c r="R572" s="3" t="n">
        <v>0.444</v>
      </c>
      <c r="S572" s="3" t="str">
        <f aca="false">IF(R572 &gt;= 0.5, "Positive", "Negative")</f>
        <v>Negative</v>
      </c>
      <c r="T572" s="2" t="n">
        <v>87.165</v>
      </c>
      <c r="U572" s="0" t="s">
        <v>31</v>
      </c>
    </row>
    <row r="573" customFormat="false" ht="14.25" hidden="false" customHeight="false" outlineLevel="0" collapsed="false">
      <c r="A573" s="0" t="n">
        <v>169</v>
      </c>
      <c r="B573" s="0" t="str">
        <f aca="false">_xlfn.xlookup(A573, artists!A$2:A$836, artists!B$2:B$836)</f>
        <v>Sean Paul</v>
      </c>
      <c r="C573" s="1" t="s">
        <v>614</v>
      </c>
      <c r="D573" s="2" t="n">
        <v>228000</v>
      </c>
      <c r="E573" s="2" t="n">
        <f aca="false">D573/1000</f>
        <v>228</v>
      </c>
      <c r="F573" s="10" t="b">
        <f aca="false">TRUE()</f>
        <v>1</v>
      </c>
      <c r="G573" s="0" t="n">
        <v>5</v>
      </c>
      <c r="H573" s="0" t="n">
        <f aca="false">_xlfn.xlookup(G573, years!A$2:A$836, years!B$2:B$836)</f>
        <v>2002</v>
      </c>
      <c r="I573" s="2" t="n">
        <v>59</v>
      </c>
      <c r="J573" s="0" t="n">
        <v>0.778</v>
      </c>
      <c r="K573" s="0" t="n">
        <v>0.761</v>
      </c>
      <c r="L573" s="3" t="str">
        <f aca="false">IF(K573&gt;0.66,"High",IF(K573&gt;0.33&amp;K573&lt;=0.66,"Medium","Low"))</f>
        <v>High</v>
      </c>
      <c r="M573" s="0" t="n">
        <v>-5.529</v>
      </c>
      <c r="N573" s="3" t="n">
        <v>0.0525</v>
      </c>
      <c r="O573" s="3" t="n">
        <v>0.141</v>
      </c>
      <c r="P573" s="4" t="n">
        <v>4.61E-005</v>
      </c>
      <c r="Q573" s="3" t="n">
        <v>0.0441</v>
      </c>
      <c r="R573" s="3" t="n">
        <v>0.923</v>
      </c>
      <c r="S573" s="3" t="str">
        <f aca="false">IF(R573 &gt;= 0.5, "Positive", "Negative")</f>
        <v>Positive</v>
      </c>
      <c r="T573" s="2" t="n">
        <v>107.288</v>
      </c>
      <c r="U573" s="0" t="s">
        <v>24</v>
      </c>
    </row>
    <row r="574" customFormat="false" ht="14.25" hidden="false" customHeight="false" outlineLevel="0" collapsed="false">
      <c r="A574" s="0" t="n">
        <v>9</v>
      </c>
      <c r="B574" s="0" t="str">
        <f aca="false">_xlfn.xlookup(A574, artists!A$2:A$836, artists!B$2:B$836)</f>
        <v>Destiny's Child</v>
      </c>
      <c r="C574" s="1" t="s">
        <v>615</v>
      </c>
      <c r="D574" s="2" t="n">
        <v>224146</v>
      </c>
      <c r="E574" s="2" t="n">
        <f aca="false">D574/1000</f>
        <v>224.146</v>
      </c>
      <c r="F574" s="10" t="b">
        <f aca="false">FALSE()</f>
        <v>0</v>
      </c>
      <c r="G574" s="0" t="n">
        <v>7</v>
      </c>
      <c r="H574" s="0" t="n">
        <f aca="false">_xlfn.xlookup(G574, years!A$2:A$836, years!B$2:B$836)</f>
        <v>2004</v>
      </c>
      <c r="I574" s="2" t="n">
        <v>55</v>
      </c>
      <c r="J574" s="0" t="n">
        <v>0.567</v>
      </c>
      <c r="K574" s="0" t="n">
        <v>0.747</v>
      </c>
      <c r="L574" s="3" t="str">
        <f aca="false">IF(K574&gt;0.66,"High",IF(K574&gt;0.33&amp;K574&lt;=0.66,"Medium","Low"))</f>
        <v>High</v>
      </c>
      <c r="M574" s="0" t="n">
        <v>-6.019</v>
      </c>
      <c r="N574" s="3" t="n">
        <v>0.105</v>
      </c>
      <c r="O574" s="3" t="n">
        <v>0.31</v>
      </c>
      <c r="P574" s="4" t="n">
        <v>0</v>
      </c>
      <c r="Q574" s="3" t="n">
        <v>0.04</v>
      </c>
      <c r="R574" s="3" t="n">
        <v>0.556</v>
      </c>
      <c r="S574" s="3" t="str">
        <f aca="false">IF(R574 &gt;= 0.5, "Positive", "Negative")</f>
        <v>Positive</v>
      </c>
      <c r="T574" s="2" t="n">
        <v>89.036</v>
      </c>
      <c r="U574" s="0" t="s">
        <v>33</v>
      </c>
    </row>
    <row r="575" customFormat="false" ht="14.25" hidden="false" customHeight="false" outlineLevel="0" collapsed="false">
      <c r="A575" s="0" t="n">
        <v>5</v>
      </c>
      <c r="B575" s="0" t="str">
        <f aca="false">_xlfn.xlookup(A575, artists!A$2:A$836, artists!B$2:B$836)</f>
        <v>*NSYNC</v>
      </c>
      <c r="C575" s="1" t="s">
        <v>616</v>
      </c>
      <c r="D575" s="2" t="n">
        <v>253600</v>
      </c>
      <c r="E575" s="2" t="n">
        <f aca="false">D575/1000</f>
        <v>253.6</v>
      </c>
      <c r="F575" s="10" t="b">
        <f aca="false">FALSE()</f>
        <v>0</v>
      </c>
      <c r="G575" s="0" t="n">
        <v>4</v>
      </c>
      <c r="H575" s="0" t="n">
        <f aca="false">_xlfn.xlookup(G575, years!A$2:A$836, years!B$2:B$836)</f>
        <v>2001</v>
      </c>
      <c r="I575" s="2" t="n">
        <v>50</v>
      </c>
      <c r="J575" s="0" t="n">
        <v>0.745</v>
      </c>
      <c r="K575" s="0" t="n">
        <v>0.807</v>
      </c>
      <c r="L575" s="3" t="str">
        <f aca="false">IF(K575&gt;0.66,"High",IF(K575&gt;0.33&amp;K575&lt;=0.66,"Medium","Low"))</f>
        <v>High</v>
      </c>
      <c r="M575" s="0" t="n">
        <v>-5.191</v>
      </c>
      <c r="N575" s="3" t="n">
        <v>0.0884</v>
      </c>
      <c r="O575" s="3" t="n">
        <v>0.0887</v>
      </c>
      <c r="P575" s="4" t="n">
        <v>1.49E-005</v>
      </c>
      <c r="Q575" s="3" t="n">
        <v>0.0283</v>
      </c>
      <c r="R575" s="3" t="n">
        <v>0.858</v>
      </c>
      <c r="S575" s="3" t="str">
        <f aca="false">IF(R575 &gt;= 0.5, "Positive", "Negative")</f>
        <v>Positive</v>
      </c>
      <c r="T575" s="2" t="n">
        <v>93.967</v>
      </c>
      <c r="U575" s="0" t="s">
        <v>39</v>
      </c>
    </row>
    <row r="576" customFormat="false" ht="14.25" hidden="false" customHeight="false" outlineLevel="0" collapsed="false">
      <c r="A576" s="0" t="n">
        <v>146</v>
      </c>
      <c r="B576" s="0" t="str">
        <f aca="false">_xlfn.xlookup(A576, artists!A$2:A$836, artists!B$2:B$836)</f>
        <v>Avril Lavigne</v>
      </c>
      <c r="C576" s="1" t="s">
        <v>616</v>
      </c>
      <c r="D576" s="2" t="n">
        <v>216600</v>
      </c>
      <c r="E576" s="2" t="n">
        <f aca="false">D576/1000</f>
        <v>216.6</v>
      </c>
      <c r="F576" s="10" t="b">
        <f aca="false">TRUE()</f>
        <v>1</v>
      </c>
      <c r="G576" s="0" t="n">
        <v>10</v>
      </c>
      <c r="H576" s="0" t="n">
        <f aca="false">_xlfn.xlookup(G576, years!A$2:A$836, years!B$2:B$836)</f>
        <v>2007</v>
      </c>
      <c r="I576" s="2" t="n">
        <v>75</v>
      </c>
      <c r="J576" s="0" t="n">
        <v>0.56</v>
      </c>
      <c r="K576" s="0" t="n">
        <v>0.959</v>
      </c>
      <c r="L576" s="3" t="str">
        <f aca="false">IF(K576&gt;0.66,"High",IF(K576&gt;0.33&amp;K576&lt;=0.66,"Medium","Low"))</f>
        <v>High</v>
      </c>
      <c r="M576" s="0" t="n">
        <v>-2.433</v>
      </c>
      <c r="N576" s="3" t="n">
        <v>0.102</v>
      </c>
      <c r="O576" s="3" t="n">
        <v>0.000722</v>
      </c>
      <c r="P576" s="4" t="n">
        <v>0.000221</v>
      </c>
      <c r="Q576" s="3" t="n">
        <v>0.209</v>
      </c>
      <c r="R576" s="3" t="n">
        <v>0.669</v>
      </c>
      <c r="S576" s="3" t="str">
        <f aca="false">IF(R576 &gt;= 0.5, "Positive", "Negative")</f>
        <v>Positive</v>
      </c>
      <c r="T576" s="2" t="n">
        <v>163.983</v>
      </c>
      <c r="U576" s="0" t="s">
        <v>39</v>
      </c>
    </row>
    <row r="577" customFormat="false" ht="14.25" hidden="false" customHeight="false" outlineLevel="0" collapsed="false">
      <c r="A577" s="0" t="n">
        <v>483</v>
      </c>
      <c r="B577" s="0" t="str">
        <f aca="false">_xlfn.xlookup(A577, artists!A$2:A$836, artists!B$2:B$836)</f>
        <v>Tinie Tempah</v>
      </c>
      <c r="C577" s="1" t="s">
        <v>617</v>
      </c>
      <c r="D577" s="2" t="n">
        <v>196000</v>
      </c>
      <c r="E577" s="2" t="n">
        <f aca="false">D577/1000</f>
        <v>196</v>
      </c>
      <c r="F577" s="10" t="b">
        <f aca="false">TRUE()</f>
        <v>1</v>
      </c>
      <c r="G577" s="0" t="n">
        <v>19</v>
      </c>
      <c r="H577" s="0" t="n">
        <f aca="false">_xlfn.xlookup(G577, years!A$2:A$836, years!B$2:B$836)</f>
        <v>2016</v>
      </c>
      <c r="I577" s="2" t="n">
        <v>62</v>
      </c>
      <c r="J577" s="0" t="n">
        <v>0.916</v>
      </c>
      <c r="K577" s="0" t="n">
        <v>0.804</v>
      </c>
      <c r="L577" s="3" t="str">
        <f aca="false">IF(K577&gt;0.66,"High",IF(K577&gt;0.33&amp;K577&lt;=0.66,"Medium","Low"))</f>
        <v>High</v>
      </c>
      <c r="M577" s="0" t="n">
        <v>-3.406</v>
      </c>
      <c r="N577" s="3" t="n">
        <v>0.049</v>
      </c>
      <c r="O577" s="3" t="n">
        <v>0.37</v>
      </c>
      <c r="P577" s="4" t="n">
        <v>1.18E-005</v>
      </c>
      <c r="Q577" s="3" t="n">
        <v>0.0812</v>
      </c>
      <c r="R577" s="3" t="n">
        <v>0.538</v>
      </c>
      <c r="S577" s="3" t="str">
        <f aca="false">IF(R577 &gt;= 0.5, "Positive", "Negative")</f>
        <v>Positive</v>
      </c>
      <c r="T577" s="2" t="n">
        <v>120.028</v>
      </c>
      <c r="U577" s="0" t="s">
        <v>53</v>
      </c>
    </row>
    <row r="578" customFormat="false" ht="14.25" hidden="false" customHeight="false" outlineLevel="0" collapsed="false">
      <c r="A578" s="0" t="n">
        <v>236</v>
      </c>
      <c r="B578" s="0" t="str">
        <f aca="false">_xlfn.xlookup(A578, artists!A$2:A$836, artists!B$2:B$836)</f>
        <v>Maroon 5</v>
      </c>
      <c r="C578" s="1" t="s">
        <v>618</v>
      </c>
      <c r="D578" s="2" t="n">
        <v>235545</v>
      </c>
      <c r="E578" s="2" t="n">
        <f aca="false">D578/1000</f>
        <v>235.545</v>
      </c>
      <c r="F578" s="10" t="b">
        <f aca="false">TRUE()</f>
        <v>1</v>
      </c>
      <c r="G578" s="0" t="n">
        <v>21</v>
      </c>
      <c r="H578" s="0" t="n">
        <f aca="false">_xlfn.xlookup(G578, years!A$2:A$836, years!B$2:B$836)</f>
        <v>2018</v>
      </c>
      <c r="I578" s="2" t="n">
        <v>73</v>
      </c>
      <c r="J578" s="0" t="n">
        <v>0.851</v>
      </c>
      <c r="K578" s="0" t="n">
        <v>0.541</v>
      </c>
      <c r="L578" s="3" t="str">
        <f aca="false">IF(K578&gt;0.66,"High",IF(K578&gt;0.33&amp;K578&lt;=0.66,"Medium","Low"))</f>
        <v>Low</v>
      </c>
      <c r="M578" s="0" t="n">
        <v>-6.825</v>
      </c>
      <c r="N578" s="3" t="n">
        <v>0.0505</v>
      </c>
      <c r="O578" s="3" t="n">
        <v>0.568</v>
      </c>
      <c r="P578" s="4" t="n">
        <v>0</v>
      </c>
      <c r="Q578" s="3" t="n">
        <v>0.13</v>
      </c>
      <c r="R578" s="3" t="n">
        <v>0.448</v>
      </c>
      <c r="S578" s="3" t="str">
        <f aca="false">IF(R578 &gt;= 0.5, "Positive", "Negative")</f>
        <v>Negative</v>
      </c>
      <c r="T578" s="2" t="n">
        <v>124.959</v>
      </c>
      <c r="U578" s="0" t="s">
        <v>39</v>
      </c>
    </row>
    <row r="579" customFormat="false" ht="14.25" hidden="false" customHeight="false" outlineLevel="0" collapsed="false">
      <c r="A579" s="0" t="n">
        <v>31</v>
      </c>
      <c r="B579" s="0" t="str">
        <f aca="false">_xlfn.xlookup(A579, artists!A$2:A$836, artists!B$2:B$836)</f>
        <v>Madonna</v>
      </c>
      <c r="C579" s="1" t="s">
        <v>619</v>
      </c>
      <c r="D579" s="2" t="n">
        <v>287906</v>
      </c>
      <c r="E579" s="2" t="n">
        <f aca="false">D579/1000</f>
        <v>287.906</v>
      </c>
      <c r="F579" s="10" t="b">
        <f aca="false">FALSE()</f>
        <v>0</v>
      </c>
      <c r="G579" s="0" t="n">
        <v>11</v>
      </c>
      <c r="H579" s="0" t="n">
        <f aca="false">_xlfn.xlookup(G579, years!A$2:A$836, years!B$2:B$836)</f>
        <v>2008</v>
      </c>
      <c r="I579" s="2" t="n">
        <v>57</v>
      </c>
      <c r="J579" s="0" t="n">
        <v>0.837</v>
      </c>
      <c r="K579" s="0" t="n">
        <v>0.954</v>
      </c>
      <c r="L579" s="3" t="str">
        <f aca="false">IF(K579&gt;0.66,"High",IF(K579&gt;0.33&amp;K579&lt;=0.66,"Medium","Low"))</f>
        <v>High</v>
      </c>
      <c r="M579" s="0" t="n">
        <v>-3.512</v>
      </c>
      <c r="N579" s="3" t="n">
        <v>0.0414</v>
      </c>
      <c r="O579" s="3" t="n">
        <v>0.0933</v>
      </c>
      <c r="P579" s="4" t="n">
        <v>0.000405</v>
      </c>
      <c r="Q579" s="3" t="n">
        <v>0.143</v>
      </c>
      <c r="R579" s="3" t="n">
        <v>0.972</v>
      </c>
      <c r="S579" s="3" t="str">
        <f aca="false">IF(R579 &gt;= 0.5, "Positive", "Negative")</f>
        <v>Positive</v>
      </c>
      <c r="T579" s="2" t="n">
        <v>127.019</v>
      </c>
      <c r="U579" s="0" t="s">
        <v>39</v>
      </c>
    </row>
    <row r="580" customFormat="false" ht="14.25" hidden="false" customHeight="false" outlineLevel="0" collapsed="false">
      <c r="A580" s="0" t="n">
        <v>361</v>
      </c>
      <c r="B580" s="0" t="str">
        <f aca="false">_xlfn.xlookup(A580, artists!A$2:A$836, artists!B$2:B$836)</f>
        <v>Timbaland</v>
      </c>
      <c r="C580" s="1" t="s">
        <v>620</v>
      </c>
      <c r="D580" s="2" t="n">
        <v>234026</v>
      </c>
      <c r="E580" s="2" t="n">
        <f aca="false">D580/1000</f>
        <v>234.026</v>
      </c>
      <c r="F580" s="10" t="b">
        <f aca="false">TRUE()</f>
        <v>1</v>
      </c>
      <c r="G580" s="0" t="n">
        <v>10</v>
      </c>
      <c r="H580" s="0" t="n">
        <f aca="false">_xlfn.xlookup(G580, years!A$2:A$836, years!B$2:B$836)</f>
        <v>2007</v>
      </c>
      <c r="I580" s="2" t="n">
        <v>70</v>
      </c>
      <c r="J580" s="0" t="n">
        <v>0.975</v>
      </c>
      <c r="K580" s="0" t="n">
        <v>0.711</v>
      </c>
      <c r="L580" s="3" t="str">
        <f aca="false">IF(K580&gt;0.66,"High",IF(K580&gt;0.33&amp;K580&lt;=0.66,"Medium","Low"))</f>
        <v>High</v>
      </c>
      <c r="M580" s="0" t="n">
        <v>-3.904</v>
      </c>
      <c r="N580" s="3" t="n">
        <v>0.0632</v>
      </c>
      <c r="O580" s="3" t="n">
        <v>0.168</v>
      </c>
      <c r="P580" s="4" t="n">
        <v>0.000552</v>
      </c>
      <c r="Q580" s="3" t="n">
        <v>0.0799</v>
      </c>
      <c r="R580" s="3" t="n">
        <v>0.815</v>
      </c>
      <c r="S580" s="3" t="str">
        <f aca="false">IF(R580 &gt;= 0.5, "Positive", "Negative")</f>
        <v>Positive</v>
      </c>
      <c r="T580" s="2" t="n">
        <v>110.621</v>
      </c>
      <c r="U580" s="0" t="s">
        <v>31</v>
      </c>
    </row>
    <row r="581" customFormat="false" ht="14.25" hidden="false" customHeight="false" outlineLevel="0" collapsed="false">
      <c r="A581" s="0" t="n">
        <v>440</v>
      </c>
      <c r="B581" s="0" t="str">
        <f aca="false">_xlfn.xlookup(A581, artists!A$2:A$836, artists!B$2:B$836)</f>
        <v>Pitbull</v>
      </c>
      <c r="C581" s="1" t="s">
        <v>621</v>
      </c>
      <c r="D581" s="2" t="n">
        <v>252306</v>
      </c>
      <c r="E581" s="2" t="n">
        <f aca="false">D581/1000</f>
        <v>252.306</v>
      </c>
      <c r="F581" s="10" t="b">
        <f aca="false">FALSE()</f>
        <v>0</v>
      </c>
      <c r="G581" s="0" t="n">
        <v>14</v>
      </c>
      <c r="H581" s="0" t="n">
        <f aca="false">_xlfn.xlookup(G581, years!A$2:A$836, years!B$2:B$836)</f>
        <v>2011</v>
      </c>
      <c r="I581" s="2" t="n">
        <v>81</v>
      </c>
      <c r="J581" s="0" t="n">
        <v>0.671</v>
      </c>
      <c r="K581" s="0" t="n">
        <v>0.939</v>
      </c>
      <c r="L581" s="3" t="str">
        <f aca="false">IF(K581&gt;0.66,"High",IF(K581&gt;0.33&amp;K581&lt;=0.66,"Medium","Low"))</f>
        <v>High</v>
      </c>
      <c r="M581" s="0" t="n">
        <v>-3.206</v>
      </c>
      <c r="N581" s="3" t="n">
        <v>0.161</v>
      </c>
      <c r="O581" s="3" t="n">
        <v>0.191</v>
      </c>
      <c r="P581" s="4" t="n">
        <v>0</v>
      </c>
      <c r="Q581" s="3" t="n">
        <v>0.298</v>
      </c>
      <c r="R581" s="3" t="n">
        <v>0.53</v>
      </c>
      <c r="S581" s="3" t="str">
        <f aca="false">IF(R581 &gt;= 0.5, "Positive", "Negative")</f>
        <v>Positive</v>
      </c>
      <c r="T581" s="2" t="n">
        <v>129.024</v>
      </c>
      <c r="U581" s="0" t="s">
        <v>483</v>
      </c>
    </row>
    <row r="582" customFormat="false" ht="14.25" hidden="false" customHeight="false" outlineLevel="0" collapsed="false">
      <c r="A582" s="0" t="n">
        <v>566</v>
      </c>
      <c r="B582" s="0" t="str">
        <f aca="false">_xlfn.xlookup(A582, artists!A$2:A$836, artists!B$2:B$836)</f>
        <v>Demi Lovato</v>
      </c>
      <c r="C582" s="1" t="s">
        <v>622</v>
      </c>
      <c r="D582" s="2" t="n">
        <v>205346</v>
      </c>
      <c r="E582" s="2" t="n">
        <f aca="false">D582/1000</f>
        <v>205.346</v>
      </c>
      <c r="F582" s="10" t="b">
        <f aca="false">FALSE()</f>
        <v>0</v>
      </c>
      <c r="G582" s="0" t="n">
        <v>14</v>
      </c>
      <c r="H582" s="0" t="n">
        <f aca="false">_xlfn.xlookup(G582, years!A$2:A$836, years!B$2:B$836)</f>
        <v>2011</v>
      </c>
      <c r="I582" s="2" t="n">
        <v>71</v>
      </c>
      <c r="J582" s="0" t="n">
        <v>0.651</v>
      </c>
      <c r="K582" s="0" t="n">
        <v>0.695</v>
      </c>
      <c r="L582" s="3" t="str">
        <f aca="false">IF(K582&gt;0.66,"High",IF(K582&gt;0.33&amp;K582&lt;=0.66,"Medium","Low"))</f>
        <v>High</v>
      </c>
      <c r="M582" s="0" t="n">
        <v>-3.218</v>
      </c>
      <c r="N582" s="3" t="n">
        <v>0.0487</v>
      </c>
      <c r="O582" s="3" t="n">
        <v>0.23</v>
      </c>
      <c r="P582" s="4" t="n">
        <v>0</v>
      </c>
      <c r="Q582" s="3" t="n">
        <v>0.144</v>
      </c>
      <c r="R582" s="3" t="n">
        <v>0.569</v>
      </c>
      <c r="S582" s="3" t="str">
        <f aca="false">IF(R582 &gt;= 0.5, "Positive", "Negative")</f>
        <v>Positive</v>
      </c>
      <c r="T582" s="2" t="n">
        <v>123.008</v>
      </c>
      <c r="U582" s="0" t="s">
        <v>39</v>
      </c>
    </row>
    <row r="583" customFormat="false" ht="14.25" hidden="false" customHeight="false" outlineLevel="0" collapsed="false">
      <c r="A583" s="0" t="n">
        <v>497</v>
      </c>
      <c r="B583" s="0" t="str">
        <f aca="false">_xlfn.xlookup(A583, artists!A$2:A$836, artists!B$2:B$836)</f>
        <v>The Wanted</v>
      </c>
      <c r="C583" s="1" t="s">
        <v>623</v>
      </c>
      <c r="D583" s="2" t="n">
        <v>197935</v>
      </c>
      <c r="E583" s="2" t="n">
        <f aca="false">D583/1000</f>
        <v>197.935</v>
      </c>
      <c r="F583" s="10" t="b">
        <f aca="false">FALSE()</f>
        <v>0</v>
      </c>
      <c r="G583" s="0" t="n">
        <v>14</v>
      </c>
      <c r="H583" s="0" t="n">
        <f aca="false">_xlfn.xlookup(G583, years!A$2:A$836, years!B$2:B$836)</f>
        <v>2011</v>
      </c>
      <c r="I583" s="2" t="n">
        <v>77</v>
      </c>
      <c r="J583" s="0" t="n">
        <v>0.722</v>
      </c>
      <c r="K583" s="0" t="n">
        <v>0.851</v>
      </c>
      <c r="L583" s="3" t="str">
        <f aca="false">IF(K583&gt;0.66,"High",IF(K583&gt;0.33&amp;K583&lt;=0.66,"Medium","Low"))</f>
        <v>High</v>
      </c>
      <c r="M583" s="0" t="n">
        <v>-3.873</v>
      </c>
      <c r="N583" s="3" t="n">
        <v>0.0639</v>
      </c>
      <c r="O583" s="3" t="n">
        <v>0.0319</v>
      </c>
      <c r="P583" s="4" t="n">
        <v>0</v>
      </c>
      <c r="Q583" s="3" t="n">
        <v>0.108</v>
      </c>
      <c r="R583" s="3" t="n">
        <v>0.452</v>
      </c>
      <c r="S583" s="3" t="str">
        <f aca="false">IF(R583 &gt;= 0.5, "Positive", "Negative")</f>
        <v>Negative</v>
      </c>
      <c r="T583" s="2" t="n">
        <v>126.885</v>
      </c>
      <c r="U583" s="0" t="s">
        <v>22</v>
      </c>
    </row>
    <row r="584" customFormat="false" ht="14.25" hidden="false" customHeight="false" outlineLevel="0" collapsed="false">
      <c r="A584" s="0" t="n">
        <v>332</v>
      </c>
      <c r="B584" s="0" t="str">
        <f aca="false">_xlfn.xlookup(A584, artists!A$2:A$836, artists!B$2:B$836)</f>
        <v>Fergie</v>
      </c>
      <c r="C584" s="1" t="s">
        <v>624</v>
      </c>
      <c r="D584" s="2" t="n">
        <v>246600</v>
      </c>
      <c r="E584" s="2" t="n">
        <f aca="false">D584/1000</f>
        <v>246.6</v>
      </c>
      <c r="F584" s="10" t="b">
        <f aca="false">TRUE()</f>
        <v>1</v>
      </c>
      <c r="G584" s="0" t="n">
        <v>9</v>
      </c>
      <c r="H584" s="0" t="n">
        <f aca="false">_xlfn.xlookup(G584, years!A$2:A$836, years!B$2:B$836)</f>
        <v>2006</v>
      </c>
      <c r="I584" s="2" t="n">
        <v>64</v>
      </c>
      <c r="J584" s="0" t="n">
        <v>0.811</v>
      </c>
      <c r="K584" s="0" t="n">
        <v>0.757</v>
      </c>
      <c r="L584" s="3" t="str">
        <f aca="false">IF(K584&gt;0.66,"High",IF(K584&gt;0.33&amp;K584&lt;=0.66,"Medium","Low"))</f>
        <v>High</v>
      </c>
      <c r="M584" s="0" t="n">
        <v>-6.447</v>
      </c>
      <c r="N584" s="3" t="n">
        <v>0.23</v>
      </c>
      <c r="O584" s="3" t="n">
        <v>0.298</v>
      </c>
      <c r="P584" s="4" t="n">
        <v>0</v>
      </c>
      <c r="Q584" s="3" t="n">
        <v>0.103</v>
      </c>
      <c r="R584" s="3" t="n">
        <v>0.565</v>
      </c>
      <c r="S584" s="3" t="str">
        <f aca="false">IF(R584 &gt;= 0.5, "Positive", "Negative")</f>
        <v>Positive</v>
      </c>
      <c r="T584" s="2" t="n">
        <v>130.993</v>
      </c>
      <c r="U584" s="0" t="s">
        <v>33</v>
      </c>
    </row>
    <row r="585" customFormat="false" ht="14.25" hidden="false" customHeight="false" outlineLevel="0" collapsed="false">
      <c r="A585" s="0" t="n">
        <v>619</v>
      </c>
      <c r="B585" s="0" t="str">
        <f aca="false">_xlfn.xlookup(A585, artists!A$2:A$836, artists!B$2:B$836)</f>
        <v>The Chainsmokers</v>
      </c>
      <c r="C585" s="1" t="s">
        <v>625</v>
      </c>
      <c r="D585" s="2" t="n">
        <v>208373</v>
      </c>
      <c r="E585" s="2" t="n">
        <f aca="false">D585/1000</f>
        <v>208.373</v>
      </c>
      <c r="F585" s="10" t="b">
        <f aca="false">FALSE()</f>
        <v>0</v>
      </c>
      <c r="G585" s="0" t="n">
        <v>19</v>
      </c>
      <c r="H585" s="0" t="n">
        <f aca="false">_xlfn.xlookup(G585, years!A$2:A$836, years!B$2:B$836)</f>
        <v>2016</v>
      </c>
      <c r="I585" s="2" t="n">
        <v>79</v>
      </c>
      <c r="J585" s="0" t="n">
        <v>0.532</v>
      </c>
      <c r="K585" s="0" t="n">
        <v>0.869</v>
      </c>
      <c r="L585" s="3" t="str">
        <f aca="false">IF(K585&gt;0.66,"High",IF(K585&gt;0.33&amp;K585&lt;=0.66,"Medium","Low"))</f>
        <v>High</v>
      </c>
      <c r="M585" s="0" t="n">
        <v>-5.094</v>
      </c>
      <c r="N585" s="3" t="n">
        <v>0.172</v>
      </c>
      <c r="O585" s="3" t="n">
        <v>0.157</v>
      </c>
      <c r="P585" s="4" t="n">
        <v>0.00508</v>
      </c>
      <c r="Q585" s="3" t="n">
        <v>0.136</v>
      </c>
      <c r="R585" s="3" t="n">
        <v>0.422</v>
      </c>
      <c r="S585" s="3" t="str">
        <f aca="false">IF(R585 &gt;= 0.5, "Positive", "Negative")</f>
        <v>Negative</v>
      </c>
      <c r="T585" s="2" t="n">
        <v>159.803</v>
      </c>
      <c r="U585" s="0" t="s">
        <v>22</v>
      </c>
    </row>
    <row r="586" customFormat="false" ht="14.25" hidden="false" customHeight="false" outlineLevel="0" collapsed="false">
      <c r="A586" s="0" t="n">
        <v>53</v>
      </c>
      <c r="B586" s="0" t="str">
        <f aca="false">_xlfn.xlookup(A586, artists!A$2:A$836, artists!B$2:B$836)</f>
        <v>Oasis</v>
      </c>
      <c r="C586" s="1" t="s">
        <v>626</v>
      </c>
      <c r="D586" s="2" t="n">
        <v>278666</v>
      </c>
      <c r="E586" s="2" t="n">
        <f aca="false">D586/1000</f>
        <v>278.666</v>
      </c>
      <c r="F586" s="10" t="b">
        <f aca="false">FALSE()</f>
        <v>0</v>
      </c>
      <c r="G586" s="0" t="n">
        <v>3</v>
      </c>
      <c r="H586" s="0" t="n">
        <f aca="false">_xlfn.xlookup(G586, years!A$2:A$836, years!B$2:B$836)</f>
        <v>2000</v>
      </c>
      <c r="I586" s="2" t="n">
        <v>0</v>
      </c>
      <c r="J586" s="0" t="n">
        <v>0.408</v>
      </c>
      <c r="K586" s="0" t="n">
        <v>0.849</v>
      </c>
      <c r="L586" s="3" t="str">
        <f aca="false">IF(K586&gt;0.66,"High",IF(K586&gt;0.33&amp;K586&lt;=0.66,"Medium","Low"))</f>
        <v>High</v>
      </c>
      <c r="M586" s="0" t="n">
        <v>-5.631</v>
      </c>
      <c r="N586" s="3" t="n">
        <v>0.0333</v>
      </c>
      <c r="O586" s="3" t="n">
        <v>0.0136</v>
      </c>
      <c r="P586" s="4" t="n">
        <v>2.51E-005</v>
      </c>
      <c r="Q586" s="3" t="n">
        <v>0.56</v>
      </c>
      <c r="R586" s="3" t="n">
        <v>0.628</v>
      </c>
      <c r="S586" s="3" t="str">
        <f aca="false">IF(R586 &gt;= 0.5, "Positive", "Negative")</f>
        <v>Positive</v>
      </c>
      <c r="T586" s="2" t="n">
        <v>84.192</v>
      </c>
      <c r="U586" s="0" t="s">
        <v>627</v>
      </c>
    </row>
    <row r="587" customFormat="false" ht="14.25" hidden="false" customHeight="false" outlineLevel="0" collapsed="false">
      <c r="A587" s="0" t="n">
        <v>600</v>
      </c>
      <c r="B587" s="0" t="str">
        <f aca="false">_xlfn.xlookup(A587, artists!A$2:A$836, artists!B$2:B$836)</f>
        <v>Ariana Grande</v>
      </c>
      <c r="C587" s="1" t="s">
        <v>628</v>
      </c>
      <c r="D587" s="2" t="n">
        <v>197546</v>
      </c>
      <c r="E587" s="2" t="n">
        <f aca="false">D587/1000</f>
        <v>197.546</v>
      </c>
      <c r="F587" s="10" t="b">
        <f aca="false">TRUE()</f>
        <v>1</v>
      </c>
      <c r="G587" s="0" t="n">
        <v>21</v>
      </c>
      <c r="H587" s="0" t="n">
        <f aca="false">_xlfn.xlookup(G587, years!A$2:A$836, years!B$2:B$836)</f>
        <v>2018</v>
      </c>
      <c r="I587" s="2" t="n">
        <v>78</v>
      </c>
      <c r="J587" s="0" t="n">
        <v>0.602</v>
      </c>
      <c r="K587" s="0" t="n">
        <v>0.658</v>
      </c>
      <c r="L587" s="3" t="str">
        <f aca="false">IF(K587&gt;0.66,"High",IF(K587&gt;0.33&amp;K587&lt;=0.66,"Medium","Low"))</f>
        <v>Low</v>
      </c>
      <c r="M587" s="0" t="n">
        <v>-5.934</v>
      </c>
      <c r="N587" s="3" t="n">
        <v>0.0558</v>
      </c>
      <c r="O587" s="3" t="n">
        <v>0.0233</v>
      </c>
      <c r="P587" s="4" t="n">
        <v>6E-005</v>
      </c>
      <c r="Q587" s="3" t="n">
        <v>0.237</v>
      </c>
      <c r="R587" s="3" t="n">
        <v>0.268</v>
      </c>
      <c r="S587" s="3" t="str">
        <f aca="false">IF(R587 &gt;= 0.5, "Positive", "Negative")</f>
        <v>Negative</v>
      </c>
      <c r="T587" s="2" t="n">
        <v>145.031</v>
      </c>
      <c r="U587" s="0" t="s">
        <v>39</v>
      </c>
    </row>
    <row r="588" customFormat="false" ht="14.25" hidden="false" customHeight="false" outlineLevel="0" collapsed="false">
      <c r="A588" s="0" t="n">
        <v>455</v>
      </c>
      <c r="B588" s="0" t="str">
        <f aca="false">_xlfn.xlookup(A588, artists!A$2:A$836, artists!B$2:B$836)</f>
        <v>Drake</v>
      </c>
      <c r="C588" s="1" t="s">
        <v>629</v>
      </c>
      <c r="D588" s="2" t="n">
        <v>198973</v>
      </c>
      <c r="E588" s="2" t="n">
        <f aca="false">D588/1000</f>
        <v>198.973</v>
      </c>
      <c r="F588" s="10" t="b">
        <f aca="false">TRUE()</f>
        <v>1</v>
      </c>
      <c r="G588" s="0" t="n">
        <v>21</v>
      </c>
      <c r="H588" s="0" t="n">
        <f aca="false">_xlfn.xlookup(G588, years!A$2:A$836, years!B$2:B$836)</f>
        <v>2018</v>
      </c>
      <c r="I588" s="2" t="n">
        <v>81</v>
      </c>
      <c r="J588" s="0" t="n">
        <v>0.754</v>
      </c>
      <c r="K588" s="0" t="n">
        <v>0.449</v>
      </c>
      <c r="L588" s="3" t="str">
        <f aca="false">IF(K588&gt;0.66,"High",IF(K588&gt;0.33&amp;K588&lt;=0.66,"Medium","Low"))</f>
        <v>Low</v>
      </c>
      <c r="M588" s="0" t="n">
        <v>-9.211</v>
      </c>
      <c r="N588" s="3" t="n">
        <v>0.109</v>
      </c>
      <c r="O588" s="3" t="n">
        <v>0.0332</v>
      </c>
      <c r="P588" s="4" t="n">
        <v>8.29E-005</v>
      </c>
      <c r="Q588" s="3" t="n">
        <v>0.552</v>
      </c>
      <c r="R588" s="3" t="n">
        <v>0.357</v>
      </c>
      <c r="S588" s="3" t="str">
        <f aca="false">IF(R588 &gt;= 0.5, "Positive", "Negative")</f>
        <v>Negative</v>
      </c>
      <c r="T588" s="2" t="n">
        <v>77.169</v>
      </c>
      <c r="U588" s="0" t="s">
        <v>31</v>
      </c>
    </row>
    <row r="589" customFormat="false" ht="14.25" hidden="false" customHeight="false" outlineLevel="0" collapsed="false">
      <c r="A589" s="0" t="n">
        <v>672</v>
      </c>
      <c r="B589" s="0" t="str">
        <f aca="false">_xlfn.xlookup(A589, artists!A$2:A$836, artists!B$2:B$836)</f>
        <v>Meek Mill</v>
      </c>
      <c r="C589" s="1" t="s">
        <v>630</v>
      </c>
      <c r="D589" s="2" t="n">
        <v>180522</v>
      </c>
      <c r="E589" s="2" t="n">
        <f aca="false">D589/1000</f>
        <v>180.522</v>
      </c>
      <c r="F589" s="10" t="b">
        <f aca="false">TRUE()</f>
        <v>1</v>
      </c>
      <c r="G589" s="0" t="n">
        <v>21</v>
      </c>
      <c r="H589" s="0" t="n">
        <f aca="false">_xlfn.xlookup(G589, years!A$2:A$836, years!B$2:B$836)</f>
        <v>2018</v>
      </c>
      <c r="I589" s="2" t="n">
        <v>78</v>
      </c>
      <c r="J589" s="0" t="n">
        <v>0.889</v>
      </c>
      <c r="K589" s="0" t="n">
        <v>0.496</v>
      </c>
      <c r="L589" s="3" t="str">
        <f aca="false">IF(K589&gt;0.66,"High",IF(K589&gt;0.33&amp;K589&lt;=0.66,"Medium","Low"))</f>
        <v>Low</v>
      </c>
      <c r="M589" s="0" t="n">
        <v>-6.365</v>
      </c>
      <c r="N589" s="3" t="n">
        <v>0.0905</v>
      </c>
      <c r="O589" s="3" t="n">
        <v>0.259</v>
      </c>
      <c r="P589" s="4" t="n">
        <v>0</v>
      </c>
      <c r="Q589" s="3" t="n">
        <v>0.252</v>
      </c>
      <c r="R589" s="3" t="n">
        <v>0.544</v>
      </c>
      <c r="S589" s="3" t="str">
        <f aca="false">IF(R589 &gt;= 0.5, "Positive", "Negative")</f>
        <v>Positive</v>
      </c>
      <c r="T589" s="2" t="n">
        <v>86.003</v>
      </c>
      <c r="U589" s="0" t="s">
        <v>24</v>
      </c>
    </row>
    <row r="590" customFormat="false" ht="14.25" hidden="false" customHeight="false" outlineLevel="0" collapsed="false">
      <c r="A590" s="0" t="n">
        <v>708</v>
      </c>
      <c r="B590" s="0" t="str">
        <f aca="false">_xlfn.xlookup(A590, artists!A$2:A$836, artists!B$2:B$836)</f>
        <v>Kiiara</v>
      </c>
      <c r="C590" s="1" t="s">
        <v>631</v>
      </c>
      <c r="D590" s="2" t="n">
        <v>225882</v>
      </c>
      <c r="E590" s="2" t="n">
        <f aca="false">D590/1000</f>
        <v>225.882</v>
      </c>
      <c r="F590" s="10" t="b">
        <f aca="false">FALSE()</f>
        <v>0</v>
      </c>
      <c r="G590" s="0" t="n">
        <v>18</v>
      </c>
      <c r="H590" s="0" t="n">
        <f aca="false">_xlfn.xlookup(G590, years!A$2:A$836, years!B$2:B$836)</f>
        <v>2015</v>
      </c>
      <c r="I590" s="2" t="n">
        <v>55</v>
      </c>
      <c r="J590" s="0" t="n">
        <v>0.6</v>
      </c>
      <c r="K590" s="0" t="n">
        <v>0.412</v>
      </c>
      <c r="L590" s="3" t="str">
        <f aca="false">IF(K590&gt;0.66,"High",IF(K590&gt;0.33&amp;K590&lt;=0.66,"Medium","Low"))</f>
        <v>Low</v>
      </c>
      <c r="M590" s="0" t="n">
        <v>-9.343</v>
      </c>
      <c r="N590" s="3" t="n">
        <v>0.344</v>
      </c>
      <c r="O590" s="3" t="n">
        <v>0.615</v>
      </c>
      <c r="P590" s="4" t="n">
        <v>0.0025</v>
      </c>
      <c r="Q590" s="3" t="n">
        <v>0.134</v>
      </c>
      <c r="R590" s="3" t="n">
        <v>0.408</v>
      </c>
      <c r="S590" s="3" t="str">
        <f aca="false">IF(R590 &gt;= 0.5, "Positive", "Negative")</f>
        <v>Negative</v>
      </c>
      <c r="T590" s="2" t="n">
        <v>113.049</v>
      </c>
      <c r="U590" s="0" t="s">
        <v>632</v>
      </c>
    </row>
    <row r="591" customFormat="false" ht="14.25" hidden="false" customHeight="false" outlineLevel="0" collapsed="false">
      <c r="A591" s="0" t="n">
        <v>269</v>
      </c>
      <c r="B591" s="0" t="str">
        <f aca="false">_xlfn.xlookup(A591, artists!A$2:A$836, artists!B$2:B$836)</f>
        <v>Kanye West</v>
      </c>
      <c r="C591" s="1" t="s">
        <v>633</v>
      </c>
      <c r="D591" s="2" t="n">
        <v>207626</v>
      </c>
      <c r="E591" s="2" t="n">
        <f aca="false">D591/1000</f>
        <v>207.626</v>
      </c>
      <c r="F591" s="10" t="b">
        <f aca="false">TRUE()</f>
        <v>1</v>
      </c>
      <c r="G591" s="0" t="n">
        <v>8</v>
      </c>
      <c r="H591" s="0" t="n">
        <f aca="false">_xlfn.xlookup(G591, years!A$2:A$836, years!B$2:B$836)</f>
        <v>2005</v>
      </c>
      <c r="I591" s="2" t="n">
        <v>78</v>
      </c>
      <c r="J591" s="0" t="n">
        <v>0.629</v>
      </c>
      <c r="K591" s="0" t="n">
        <v>0.696</v>
      </c>
      <c r="L591" s="3" t="str">
        <f aca="false">IF(K591&gt;0.66,"High",IF(K591&gt;0.33&amp;K591&lt;=0.66,"Medium","Low"))</f>
        <v>High</v>
      </c>
      <c r="M591" s="0" t="n">
        <v>-5.572</v>
      </c>
      <c r="N591" s="3" t="n">
        <v>0.348</v>
      </c>
      <c r="O591" s="3" t="n">
        <v>0.0195</v>
      </c>
      <c r="P591" s="4" t="n">
        <v>0</v>
      </c>
      <c r="Q591" s="3" t="n">
        <v>0.0554</v>
      </c>
      <c r="R591" s="3" t="n">
        <v>0.623</v>
      </c>
      <c r="S591" s="3" t="str">
        <f aca="false">IF(R591 &gt;= 0.5, "Positive", "Negative")</f>
        <v>Positive</v>
      </c>
      <c r="T591" s="2" t="n">
        <v>93.034</v>
      </c>
      <c r="U591" s="0" t="s">
        <v>29</v>
      </c>
    </row>
    <row r="592" customFormat="false" ht="14.25" hidden="false" customHeight="false" outlineLevel="0" collapsed="false">
      <c r="A592" s="0" t="n">
        <v>477</v>
      </c>
      <c r="B592" s="0" t="str">
        <f aca="false">_xlfn.xlookup(A592, artists!A$2:A$836, artists!B$2:B$836)</f>
        <v>DJ Fresh</v>
      </c>
      <c r="C592" s="1" t="s">
        <v>634</v>
      </c>
      <c r="D592" s="2" t="n">
        <v>192446</v>
      </c>
      <c r="E592" s="2" t="n">
        <f aca="false">D592/1000</f>
        <v>192.446</v>
      </c>
      <c r="F592" s="10" t="b">
        <f aca="false">FALSE()</f>
        <v>0</v>
      </c>
      <c r="G592" s="0" t="n">
        <v>13</v>
      </c>
      <c r="H592" s="0" t="n">
        <f aca="false">_xlfn.xlookup(G592, years!A$2:A$836, years!B$2:B$836)</f>
        <v>2010</v>
      </c>
      <c r="I592" s="2" t="n">
        <v>63</v>
      </c>
      <c r="J592" s="0" t="n">
        <v>0.451</v>
      </c>
      <c r="K592" s="0" t="n">
        <v>0.948</v>
      </c>
      <c r="L592" s="3" t="str">
        <f aca="false">IF(K592&gt;0.66,"High",IF(K592&gt;0.33&amp;K592&lt;=0.66,"Medium","Low"))</f>
        <v>High</v>
      </c>
      <c r="M592" s="0" t="n">
        <v>-0.74</v>
      </c>
      <c r="N592" s="3" t="n">
        <v>0.147</v>
      </c>
      <c r="O592" s="3" t="n">
        <v>0.255</v>
      </c>
      <c r="P592" s="4" t="n">
        <v>0</v>
      </c>
      <c r="Q592" s="3" t="n">
        <v>0.392</v>
      </c>
      <c r="R592" s="3" t="n">
        <v>0.295</v>
      </c>
      <c r="S592" s="3" t="str">
        <f aca="false">IF(R592 &gt;= 0.5, "Positive", "Negative")</f>
        <v>Negative</v>
      </c>
      <c r="T592" s="2" t="n">
        <v>176.985</v>
      </c>
      <c r="U592" s="0" t="s">
        <v>22</v>
      </c>
    </row>
    <row r="593" customFormat="false" ht="14.25" hidden="false" customHeight="false" outlineLevel="0" collapsed="false">
      <c r="A593" s="0" t="n">
        <v>375</v>
      </c>
      <c r="B593" s="0" t="str">
        <f aca="false">_xlfn.xlookup(A593, artists!A$2:A$836, artists!B$2:B$836)</f>
        <v>Klaxons</v>
      </c>
      <c r="C593" s="1" t="s">
        <v>635</v>
      </c>
      <c r="D593" s="2" t="n">
        <v>165120</v>
      </c>
      <c r="E593" s="2" t="n">
        <f aca="false">D593/1000</f>
        <v>165.12</v>
      </c>
      <c r="F593" s="10" t="b">
        <f aca="false">FALSE()</f>
        <v>0</v>
      </c>
      <c r="G593" s="0" t="n">
        <v>10</v>
      </c>
      <c r="H593" s="0" t="n">
        <f aca="false">_xlfn.xlookup(G593, years!A$2:A$836, years!B$2:B$836)</f>
        <v>2007</v>
      </c>
      <c r="I593" s="2" t="n">
        <v>65</v>
      </c>
      <c r="J593" s="0" t="n">
        <v>0.463</v>
      </c>
      <c r="K593" s="0" t="n">
        <v>0.836</v>
      </c>
      <c r="L593" s="3" t="str">
        <f aca="false">IF(K593&gt;0.66,"High",IF(K593&gt;0.33&amp;K593&lt;=0.66,"Medium","Low"))</f>
        <v>High</v>
      </c>
      <c r="M593" s="0" t="n">
        <v>-2.776</v>
      </c>
      <c r="N593" s="3" t="n">
        <v>0.0381</v>
      </c>
      <c r="O593" s="3" t="n">
        <v>0.000418</v>
      </c>
      <c r="P593" s="4" t="n">
        <v>7.38E-006</v>
      </c>
      <c r="Q593" s="3" t="n">
        <v>0.25</v>
      </c>
      <c r="R593" s="3" t="n">
        <v>0.713</v>
      </c>
      <c r="S593" s="3" t="str">
        <f aca="false">IF(R593 &gt;= 0.5, "Positive", "Negative")</f>
        <v>Positive</v>
      </c>
      <c r="T593" s="2" t="n">
        <v>141.955</v>
      </c>
      <c r="U593" s="0" t="s">
        <v>43</v>
      </c>
    </row>
    <row r="594" customFormat="false" ht="14.25" hidden="false" customHeight="false" outlineLevel="0" collapsed="false">
      <c r="A594" s="0" t="n">
        <v>5</v>
      </c>
      <c r="B594" s="0" t="str">
        <f aca="false">_xlfn.xlookup(A594, artists!A$2:A$836, artists!B$2:B$836)</f>
        <v>*NSYNC</v>
      </c>
      <c r="C594" s="1" t="s">
        <v>636</v>
      </c>
      <c r="D594" s="2" t="n">
        <v>292000</v>
      </c>
      <c r="E594" s="2" t="n">
        <f aca="false">D594/1000</f>
        <v>292</v>
      </c>
      <c r="F594" s="10" t="b">
        <f aca="false">FALSE()</f>
        <v>0</v>
      </c>
      <c r="G594" s="0" t="n">
        <v>4</v>
      </c>
      <c r="H594" s="0" t="n">
        <f aca="false">_xlfn.xlookup(G594, years!A$2:A$836, years!B$2:B$836)</f>
        <v>2001</v>
      </c>
      <c r="I594" s="2" t="n">
        <v>45</v>
      </c>
      <c r="J594" s="0" t="n">
        <v>0.699</v>
      </c>
      <c r="K594" s="0" t="n">
        <v>0.403</v>
      </c>
      <c r="L594" s="3" t="str">
        <f aca="false">IF(K594&gt;0.66,"High",IF(K594&gt;0.33&amp;K594&lt;=0.66,"Medium","Low"))</f>
        <v>Low</v>
      </c>
      <c r="M594" s="0" t="n">
        <v>-8.564</v>
      </c>
      <c r="N594" s="3" t="n">
        <v>0.0614</v>
      </c>
      <c r="O594" s="3" t="n">
        <v>0.421</v>
      </c>
      <c r="P594" s="4" t="n">
        <v>0</v>
      </c>
      <c r="Q594" s="3" t="n">
        <v>0.126</v>
      </c>
      <c r="R594" s="3" t="n">
        <v>0.5</v>
      </c>
      <c r="S594" s="3" t="str">
        <f aca="false">IF(R594 &gt;= 0.5, "Positive", "Negative")</f>
        <v>Positive</v>
      </c>
      <c r="T594" s="2" t="n">
        <v>113.922</v>
      </c>
      <c r="U594" s="0" t="s">
        <v>39</v>
      </c>
    </row>
    <row r="595" customFormat="false" ht="14.25" hidden="false" customHeight="false" outlineLevel="0" collapsed="false">
      <c r="A595" s="0" t="n">
        <v>807</v>
      </c>
      <c r="B595" s="0" t="str">
        <f aca="false">_xlfn.xlookup(A595, artists!A$2:A$836, artists!B$2:B$836)</f>
        <v>iann dior</v>
      </c>
      <c r="C595" s="1" t="s">
        <v>637</v>
      </c>
      <c r="D595" s="2" t="n">
        <v>136568</v>
      </c>
      <c r="E595" s="2" t="n">
        <f aca="false">D595/1000</f>
        <v>136.568</v>
      </c>
      <c r="F595" s="10" t="b">
        <f aca="false">TRUE()</f>
        <v>1</v>
      </c>
      <c r="G595" s="0" t="n">
        <v>22</v>
      </c>
      <c r="H595" s="0" t="n">
        <f aca="false">_xlfn.xlookup(G595, years!A$2:A$836, years!B$2:B$836)</f>
        <v>2019</v>
      </c>
      <c r="I595" s="2" t="n">
        <v>69</v>
      </c>
      <c r="J595" s="0" t="n">
        <v>0.677</v>
      </c>
      <c r="K595" s="0" t="n">
        <v>0.714</v>
      </c>
      <c r="L595" s="3" t="str">
        <f aca="false">IF(K595&gt;0.66,"High",IF(K595&gt;0.33&amp;K595&lt;=0.66,"Medium","Low"))</f>
        <v>High</v>
      </c>
      <c r="M595" s="0" t="n">
        <v>-5.637</v>
      </c>
      <c r="N595" s="3" t="n">
        <v>0.0287</v>
      </c>
      <c r="O595" s="3" t="n">
        <v>0.162</v>
      </c>
      <c r="P595" s="4" t="n">
        <v>0</v>
      </c>
      <c r="Q595" s="3" t="n">
        <v>0.0717</v>
      </c>
      <c r="R595" s="3" t="n">
        <v>0.355</v>
      </c>
      <c r="S595" s="3" t="str">
        <f aca="false">IF(R595 &gt;= 0.5, "Positive", "Negative")</f>
        <v>Negative</v>
      </c>
      <c r="T595" s="2" t="n">
        <v>94.956</v>
      </c>
      <c r="U595" s="0" t="s">
        <v>24</v>
      </c>
    </row>
    <row r="596" customFormat="false" ht="14.25" hidden="false" customHeight="false" outlineLevel="0" collapsed="false">
      <c r="A596" s="0" t="n">
        <v>397</v>
      </c>
      <c r="B596" s="0" t="str">
        <f aca="false">_xlfn.xlookup(A596, artists!A$2:A$836, artists!B$2:B$836)</f>
        <v>Flo Rida</v>
      </c>
      <c r="C596" s="1" t="s">
        <v>638</v>
      </c>
      <c r="D596" s="2" t="n">
        <v>248133</v>
      </c>
      <c r="E596" s="2" t="n">
        <f aca="false">D596/1000</f>
        <v>248.133</v>
      </c>
      <c r="F596" s="10" t="b">
        <f aca="false">FALSE()</f>
        <v>0</v>
      </c>
      <c r="G596" s="0" t="n">
        <v>15</v>
      </c>
      <c r="H596" s="0" t="n">
        <f aca="false">_xlfn.xlookup(G596, years!A$2:A$836, years!B$2:B$836)</f>
        <v>2012</v>
      </c>
      <c r="I596" s="2" t="n">
        <v>76</v>
      </c>
      <c r="J596" s="0" t="n">
        <v>0.706</v>
      </c>
      <c r="K596" s="0" t="n">
        <v>0.89</v>
      </c>
      <c r="L596" s="3" t="str">
        <f aca="false">IF(K596&gt;0.66,"High",IF(K596&gt;0.33&amp;K596&lt;=0.66,"Medium","Low"))</f>
        <v>High</v>
      </c>
      <c r="M596" s="0" t="n">
        <v>-4.444</v>
      </c>
      <c r="N596" s="3" t="n">
        <v>0.0688</v>
      </c>
      <c r="O596" s="3" t="n">
        <v>0.0588</v>
      </c>
      <c r="P596" s="4" t="n">
        <v>0.00286</v>
      </c>
      <c r="Q596" s="3" t="n">
        <v>0.306</v>
      </c>
      <c r="R596" s="3" t="n">
        <v>0.684</v>
      </c>
      <c r="S596" s="3" t="str">
        <f aca="false">IF(R596 &gt;= 0.5, "Positive", "Negative")</f>
        <v>Positive</v>
      </c>
      <c r="T596" s="2" t="n">
        <v>128.011</v>
      </c>
      <c r="U596" s="0" t="s">
        <v>24</v>
      </c>
    </row>
    <row r="597" customFormat="false" ht="14.25" hidden="false" customHeight="false" outlineLevel="0" collapsed="false">
      <c r="A597" s="0" t="n">
        <v>372</v>
      </c>
      <c r="B597" s="0" t="str">
        <f aca="false">_xlfn.xlookup(A597, artists!A$2:A$836, artists!B$2:B$836)</f>
        <v>Calvin Harris</v>
      </c>
      <c r="C597" s="1" t="s">
        <v>639</v>
      </c>
      <c r="D597" s="2" t="n">
        <v>222160</v>
      </c>
      <c r="E597" s="2" t="n">
        <f aca="false">D597/1000</f>
        <v>222.16</v>
      </c>
      <c r="F597" s="10" t="b">
        <f aca="false">FALSE()</f>
        <v>0</v>
      </c>
      <c r="G597" s="0" t="n">
        <v>19</v>
      </c>
      <c r="H597" s="0" t="n">
        <f aca="false">_xlfn.xlookup(G597, years!A$2:A$836, years!B$2:B$836)</f>
        <v>2016</v>
      </c>
      <c r="I597" s="2" t="n">
        <v>79</v>
      </c>
      <c r="J597" s="0" t="n">
        <v>0.631</v>
      </c>
      <c r="K597" s="0" t="n">
        <v>0.927</v>
      </c>
      <c r="L597" s="3" t="str">
        <f aca="false">IF(K597&gt;0.66,"High",IF(K597&gt;0.33&amp;K597&lt;=0.66,"Medium","Low"))</f>
        <v>High</v>
      </c>
      <c r="M597" s="0" t="n">
        <v>-2.787</v>
      </c>
      <c r="N597" s="3" t="n">
        <v>0.0332</v>
      </c>
      <c r="O597" s="3" t="n">
        <v>0.199</v>
      </c>
      <c r="P597" s="4" t="n">
        <v>0.119</v>
      </c>
      <c r="Q597" s="3" t="n">
        <v>0.148</v>
      </c>
      <c r="R597" s="3" t="n">
        <v>0.465</v>
      </c>
      <c r="S597" s="3" t="str">
        <f aca="false">IF(R597 &gt;= 0.5, "Positive", "Negative")</f>
        <v>Negative</v>
      </c>
      <c r="T597" s="2" t="n">
        <v>123.962</v>
      </c>
      <c r="U597" s="0" t="s">
        <v>53</v>
      </c>
    </row>
    <row r="598" customFormat="false" ht="14.25" hidden="false" customHeight="false" outlineLevel="0" collapsed="false">
      <c r="A598" s="0" t="n">
        <v>460</v>
      </c>
      <c r="B598" s="0" t="str">
        <f aca="false">_xlfn.xlookup(A598, artists!A$2:A$836, artists!B$2:B$836)</f>
        <v>Cobra Starship</v>
      </c>
      <c r="C598" s="1" t="s">
        <v>640</v>
      </c>
      <c r="D598" s="2" t="n">
        <v>196413</v>
      </c>
      <c r="E598" s="2" t="n">
        <f aca="false">D598/1000</f>
        <v>196.413</v>
      </c>
      <c r="F598" s="10" t="b">
        <f aca="false">FALSE()</f>
        <v>0</v>
      </c>
      <c r="G598" s="0" t="n">
        <v>12</v>
      </c>
      <c r="H598" s="0" t="n">
        <f aca="false">_xlfn.xlookup(G598, years!A$2:A$836, years!B$2:B$836)</f>
        <v>2009</v>
      </c>
      <c r="I598" s="2" t="n">
        <v>65</v>
      </c>
      <c r="J598" s="0" t="n">
        <v>0.594</v>
      </c>
      <c r="K598" s="0" t="n">
        <v>0.874</v>
      </c>
      <c r="L598" s="3" t="str">
        <f aca="false">IF(K598&gt;0.66,"High",IF(K598&gt;0.33&amp;K598&lt;=0.66,"Medium","Low"))</f>
        <v>High</v>
      </c>
      <c r="M598" s="0" t="n">
        <v>-3.716</v>
      </c>
      <c r="N598" s="3" t="n">
        <v>0.0815</v>
      </c>
      <c r="O598" s="3" t="n">
        <v>0.0116</v>
      </c>
      <c r="P598" s="4" t="n">
        <v>0</v>
      </c>
      <c r="Q598" s="3" t="n">
        <v>0.549</v>
      </c>
      <c r="R598" s="3" t="n">
        <v>0.628</v>
      </c>
      <c r="S598" s="3" t="str">
        <f aca="false">IF(R598 &gt;= 0.5, "Positive", "Negative")</f>
        <v>Positive</v>
      </c>
      <c r="T598" s="2" t="n">
        <v>119.964</v>
      </c>
      <c r="U598" s="0" t="s">
        <v>22</v>
      </c>
    </row>
    <row r="599" customFormat="false" ht="14.25" hidden="false" customHeight="false" outlineLevel="0" collapsed="false">
      <c r="A599" s="0" t="n">
        <v>192</v>
      </c>
      <c r="B599" s="0" t="str">
        <f aca="false">_xlfn.xlookup(A599, artists!A$2:A$836, artists!B$2:B$836)</f>
        <v>Beyoncé</v>
      </c>
      <c r="C599" s="1" t="s">
        <v>641</v>
      </c>
      <c r="D599" s="2" t="n">
        <v>208066</v>
      </c>
      <c r="E599" s="2" t="n">
        <f aca="false">D599/1000</f>
        <v>208.066</v>
      </c>
      <c r="F599" s="10" t="b">
        <f aca="false">FALSE()</f>
        <v>0</v>
      </c>
      <c r="G599" s="0" t="n">
        <v>11</v>
      </c>
      <c r="H599" s="0" t="n">
        <f aca="false">_xlfn.xlookup(G599, years!A$2:A$836, years!B$2:B$836)</f>
        <v>2008</v>
      </c>
      <c r="I599" s="2" t="n">
        <v>48</v>
      </c>
      <c r="J599" s="0" t="n">
        <v>0.694</v>
      </c>
      <c r="K599" s="0" t="n">
        <v>0.825</v>
      </c>
      <c r="L599" s="3" t="str">
        <f aca="false">IF(K599&gt;0.66,"High",IF(K599&gt;0.33&amp;K599&lt;=0.66,"Medium","Low"))</f>
        <v>High</v>
      </c>
      <c r="M599" s="0" t="n">
        <v>-5.986</v>
      </c>
      <c r="N599" s="3" t="n">
        <v>0.111</v>
      </c>
      <c r="O599" s="3" t="n">
        <v>0.0895</v>
      </c>
      <c r="P599" s="4" t="n">
        <v>1.86E-005</v>
      </c>
      <c r="Q599" s="3" t="n">
        <v>0.0618</v>
      </c>
      <c r="R599" s="3" t="n">
        <v>0.788</v>
      </c>
      <c r="S599" s="3" t="str">
        <f aca="false">IF(R599 &gt;= 0.5, "Positive", "Negative")</f>
        <v>Positive</v>
      </c>
      <c r="T599" s="2" t="n">
        <v>121.949</v>
      </c>
      <c r="U599" s="0" t="s">
        <v>33</v>
      </c>
    </row>
    <row r="600" customFormat="false" ht="14.25" hidden="false" customHeight="false" outlineLevel="0" collapsed="false">
      <c r="A600" s="0" t="n">
        <v>269</v>
      </c>
      <c r="B600" s="0" t="str">
        <f aca="false">_xlfn.xlookup(A600, artists!A$2:A$836, artists!B$2:B$836)</f>
        <v>Kanye West</v>
      </c>
      <c r="C600" s="1" t="s">
        <v>642</v>
      </c>
      <c r="D600" s="2" t="n">
        <v>207000</v>
      </c>
      <c r="E600" s="2" t="n">
        <f aca="false">D600/1000</f>
        <v>207</v>
      </c>
      <c r="F600" s="10" t="b">
        <f aca="false">TRUE()</f>
        <v>1</v>
      </c>
      <c r="G600" s="0" t="n">
        <v>10</v>
      </c>
      <c r="H600" s="0" t="n">
        <f aca="false">_xlfn.xlookup(G600, years!A$2:A$836, years!B$2:B$836)</f>
        <v>2007</v>
      </c>
      <c r="I600" s="2" t="n">
        <v>45</v>
      </c>
      <c r="J600" s="0" t="n">
        <v>0.439</v>
      </c>
      <c r="K600" s="0" t="n">
        <v>0.808</v>
      </c>
      <c r="L600" s="3" t="str">
        <f aca="false">IF(K600&gt;0.66,"High",IF(K600&gt;0.33&amp;K600&lt;=0.66,"Medium","Low"))</f>
        <v>High</v>
      </c>
      <c r="M600" s="0" t="n">
        <v>-6.881</v>
      </c>
      <c r="N600" s="3" t="n">
        <v>0.346</v>
      </c>
      <c r="O600" s="3" t="n">
        <v>0.00305</v>
      </c>
      <c r="P600" s="4" t="n">
        <v>0</v>
      </c>
      <c r="Q600" s="3" t="n">
        <v>0.439</v>
      </c>
      <c r="R600" s="3" t="n">
        <v>0.487</v>
      </c>
      <c r="S600" s="3" t="str">
        <f aca="false">IF(R600 &gt;= 0.5, "Positive", "Negative")</f>
        <v>Negative</v>
      </c>
      <c r="T600" s="2" t="n">
        <v>82.962</v>
      </c>
      <c r="U600" s="0" t="s">
        <v>29</v>
      </c>
    </row>
    <row r="601" customFormat="false" ht="14.25" hidden="false" customHeight="false" outlineLevel="0" collapsed="false">
      <c r="A601" s="0" t="n">
        <v>425</v>
      </c>
      <c r="B601" s="0" t="str">
        <f aca="false">_xlfn.xlookup(A601, artists!A$2:A$836, artists!B$2:B$836)</f>
        <v>OneRepublic</v>
      </c>
      <c r="C601" s="1" t="s">
        <v>642</v>
      </c>
      <c r="D601" s="2" t="n">
        <v>253306</v>
      </c>
      <c r="E601" s="2" t="n">
        <f aca="false">D601/1000</f>
        <v>253.306</v>
      </c>
      <c r="F601" s="10" t="b">
        <f aca="false">TRUE()</f>
        <v>1</v>
      </c>
      <c r="G601" s="0" t="n">
        <v>12</v>
      </c>
      <c r="H601" s="0" t="n">
        <f aca="false">_xlfn.xlookup(G601, years!A$2:A$836, years!B$2:B$836)</f>
        <v>2009</v>
      </c>
      <c r="I601" s="2" t="n">
        <v>72</v>
      </c>
      <c r="J601" s="0" t="n">
        <v>0.634</v>
      </c>
      <c r="K601" s="0" t="n">
        <v>0.69</v>
      </c>
      <c r="L601" s="3" t="str">
        <f aca="false">IF(K601&gt;0.66,"High",IF(K601&gt;0.33&amp;K601&lt;=0.66,"Medium","Low"))</f>
        <v>High</v>
      </c>
      <c r="M601" s="0" t="n">
        <v>-7.804</v>
      </c>
      <c r="N601" s="3" t="n">
        <v>0.052</v>
      </c>
      <c r="O601" s="3" t="n">
        <v>0.0771</v>
      </c>
      <c r="P601" s="4" t="n">
        <v>0</v>
      </c>
      <c r="Q601" s="3" t="n">
        <v>0.132</v>
      </c>
      <c r="R601" s="3" t="n">
        <v>0.645</v>
      </c>
      <c r="S601" s="3" t="str">
        <f aca="false">IF(R601 &gt;= 0.5, "Positive", "Negative")</f>
        <v>Positive</v>
      </c>
      <c r="T601" s="2" t="n">
        <v>94.988</v>
      </c>
      <c r="U601" s="0" t="s">
        <v>39</v>
      </c>
    </row>
    <row r="602" customFormat="false" ht="14.25" hidden="false" customHeight="false" outlineLevel="0" collapsed="false">
      <c r="A602" s="0" t="n">
        <v>644</v>
      </c>
      <c r="B602" s="0" t="str">
        <f aca="false">_xlfn.xlookup(A602, artists!A$2:A$836, artists!B$2:B$836)</f>
        <v>The Weeknd</v>
      </c>
      <c r="C602" s="1" t="s">
        <v>643</v>
      </c>
      <c r="D602" s="2" t="n">
        <v>269186</v>
      </c>
      <c r="E602" s="2" t="n">
        <f aca="false">D602/1000</f>
        <v>269.186</v>
      </c>
      <c r="F602" s="10" t="b">
        <f aca="false">FALSE()</f>
        <v>0</v>
      </c>
      <c r="G602" s="0" t="n">
        <v>19</v>
      </c>
      <c r="H602" s="0" t="n">
        <f aca="false">_xlfn.xlookup(G602, years!A$2:A$836, years!B$2:B$836)</f>
        <v>2016</v>
      </c>
      <c r="I602" s="2" t="n">
        <v>78</v>
      </c>
      <c r="J602" s="0" t="n">
        <v>0.773</v>
      </c>
      <c r="K602" s="0" t="n">
        <v>0.819</v>
      </c>
      <c r="L602" s="3" t="str">
        <f aca="false">IF(K602&gt;0.66,"High",IF(K602&gt;0.33&amp;K602&lt;=0.66,"Medium","Low"))</f>
        <v>High</v>
      </c>
      <c r="M602" s="0" t="n">
        <v>-5.946</v>
      </c>
      <c r="N602" s="3" t="n">
        <v>0.118</v>
      </c>
      <c r="O602" s="3" t="n">
        <v>0.428</v>
      </c>
      <c r="P602" s="4" t="n">
        <v>0</v>
      </c>
      <c r="Q602" s="3" t="n">
        <v>0.0679</v>
      </c>
      <c r="R602" s="3" t="n">
        <v>0.585</v>
      </c>
      <c r="S602" s="3" t="str">
        <f aca="false">IF(R602 &gt;= 0.5, "Positive", "Negative")</f>
        <v>Positive</v>
      </c>
      <c r="T602" s="2" t="n">
        <v>92.987</v>
      </c>
      <c r="U602" s="0" t="s">
        <v>33</v>
      </c>
    </row>
    <row r="603" customFormat="false" ht="14.25" hidden="false" customHeight="false" outlineLevel="0" collapsed="false">
      <c r="A603" s="0" t="n">
        <v>136</v>
      </c>
      <c r="B603" s="0" t="str">
        <f aca="false">_xlfn.xlookup(A603, artists!A$2:A$836, artists!B$2:B$836)</f>
        <v>Basement Jaxx</v>
      </c>
      <c r="C603" s="1" t="s">
        <v>644</v>
      </c>
      <c r="D603" s="2" t="n">
        <v>282306</v>
      </c>
      <c r="E603" s="2" t="n">
        <f aca="false">D603/1000</f>
        <v>282.306</v>
      </c>
      <c r="F603" s="10" t="b">
        <f aca="false">FALSE()</f>
        <v>0</v>
      </c>
      <c r="G603" s="0" t="n">
        <v>6</v>
      </c>
      <c r="H603" s="0" t="n">
        <f aca="false">_xlfn.xlookup(G603, years!A$2:A$836, years!B$2:B$836)</f>
        <v>2003</v>
      </c>
      <c r="I603" s="2" t="n">
        <v>0</v>
      </c>
      <c r="J603" s="0" t="n">
        <v>0.571</v>
      </c>
      <c r="K603" s="0" t="n">
        <v>0.968</v>
      </c>
      <c r="L603" s="3" t="str">
        <f aca="false">IF(K603&gt;0.66,"High",IF(K603&gt;0.33&amp;K603&lt;=0.66,"Medium","Low"))</f>
        <v>High</v>
      </c>
      <c r="M603" s="0" t="n">
        <v>-3.092</v>
      </c>
      <c r="N603" s="3" t="n">
        <v>0.162</v>
      </c>
      <c r="O603" s="3" t="n">
        <v>0.0649</v>
      </c>
      <c r="P603" s="4" t="n">
        <v>3.07E-006</v>
      </c>
      <c r="Q603" s="3" t="n">
        <v>0.592</v>
      </c>
      <c r="R603" s="3" t="n">
        <v>0.313</v>
      </c>
      <c r="S603" s="3" t="str">
        <f aca="false">IF(R603 &gt;= 0.5, "Positive", "Negative")</f>
        <v>Negative</v>
      </c>
      <c r="T603" s="2" t="n">
        <v>154.07</v>
      </c>
      <c r="U603" s="0" t="s">
        <v>22</v>
      </c>
    </row>
    <row r="604" customFormat="false" ht="14.25" hidden="false" customHeight="false" outlineLevel="0" collapsed="false">
      <c r="A604" s="0" t="n">
        <v>503</v>
      </c>
      <c r="B604" s="0" t="str">
        <f aca="false">_xlfn.xlookup(A604, artists!A$2:A$836, artists!B$2:B$836)</f>
        <v>Owl City</v>
      </c>
      <c r="C604" s="1" t="s">
        <v>645</v>
      </c>
      <c r="D604" s="2" t="n">
        <v>205933</v>
      </c>
      <c r="E604" s="2" t="n">
        <f aca="false">D604/1000</f>
        <v>205.933</v>
      </c>
      <c r="F604" s="10" t="b">
        <f aca="false">FALSE()</f>
        <v>0</v>
      </c>
      <c r="G604" s="0" t="n">
        <v>15</v>
      </c>
      <c r="H604" s="0" t="n">
        <f aca="false">_xlfn.xlookup(G604, years!A$2:A$836, years!B$2:B$836)</f>
        <v>2012</v>
      </c>
      <c r="I604" s="2" t="n">
        <v>77</v>
      </c>
      <c r="J604" s="0" t="n">
        <v>0.56</v>
      </c>
      <c r="K604" s="0" t="n">
        <v>0.872</v>
      </c>
      <c r="L604" s="3" t="str">
        <f aca="false">IF(K604&gt;0.66,"High",IF(K604&gt;0.33&amp;K604&lt;=0.66,"Medium","Low"))</f>
        <v>High</v>
      </c>
      <c r="M604" s="0" t="n">
        <v>-4.269</v>
      </c>
      <c r="N604" s="3" t="n">
        <v>0.14</v>
      </c>
      <c r="O604" s="3" t="n">
        <v>0.0239</v>
      </c>
      <c r="P604" s="4" t="n">
        <v>6.98E-006</v>
      </c>
      <c r="Q604" s="3" t="n">
        <v>0.371</v>
      </c>
      <c r="R604" s="3" t="n">
        <v>0.682</v>
      </c>
      <c r="S604" s="3" t="str">
        <f aca="false">IF(R604 &gt;= 0.5, "Positive", "Negative")</f>
        <v>Positive</v>
      </c>
      <c r="T604" s="2" t="n">
        <v>126.05</v>
      </c>
      <c r="U604" s="0" t="s">
        <v>35</v>
      </c>
    </row>
    <row r="605" customFormat="false" ht="14.25" hidden="false" customHeight="false" outlineLevel="0" collapsed="false">
      <c r="A605" s="0" t="n">
        <v>284</v>
      </c>
      <c r="B605" s="0" t="str">
        <f aca="false">_xlfn.xlookup(A605, artists!A$2:A$836, artists!B$2:B$836)</f>
        <v>James Blunt</v>
      </c>
      <c r="C605" s="1" t="s">
        <v>646</v>
      </c>
      <c r="D605" s="2" t="n">
        <v>258653</v>
      </c>
      <c r="E605" s="2" t="n">
        <f aca="false">D605/1000</f>
        <v>258.653</v>
      </c>
      <c r="F605" s="10" t="b">
        <f aca="false">FALSE()</f>
        <v>0</v>
      </c>
      <c r="G605" s="0" t="n">
        <v>8</v>
      </c>
      <c r="H605" s="0" t="n">
        <f aca="false">_xlfn.xlookup(G605, years!A$2:A$836, years!B$2:B$836)</f>
        <v>2005</v>
      </c>
      <c r="I605" s="2" t="n">
        <v>67</v>
      </c>
      <c r="J605" s="0" t="n">
        <v>0.432</v>
      </c>
      <c r="K605" s="0" t="n">
        <v>0.261</v>
      </c>
      <c r="L605" s="3" t="str">
        <f aca="false">IF(K605&gt;0.66,"High",IF(K605&gt;0.33&amp;K605&lt;=0.66,"Medium","Low"))</f>
        <v>Low</v>
      </c>
      <c r="M605" s="0" t="n">
        <v>-12.591</v>
      </c>
      <c r="N605" s="3" t="n">
        <v>0.0512</v>
      </c>
      <c r="O605" s="3" t="n">
        <v>0.953</v>
      </c>
      <c r="P605" s="4" t="n">
        <v>0.00342</v>
      </c>
      <c r="Q605" s="3" t="n">
        <v>0.0903</v>
      </c>
      <c r="R605" s="3" t="n">
        <v>0.273</v>
      </c>
      <c r="S605" s="3" t="str">
        <f aca="false">IF(R605 &gt;= 0.5, "Positive", "Negative")</f>
        <v>Negative</v>
      </c>
      <c r="T605" s="2" t="n">
        <v>89.567</v>
      </c>
      <c r="U605" s="0" t="s">
        <v>39</v>
      </c>
    </row>
    <row r="606" customFormat="false" ht="14.25" hidden="false" customHeight="false" outlineLevel="0" collapsed="false">
      <c r="A606" s="0" t="n">
        <v>746</v>
      </c>
      <c r="B606" s="0" t="str">
        <f aca="false">_xlfn.xlookup(A606, artists!A$2:A$836, artists!B$2:B$836)</f>
        <v>Post Malone</v>
      </c>
      <c r="C606" s="1" t="s">
        <v>647</v>
      </c>
      <c r="D606" s="2" t="n">
        <v>174960</v>
      </c>
      <c r="E606" s="2" t="n">
        <f aca="false">D606/1000</f>
        <v>174.96</v>
      </c>
      <c r="F606" s="10" t="b">
        <f aca="false">TRUE()</f>
        <v>1</v>
      </c>
      <c r="G606" s="0" t="n">
        <v>22</v>
      </c>
      <c r="H606" s="0" t="n">
        <f aca="false">_xlfn.xlookup(G606, years!A$2:A$836, years!B$2:B$836)</f>
        <v>2019</v>
      </c>
      <c r="I606" s="2" t="n">
        <v>1</v>
      </c>
      <c r="J606" s="0" t="n">
        <v>0.58</v>
      </c>
      <c r="K606" s="0" t="n">
        <v>0.653</v>
      </c>
      <c r="L606" s="3" t="str">
        <f aca="false">IF(K606&gt;0.66,"High",IF(K606&gt;0.33&amp;K606&lt;=0.66,"Medium","Low"))</f>
        <v>Low</v>
      </c>
      <c r="M606" s="0" t="n">
        <v>-3.818</v>
      </c>
      <c r="N606" s="3" t="n">
        <v>0.0745</v>
      </c>
      <c r="O606" s="3" t="n">
        <v>0.447</v>
      </c>
      <c r="P606" s="4" t="n">
        <v>0</v>
      </c>
      <c r="Q606" s="3" t="n">
        <v>0.111</v>
      </c>
      <c r="R606" s="3" t="n">
        <v>0.175</v>
      </c>
      <c r="S606" s="3" t="str">
        <f aca="false">IF(R606 &gt;= 0.5, "Positive", "Negative")</f>
        <v>Negative</v>
      </c>
      <c r="T606" s="2" t="n">
        <v>150.231</v>
      </c>
      <c r="U606" s="0" t="s">
        <v>29</v>
      </c>
    </row>
    <row r="607" customFormat="false" ht="14.25" hidden="false" customHeight="false" outlineLevel="0" collapsed="false">
      <c r="A607" s="0" t="n">
        <v>249</v>
      </c>
      <c r="B607" s="0" t="str">
        <f aca="false">_xlfn.xlookup(A607, artists!A$2:A$836, artists!B$2:B$836)</f>
        <v>Ciara</v>
      </c>
      <c r="C607" s="1" t="s">
        <v>648</v>
      </c>
      <c r="D607" s="2" t="n">
        <v>223000</v>
      </c>
      <c r="E607" s="2" t="n">
        <f aca="false">D607/1000</f>
        <v>223</v>
      </c>
      <c r="F607" s="10" t="b">
        <f aca="false">FALSE()</f>
        <v>0</v>
      </c>
      <c r="G607" s="0" t="n">
        <v>7</v>
      </c>
      <c r="H607" s="0" t="n">
        <f aca="false">_xlfn.xlookup(G607, years!A$2:A$836, years!B$2:B$836)</f>
        <v>2004</v>
      </c>
      <c r="I607" s="2" t="n">
        <v>67</v>
      </c>
      <c r="J607" s="0" t="n">
        <v>0.826</v>
      </c>
      <c r="K607" s="0" t="n">
        <v>0.647</v>
      </c>
      <c r="L607" s="3" t="str">
        <f aca="false">IF(K607&gt;0.66,"High",IF(K607&gt;0.33&amp;K607&lt;=0.66,"Medium","Low"))</f>
        <v>Low</v>
      </c>
      <c r="M607" s="0" t="n">
        <v>-6.306</v>
      </c>
      <c r="N607" s="3" t="n">
        <v>0.0491</v>
      </c>
      <c r="O607" s="3" t="n">
        <v>0.0277</v>
      </c>
      <c r="P607" s="4" t="n">
        <v>1.52E-006</v>
      </c>
      <c r="Q607" s="3" t="n">
        <v>0.298</v>
      </c>
      <c r="R607" s="3" t="n">
        <v>0.872</v>
      </c>
      <c r="S607" s="3" t="str">
        <f aca="false">IF(R607 &gt;= 0.5, "Positive", "Negative")</f>
        <v>Positive</v>
      </c>
      <c r="T607" s="2" t="n">
        <v>102.017</v>
      </c>
      <c r="U607" s="0" t="s">
        <v>33</v>
      </c>
    </row>
    <row r="608" customFormat="false" ht="14.25" hidden="false" customHeight="false" outlineLevel="0" collapsed="false">
      <c r="A608" s="0" t="n">
        <v>176</v>
      </c>
      <c r="B608" s="0" t="str">
        <f aca="false">_xlfn.xlookup(A608, artists!A$2:A$836, artists!B$2:B$836)</f>
        <v>Justin Timberlake</v>
      </c>
      <c r="C608" s="1" t="s">
        <v>649</v>
      </c>
      <c r="D608" s="2" t="n">
        <v>236001</v>
      </c>
      <c r="E608" s="2" t="n">
        <f aca="false">D608/1000</f>
        <v>236.001</v>
      </c>
      <c r="F608" s="10" t="b">
        <f aca="false">FALSE()</f>
        <v>0</v>
      </c>
      <c r="G608" s="0" t="n">
        <v>19</v>
      </c>
      <c r="H608" s="0" t="n">
        <f aca="false">_xlfn.xlookup(G608, years!A$2:A$836, years!B$2:B$836)</f>
        <v>2016</v>
      </c>
      <c r="I608" s="2" t="n">
        <v>76</v>
      </c>
      <c r="J608" s="0" t="n">
        <v>0.666</v>
      </c>
      <c r="K608" s="0" t="n">
        <v>0.83</v>
      </c>
      <c r="L608" s="3" t="str">
        <f aca="false">IF(K608&gt;0.66,"High",IF(K608&gt;0.33&amp;K608&lt;=0.66,"Medium","Low"))</f>
        <v>High</v>
      </c>
      <c r="M608" s="0" t="n">
        <v>-5.715</v>
      </c>
      <c r="N608" s="3" t="n">
        <v>0.0751</v>
      </c>
      <c r="O608" s="3" t="n">
        <v>0.0123</v>
      </c>
      <c r="P608" s="4" t="n">
        <v>0</v>
      </c>
      <c r="Q608" s="3" t="n">
        <v>0.191</v>
      </c>
      <c r="R608" s="3" t="n">
        <v>0.702</v>
      </c>
      <c r="S608" s="3" t="str">
        <f aca="false">IF(R608 &gt;= 0.5, "Positive", "Negative")</f>
        <v>Positive</v>
      </c>
      <c r="T608" s="2" t="n">
        <v>113.03</v>
      </c>
      <c r="U608" s="0" t="s">
        <v>39</v>
      </c>
    </row>
    <row r="609" customFormat="false" ht="14.25" hidden="false" customHeight="false" outlineLevel="0" collapsed="false">
      <c r="A609" s="0" t="n">
        <v>41</v>
      </c>
      <c r="B609" s="0" t="str">
        <f aca="false">_xlfn.xlookup(A609, artists!A$2:A$836, artists!B$2:B$836)</f>
        <v>Missy Elliott</v>
      </c>
      <c r="C609" s="1" t="s">
        <v>650</v>
      </c>
      <c r="D609" s="2" t="n">
        <v>234893</v>
      </c>
      <c r="E609" s="2" t="n">
        <f aca="false">D609/1000</f>
        <v>234.893</v>
      </c>
      <c r="F609" s="10" t="b">
        <f aca="false">TRUE()</f>
        <v>1</v>
      </c>
      <c r="G609" s="0" t="n">
        <v>5</v>
      </c>
      <c r="H609" s="0" t="n">
        <f aca="false">_xlfn.xlookup(G609, years!A$2:A$836, years!B$2:B$836)</f>
        <v>2002</v>
      </c>
      <c r="I609" s="2" t="n">
        <v>57</v>
      </c>
      <c r="J609" s="0" t="n">
        <v>0.707</v>
      </c>
      <c r="K609" s="0" t="n">
        <v>0.538</v>
      </c>
      <c r="L609" s="3" t="str">
        <f aca="false">IF(K609&gt;0.66,"High",IF(K609&gt;0.33&amp;K609&lt;=0.66,"Medium","Low"))</f>
        <v>Low</v>
      </c>
      <c r="M609" s="0" t="n">
        <v>-5.264</v>
      </c>
      <c r="N609" s="3" t="n">
        <v>0.505</v>
      </c>
      <c r="O609" s="3" t="n">
        <v>0.362</v>
      </c>
      <c r="P609" s="4" t="n">
        <v>0</v>
      </c>
      <c r="Q609" s="3" t="n">
        <v>0.317</v>
      </c>
      <c r="R609" s="3" t="n">
        <v>0.439</v>
      </c>
      <c r="S609" s="3" t="str">
        <f aca="false">IF(R609 &gt;= 0.5, "Positive", "Negative")</f>
        <v>Negative</v>
      </c>
      <c r="T609" s="2" t="n">
        <v>121.732</v>
      </c>
      <c r="U609" s="0" t="s">
        <v>31</v>
      </c>
    </row>
    <row r="610" customFormat="false" ht="14.25" hidden="false" customHeight="false" outlineLevel="0" collapsed="false">
      <c r="A610" s="0" t="n">
        <v>402</v>
      </c>
      <c r="B610" s="0" t="str">
        <f aca="false">_xlfn.xlookup(A610, artists!A$2:A$836, artists!B$2:B$836)</f>
        <v>Lil Wayne</v>
      </c>
      <c r="C610" s="1" t="s">
        <v>651</v>
      </c>
      <c r="D610" s="2" t="n">
        <v>244626</v>
      </c>
      <c r="E610" s="2" t="n">
        <f aca="false">D610/1000</f>
        <v>244.626</v>
      </c>
      <c r="F610" s="10" t="b">
        <f aca="false">TRUE()</f>
        <v>1</v>
      </c>
      <c r="G610" s="0" t="n">
        <v>11</v>
      </c>
      <c r="H610" s="0" t="n">
        <f aca="false">_xlfn.xlookup(G610, years!A$2:A$836, years!B$2:B$836)</f>
        <v>2008</v>
      </c>
      <c r="I610" s="2" t="n">
        <v>58</v>
      </c>
      <c r="J610" s="0" t="n">
        <v>0.694</v>
      </c>
      <c r="K610" s="0" t="n">
        <v>0.661</v>
      </c>
      <c r="L610" s="3" t="str">
        <f aca="false">IF(K610&gt;0.66,"High",IF(K610&gt;0.33&amp;K610&lt;=0.66,"Medium","Low"))</f>
        <v>High</v>
      </c>
      <c r="M610" s="0" t="n">
        <v>-4.847</v>
      </c>
      <c r="N610" s="3" t="n">
        <v>0.118</v>
      </c>
      <c r="O610" s="3" t="n">
        <v>0.00188</v>
      </c>
      <c r="P610" s="4" t="n">
        <v>0</v>
      </c>
      <c r="Q610" s="3" t="n">
        <v>0.676</v>
      </c>
      <c r="R610" s="3" t="n">
        <v>0.702</v>
      </c>
      <c r="S610" s="3" t="str">
        <f aca="false">IF(R610 &gt;= 0.5, "Positive", "Negative")</f>
        <v>Positive</v>
      </c>
      <c r="T610" s="2" t="n">
        <v>82.48</v>
      </c>
      <c r="U610" s="0" t="s">
        <v>24</v>
      </c>
    </row>
    <row r="611" customFormat="false" ht="14.25" hidden="false" customHeight="false" outlineLevel="0" collapsed="false">
      <c r="A611" s="0" t="n">
        <v>102</v>
      </c>
      <c r="B611" s="0" t="str">
        <f aca="false">_xlfn.xlookup(A611, artists!A$2:A$836, artists!B$2:B$836)</f>
        <v>Nickelback</v>
      </c>
      <c r="C611" s="1" t="s">
        <v>652</v>
      </c>
      <c r="D611" s="2" t="n">
        <v>252653</v>
      </c>
      <c r="E611" s="2" t="n">
        <f aca="false">D611/1000</f>
        <v>252.653</v>
      </c>
      <c r="F611" s="10" t="b">
        <f aca="false">FALSE()</f>
        <v>0</v>
      </c>
      <c r="G611" s="0" t="n">
        <v>11</v>
      </c>
      <c r="H611" s="0" t="n">
        <f aca="false">_xlfn.xlookup(G611, years!A$2:A$836, years!B$2:B$836)</f>
        <v>2008</v>
      </c>
      <c r="I611" s="2" t="n">
        <v>62</v>
      </c>
      <c r="J611" s="0" t="n">
        <v>0.536</v>
      </c>
      <c r="K611" s="0" t="n">
        <v>0.89</v>
      </c>
      <c r="L611" s="3" t="str">
        <f aca="false">IF(K611&gt;0.66,"High",IF(K611&gt;0.33&amp;K611&lt;=0.66,"Medium","Low"))</f>
        <v>High</v>
      </c>
      <c r="M611" s="0" t="n">
        <v>-5.222</v>
      </c>
      <c r="N611" s="3" t="n">
        <v>0.0601</v>
      </c>
      <c r="O611" s="3" t="n">
        <v>0.000354</v>
      </c>
      <c r="P611" s="4" t="n">
        <v>0.00165</v>
      </c>
      <c r="Q611" s="3" t="n">
        <v>0.133</v>
      </c>
      <c r="R611" s="3" t="n">
        <v>0.205</v>
      </c>
      <c r="S611" s="3" t="str">
        <f aca="false">IF(R611 &gt;= 0.5, "Positive", "Negative")</f>
        <v>Negative</v>
      </c>
      <c r="T611" s="2" t="n">
        <v>115.998</v>
      </c>
      <c r="U611" s="0" t="s">
        <v>81</v>
      </c>
    </row>
    <row r="612" customFormat="false" ht="14.25" hidden="false" customHeight="false" outlineLevel="0" collapsed="false">
      <c r="A612" s="0" t="n">
        <v>130</v>
      </c>
      <c r="B612" s="0" t="str">
        <f aca="false">_xlfn.xlookup(A612, artists!A$2:A$836, artists!B$2:B$836)</f>
        <v>Daniel Bedingfield</v>
      </c>
      <c r="C612" s="1" t="s">
        <v>653</v>
      </c>
      <c r="D612" s="2" t="n">
        <v>162333</v>
      </c>
      <c r="E612" s="2" t="n">
        <f aca="false">D612/1000</f>
        <v>162.333</v>
      </c>
      <c r="F612" s="10" t="b">
        <f aca="false">FALSE()</f>
        <v>0</v>
      </c>
      <c r="G612" s="0" t="n">
        <v>5</v>
      </c>
      <c r="H612" s="0" t="n">
        <f aca="false">_xlfn.xlookup(G612, years!A$2:A$836, years!B$2:B$836)</f>
        <v>2002</v>
      </c>
      <c r="I612" s="2" t="n">
        <v>46</v>
      </c>
      <c r="J612" s="0" t="n">
        <v>0.836</v>
      </c>
      <c r="K612" s="0" t="n">
        <v>0.762</v>
      </c>
      <c r="L612" s="3" t="str">
        <f aca="false">IF(K612&gt;0.66,"High",IF(K612&gt;0.33&amp;K612&lt;=0.66,"Medium","Low"))</f>
        <v>High</v>
      </c>
      <c r="M612" s="0" t="n">
        <v>-5.044</v>
      </c>
      <c r="N612" s="3" t="n">
        <v>0.0598</v>
      </c>
      <c r="O612" s="3" t="n">
        <v>0.0826</v>
      </c>
      <c r="P612" s="4" t="n">
        <v>5.48E-005</v>
      </c>
      <c r="Q612" s="3" t="n">
        <v>0.102</v>
      </c>
      <c r="R612" s="3" t="n">
        <v>0.941</v>
      </c>
      <c r="S612" s="3" t="str">
        <f aca="false">IF(R612 &gt;= 0.5, "Positive", "Negative")</f>
        <v>Positive</v>
      </c>
      <c r="T612" s="2" t="n">
        <v>133.592</v>
      </c>
      <c r="U612" s="0" t="s">
        <v>39</v>
      </c>
    </row>
    <row r="613" customFormat="false" ht="14.25" hidden="false" customHeight="false" outlineLevel="0" collapsed="false">
      <c r="A613" s="0" t="n">
        <v>130</v>
      </c>
      <c r="B613" s="0" t="str">
        <f aca="false">_xlfn.xlookup(A613, artists!A$2:A$836, artists!B$2:B$836)</f>
        <v>Daniel Bedingfield</v>
      </c>
      <c r="C613" s="1" t="s">
        <v>653</v>
      </c>
      <c r="D613" s="2" t="n">
        <v>161240</v>
      </c>
      <c r="E613" s="2" t="n">
        <f aca="false">D613/1000</f>
        <v>161.24</v>
      </c>
      <c r="F613" s="10" t="b">
        <f aca="false">FALSE()</f>
        <v>0</v>
      </c>
      <c r="G613" s="0" t="n">
        <v>5</v>
      </c>
      <c r="H613" s="0" t="n">
        <f aca="false">_xlfn.xlookup(G613, years!A$2:A$836, years!B$2:B$836)</f>
        <v>2002</v>
      </c>
      <c r="I613" s="2" t="n">
        <v>56</v>
      </c>
      <c r="J613" s="0" t="n">
        <v>0.838</v>
      </c>
      <c r="K613" s="0" t="n">
        <v>0.764</v>
      </c>
      <c r="L613" s="3" t="str">
        <f aca="false">IF(K613&gt;0.66,"High",IF(K613&gt;0.33&amp;K613&lt;=0.66,"Medium","Low"))</f>
        <v>High</v>
      </c>
      <c r="M613" s="0" t="n">
        <v>-5.076</v>
      </c>
      <c r="N613" s="3" t="n">
        <v>0.0586</v>
      </c>
      <c r="O613" s="3" t="n">
        <v>0.0862</v>
      </c>
      <c r="P613" s="4" t="n">
        <v>0.000122</v>
      </c>
      <c r="Q613" s="3" t="n">
        <v>0.0906</v>
      </c>
      <c r="R613" s="3" t="n">
        <v>0.924</v>
      </c>
      <c r="S613" s="3" t="str">
        <f aca="false">IF(R613 &gt;= 0.5, "Positive", "Negative")</f>
        <v>Positive</v>
      </c>
      <c r="T613" s="2" t="n">
        <v>133.592</v>
      </c>
      <c r="U613" s="0" t="s">
        <v>39</v>
      </c>
    </row>
    <row r="614" customFormat="false" ht="14.25" hidden="false" customHeight="false" outlineLevel="0" collapsed="false">
      <c r="A614" s="0" t="n">
        <v>43</v>
      </c>
      <c r="B614" s="0" t="str">
        <f aca="false">_xlfn.xlookup(A614, artists!A$2:A$836, artists!B$2:B$836)</f>
        <v>Samantha Mumba</v>
      </c>
      <c r="C614" s="1" t="s">
        <v>654</v>
      </c>
      <c r="D614" s="2" t="n">
        <v>201946</v>
      </c>
      <c r="E614" s="2" t="n">
        <f aca="false">D614/1000</f>
        <v>201.946</v>
      </c>
      <c r="F614" s="10" t="b">
        <f aca="false">FALSE()</f>
        <v>0</v>
      </c>
      <c r="G614" s="0" t="n">
        <v>21</v>
      </c>
      <c r="H614" s="0" t="n">
        <f aca="false">_xlfn.xlookup(G614, years!A$2:A$836, years!B$2:B$836)</f>
        <v>2018</v>
      </c>
      <c r="I614" s="2" t="n">
        <v>43</v>
      </c>
      <c r="J614" s="0" t="n">
        <v>0.729</v>
      </c>
      <c r="K614" s="0" t="n">
        <v>0.632</v>
      </c>
      <c r="L614" s="3" t="str">
        <f aca="false">IF(K614&gt;0.66,"High",IF(K614&gt;0.33&amp;K614&lt;=0.66,"Medium","Low"))</f>
        <v>Low</v>
      </c>
      <c r="M614" s="0" t="n">
        <v>-8.75</v>
      </c>
      <c r="N614" s="3" t="n">
        <v>0.0279</v>
      </c>
      <c r="O614" s="3" t="n">
        <v>0.191</v>
      </c>
      <c r="P614" s="4" t="n">
        <v>0</v>
      </c>
      <c r="Q614" s="3" t="n">
        <v>0.166</v>
      </c>
      <c r="R614" s="3" t="n">
        <v>0.774</v>
      </c>
      <c r="S614" s="3" t="str">
        <f aca="false">IF(R614 &gt;= 0.5, "Positive", "Negative")</f>
        <v>Positive</v>
      </c>
      <c r="T614" s="2" t="n">
        <v>109.981</v>
      </c>
      <c r="U614" s="0" t="s">
        <v>39</v>
      </c>
    </row>
    <row r="615" customFormat="false" ht="14.25" hidden="false" customHeight="false" outlineLevel="0" collapsed="false">
      <c r="A615" s="0" t="n">
        <v>386</v>
      </c>
      <c r="B615" s="0" t="str">
        <f aca="false">_xlfn.xlookup(A615, artists!A$2:A$836, artists!B$2:B$836)</f>
        <v>MIKA</v>
      </c>
      <c r="C615" s="1" t="s">
        <v>655</v>
      </c>
      <c r="D615" s="2" t="n">
        <v>187733</v>
      </c>
      <c r="E615" s="2" t="n">
        <f aca="false">D615/1000</f>
        <v>187.733</v>
      </c>
      <c r="F615" s="10" t="b">
        <f aca="false">FALSE()</f>
        <v>0</v>
      </c>
      <c r="G615" s="0" t="n">
        <v>9</v>
      </c>
      <c r="H615" s="0" t="n">
        <f aca="false">_xlfn.xlookup(G615, years!A$2:A$836, years!B$2:B$836)</f>
        <v>2006</v>
      </c>
      <c r="I615" s="2" t="n">
        <v>69</v>
      </c>
      <c r="J615" s="0" t="n">
        <v>0.675</v>
      </c>
      <c r="K615" s="0" t="n">
        <v>0.828</v>
      </c>
      <c r="L615" s="3" t="str">
        <f aca="false">IF(K615&gt;0.66,"High",IF(K615&gt;0.33&amp;K615&lt;=0.66,"Medium","Low"))</f>
        <v>High</v>
      </c>
      <c r="M615" s="0" t="n">
        <v>-5.799</v>
      </c>
      <c r="N615" s="3" t="n">
        <v>0.0454</v>
      </c>
      <c r="O615" s="3" t="n">
        <v>0.0242</v>
      </c>
      <c r="P615" s="4" t="n">
        <v>0.0102</v>
      </c>
      <c r="Q615" s="3" t="n">
        <v>0.364</v>
      </c>
      <c r="R615" s="3" t="n">
        <v>0.669</v>
      </c>
      <c r="S615" s="3" t="str">
        <f aca="false">IF(R615 &gt;= 0.5, "Positive", "Negative")</f>
        <v>Positive</v>
      </c>
      <c r="T615" s="2" t="n">
        <v>122.229</v>
      </c>
      <c r="U615" s="0" t="s">
        <v>39</v>
      </c>
    </row>
    <row r="616" customFormat="false" ht="14.25" hidden="false" customHeight="false" outlineLevel="0" collapsed="false">
      <c r="A616" s="0" t="n">
        <v>433</v>
      </c>
      <c r="B616" s="0" t="str">
        <f aca="false">_xlfn.xlookup(A616, artists!A$2:A$836, artists!B$2:B$836)</f>
        <v>John Legend</v>
      </c>
      <c r="C616" s="1" t="s">
        <v>656</v>
      </c>
      <c r="D616" s="2" t="n">
        <v>284186</v>
      </c>
      <c r="E616" s="2" t="n">
        <f aca="false">D616/1000</f>
        <v>284.186</v>
      </c>
      <c r="F616" s="10" t="b">
        <f aca="false">FALSE()</f>
        <v>0</v>
      </c>
      <c r="G616" s="0" t="n">
        <v>11</v>
      </c>
      <c r="H616" s="0" t="n">
        <f aca="false">_xlfn.xlookup(G616, years!A$2:A$836, years!B$2:B$836)</f>
        <v>2008</v>
      </c>
      <c r="I616" s="2" t="n">
        <v>55</v>
      </c>
      <c r="J616" s="0" t="n">
        <v>0.622</v>
      </c>
      <c r="K616" s="0" t="n">
        <v>0.882</v>
      </c>
      <c r="L616" s="3" t="str">
        <f aca="false">IF(K616&gt;0.66,"High",IF(K616&gt;0.33&amp;K616&lt;=0.66,"Medium","Low"))</f>
        <v>High</v>
      </c>
      <c r="M616" s="0" t="n">
        <v>-5.59</v>
      </c>
      <c r="N616" s="3" t="n">
        <v>0.119</v>
      </c>
      <c r="O616" s="3" t="n">
        <v>0.0912</v>
      </c>
      <c r="P616" s="4" t="n">
        <v>0</v>
      </c>
      <c r="Q616" s="3" t="n">
        <v>0.216</v>
      </c>
      <c r="R616" s="3" t="n">
        <v>0.762</v>
      </c>
      <c r="S616" s="3" t="str">
        <f aca="false">IF(R616 &gt;= 0.5, "Positive", "Negative")</f>
        <v>Positive</v>
      </c>
      <c r="T616" s="2" t="n">
        <v>77.506</v>
      </c>
      <c r="U616" s="0" t="s">
        <v>33</v>
      </c>
    </row>
    <row r="617" customFormat="false" ht="14.25" hidden="false" customHeight="false" outlineLevel="0" collapsed="false">
      <c r="A617" s="0" t="n">
        <v>469</v>
      </c>
      <c r="B617" s="0" t="str">
        <f aca="false">_xlfn.xlookup(A617, artists!A$2:A$836, artists!B$2:B$836)</f>
        <v>Bruno Mars</v>
      </c>
      <c r="C617" s="1" t="s">
        <v>657</v>
      </c>
      <c r="D617" s="2" t="n">
        <v>222091</v>
      </c>
      <c r="E617" s="2" t="n">
        <f aca="false">D617/1000</f>
        <v>222.091</v>
      </c>
      <c r="F617" s="10" t="b">
        <f aca="false">FALSE()</f>
        <v>0</v>
      </c>
      <c r="G617" s="0" t="n">
        <v>13</v>
      </c>
      <c r="H617" s="0" t="n">
        <f aca="false">_xlfn.xlookup(G617, years!A$2:A$836, years!B$2:B$836)</f>
        <v>2010</v>
      </c>
      <c r="I617" s="2" t="n">
        <v>78</v>
      </c>
      <c r="J617" s="0" t="n">
        <v>0.704</v>
      </c>
      <c r="K617" s="0" t="n">
        <v>0.558</v>
      </c>
      <c r="L617" s="3" t="str">
        <f aca="false">IF(K617&gt;0.66,"High",IF(K617&gt;0.33&amp;K617&lt;=0.66,"Medium","Low"))</f>
        <v>Low</v>
      </c>
      <c r="M617" s="0" t="n">
        <v>-7.273</v>
      </c>
      <c r="N617" s="3" t="n">
        <v>0.0542</v>
      </c>
      <c r="O617" s="3" t="n">
        <v>0.148</v>
      </c>
      <c r="P617" s="4" t="n">
        <v>0</v>
      </c>
      <c r="Q617" s="3" t="n">
        <v>0.107</v>
      </c>
      <c r="R617" s="3" t="n">
        <v>0.245</v>
      </c>
      <c r="S617" s="3" t="str">
        <f aca="false">IF(R617 &gt;= 0.5, "Positive", "Negative")</f>
        <v>Negative</v>
      </c>
      <c r="T617" s="2" t="n">
        <v>110.444</v>
      </c>
      <c r="U617" s="0" t="s">
        <v>39</v>
      </c>
    </row>
    <row r="618" customFormat="false" ht="14.25" hidden="false" customHeight="false" outlineLevel="0" collapsed="false">
      <c r="A618" s="0" t="n">
        <v>81</v>
      </c>
      <c r="B618" s="0" t="str">
        <f aca="false">_xlfn.xlookup(A618, artists!A$2:A$836, artists!B$2:B$836)</f>
        <v>Nelly</v>
      </c>
      <c r="C618" s="1" t="s">
        <v>658</v>
      </c>
      <c r="D618" s="2" t="n">
        <v>271160</v>
      </c>
      <c r="E618" s="2" t="n">
        <f aca="false">D618/1000</f>
        <v>271.16</v>
      </c>
      <c r="F618" s="10" t="b">
        <f aca="false">FALSE()</f>
        <v>0</v>
      </c>
      <c r="G618" s="0" t="n">
        <v>8</v>
      </c>
      <c r="H618" s="0" t="n">
        <f aca="false">_xlfn.xlookup(G618, years!A$2:A$836, years!B$2:B$836)</f>
        <v>2005</v>
      </c>
      <c r="I618" s="2" t="n">
        <v>60</v>
      </c>
      <c r="J618" s="0" t="n">
        <v>0.867</v>
      </c>
      <c r="K618" s="0" t="n">
        <v>0.504</v>
      </c>
      <c r="L618" s="3" t="str">
        <f aca="false">IF(K618&gt;0.66,"High",IF(K618&gt;0.33&amp;K618&lt;=0.66,"Medium","Low"))</f>
        <v>Low</v>
      </c>
      <c r="M618" s="0" t="n">
        <v>-7.737</v>
      </c>
      <c r="N618" s="3" t="n">
        <v>0.241</v>
      </c>
      <c r="O618" s="3" t="n">
        <v>0.0358</v>
      </c>
      <c r="P618" s="4" t="n">
        <v>0</v>
      </c>
      <c r="Q618" s="3" t="n">
        <v>0.307</v>
      </c>
      <c r="R618" s="3" t="n">
        <v>0.84</v>
      </c>
      <c r="S618" s="3" t="str">
        <f aca="false">IF(R618 &gt;= 0.5, "Positive", "Negative")</f>
        <v>Positive</v>
      </c>
      <c r="T618" s="2" t="n">
        <v>82.996</v>
      </c>
      <c r="U618" s="0" t="s">
        <v>31</v>
      </c>
    </row>
    <row r="619" customFormat="false" ht="14.25" hidden="false" customHeight="false" outlineLevel="0" collapsed="false">
      <c r="A619" s="0" t="n">
        <v>300</v>
      </c>
      <c r="B619" s="0" t="str">
        <f aca="false">_xlfn.xlookup(A619, artists!A$2:A$836, artists!B$2:B$836)</f>
        <v>Pretty Ricky</v>
      </c>
      <c r="C619" s="1" t="s">
        <v>659</v>
      </c>
      <c r="D619" s="2" t="n">
        <v>237733</v>
      </c>
      <c r="E619" s="2" t="n">
        <f aca="false">D619/1000</f>
        <v>237.733</v>
      </c>
      <c r="F619" s="10" t="b">
        <f aca="false">TRUE()</f>
        <v>1</v>
      </c>
      <c r="G619" s="0" t="n">
        <v>8</v>
      </c>
      <c r="H619" s="0" t="n">
        <f aca="false">_xlfn.xlookup(G619, years!A$2:A$836, years!B$2:B$836)</f>
        <v>2005</v>
      </c>
      <c r="I619" s="2" t="n">
        <v>63</v>
      </c>
      <c r="J619" s="0" t="n">
        <v>0.7</v>
      </c>
      <c r="K619" s="0" t="n">
        <v>0.538</v>
      </c>
      <c r="L619" s="3" t="str">
        <f aca="false">IF(K619&gt;0.66,"High",IF(K619&gt;0.33&amp;K619&lt;=0.66,"Medium","Low"))</f>
        <v>Low</v>
      </c>
      <c r="M619" s="0" t="n">
        <v>-5.952</v>
      </c>
      <c r="N619" s="3" t="n">
        <v>0.045</v>
      </c>
      <c r="O619" s="3" t="n">
        <v>0.000204</v>
      </c>
      <c r="P619" s="4" t="n">
        <v>0</v>
      </c>
      <c r="Q619" s="3" t="n">
        <v>0.105</v>
      </c>
      <c r="R619" s="3" t="n">
        <v>0.189</v>
      </c>
      <c r="S619" s="3" t="str">
        <f aca="false">IF(R619 &gt;= 0.5, "Positive", "Negative")</f>
        <v>Negative</v>
      </c>
      <c r="T619" s="2" t="n">
        <v>136.518</v>
      </c>
      <c r="U619" s="0" t="s">
        <v>31</v>
      </c>
    </row>
    <row r="620" customFormat="false" ht="14.25" hidden="false" customHeight="false" outlineLevel="0" collapsed="false">
      <c r="A620" s="0" t="n">
        <v>737</v>
      </c>
      <c r="B620" s="0" t="str">
        <f aca="false">_xlfn.xlookup(A620, artists!A$2:A$836, artists!B$2:B$836)</f>
        <v>Lil Pump</v>
      </c>
      <c r="C620" s="1" t="s">
        <v>660</v>
      </c>
      <c r="D620" s="2" t="n">
        <v>124055</v>
      </c>
      <c r="E620" s="2" t="n">
        <f aca="false">D620/1000</f>
        <v>124.055</v>
      </c>
      <c r="F620" s="10" t="b">
        <f aca="false">TRUE()</f>
        <v>1</v>
      </c>
      <c r="G620" s="0" t="n">
        <v>20</v>
      </c>
      <c r="H620" s="0" t="n">
        <f aca="false">_xlfn.xlookup(G620, years!A$2:A$836, years!B$2:B$836)</f>
        <v>2017</v>
      </c>
      <c r="I620" s="2" t="n">
        <v>64</v>
      </c>
      <c r="J620" s="0" t="n">
        <v>0.936</v>
      </c>
      <c r="K620" s="0" t="n">
        <v>0.523</v>
      </c>
      <c r="L620" s="3" t="str">
        <f aca="false">IF(K620&gt;0.66,"High",IF(K620&gt;0.33&amp;K620&lt;=0.66,"Medium","Low"))</f>
        <v>Low</v>
      </c>
      <c r="M620" s="0" t="n">
        <v>-6.71</v>
      </c>
      <c r="N620" s="3" t="n">
        <v>0.0597</v>
      </c>
      <c r="O620" s="3" t="n">
        <v>0.239</v>
      </c>
      <c r="P620" s="4" t="n">
        <v>0</v>
      </c>
      <c r="Q620" s="3" t="n">
        <v>0.117</v>
      </c>
      <c r="R620" s="3" t="n">
        <v>0.699</v>
      </c>
      <c r="S620" s="3" t="str">
        <f aca="false">IF(R620 &gt;= 0.5, "Positive", "Negative")</f>
        <v>Positive</v>
      </c>
      <c r="T620" s="2" t="n">
        <v>119.889</v>
      </c>
      <c r="U620" s="0" t="s">
        <v>29</v>
      </c>
    </row>
    <row r="621" customFormat="false" ht="14.25" hidden="false" customHeight="false" outlineLevel="0" collapsed="false">
      <c r="A621" s="0" t="n">
        <v>759</v>
      </c>
      <c r="B621" s="0" t="str">
        <f aca="false">_xlfn.xlookup(A621, artists!A$2:A$836, artists!B$2:B$836)</f>
        <v>6ix9ine</v>
      </c>
      <c r="C621" s="1" t="s">
        <v>661</v>
      </c>
      <c r="D621" s="2" t="n">
        <v>157643</v>
      </c>
      <c r="E621" s="2" t="n">
        <f aca="false">D621/1000</f>
        <v>157.643</v>
      </c>
      <c r="F621" s="10" t="b">
        <f aca="false">TRUE()</f>
        <v>1</v>
      </c>
      <c r="G621" s="0" t="n">
        <v>21</v>
      </c>
      <c r="H621" s="0" t="n">
        <f aca="false">_xlfn.xlookup(G621, years!A$2:A$836, years!B$2:B$836)</f>
        <v>2018</v>
      </c>
      <c r="I621" s="2" t="n">
        <v>63</v>
      </c>
      <c r="J621" s="0" t="n">
        <v>0.66</v>
      </c>
      <c r="K621" s="0" t="n">
        <v>0.775</v>
      </c>
      <c r="L621" s="3" t="str">
        <f aca="false">IF(K621&gt;0.66,"High",IF(K621&gt;0.33&amp;K621&lt;=0.66,"Medium","Low"))</f>
        <v>High</v>
      </c>
      <c r="M621" s="0" t="n">
        <v>-4.926</v>
      </c>
      <c r="N621" s="3" t="n">
        <v>0.172</v>
      </c>
      <c r="O621" s="3" t="n">
        <v>0.0553</v>
      </c>
      <c r="P621" s="4" t="n">
        <v>0</v>
      </c>
      <c r="Q621" s="3" t="n">
        <v>0.129</v>
      </c>
      <c r="R621" s="3" t="n">
        <v>0.635</v>
      </c>
      <c r="S621" s="3" t="str">
        <f aca="false">IF(R621 &gt;= 0.5, "Positive", "Negative")</f>
        <v>Positive</v>
      </c>
      <c r="T621" s="2" t="n">
        <v>157.036</v>
      </c>
      <c r="U621" s="0" t="s">
        <v>29</v>
      </c>
    </row>
    <row r="622" customFormat="false" ht="14.25" hidden="false" customHeight="false" outlineLevel="0" collapsed="false">
      <c r="A622" s="0" t="n">
        <v>608</v>
      </c>
      <c r="B622" s="0" t="str">
        <f aca="false">_xlfn.xlookup(A622, artists!A$2:A$836, artists!B$2:B$836)</f>
        <v>Tove Lo</v>
      </c>
      <c r="C622" s="1" t="s">
        <v>662</v>
      </c>
      <c r="D622" s="2" t="n">
        <v>209160</v>
      </c>
      <c r="E622" s="2" t="n">
        <f aca="false">D622/1000</f>
        <v>209.16</v>
      </c>
      <c r="F622" s="10" t="b">
        <f aca="false">FALSE()</f>
        <v>0</v>
      </c>
      <c r="G622" s="0" t="n">
        <v>17</v>
      </c>
      <c r="H622" s="0" t="n">
        <f aca="false">_xlfn.xlookup(G622, years!A$2:A$836, years!B$2:B$836)</f>
        <v>2014</v>
      </c>
      <c r="I622" s="2" t="n">
        <v>74</v>
      </c>
      <c r="J622" s="0" t="n">
        <v>0.733</v>
      </c>
      <c r="K622" s="0" t="n">
        <v>0.65</v>
      </c>
      <c r="L622" s="3" t="str">
        <f aca="false">IF(K622&gt;0.66,"High",IF(K622&gt;0.33&amp;K622&lt;=0.66,"Medium","Low"))</f>
        <v>Low</v>
      </c>
      <c r="M622" s="0" t="n">
        <v>-3.539</v>
      </c>
      <c r="N622" s="3" t="n">
        <v>0.0315</v>
      </c>
      <c r="O622" s="3" t="n">
        <v>0.0703</v>
      </c>
      <c r="P622" s="4" t="n">
        <v>6.59E-005</v>
      </c>
      <c r="Q622" s="3" t="n">
        <v>0.0829</v>
      </c>
      <c r="R622" s="3" t="n">
        <v>0.348</v>
      </c>
      <c r="S622" s="3" t="str">
        <f aca="false">IF(R622 &gt;= 0.5, "Positive", "Negative")</f>
        <v>Negative</v>
      </c>
      <c r="T622" s="2" t="n">
        <v>110.003</v>
      </c>
      <c r="U622" s="0" t="s">
        <v>22</v>
      </c>
    </row>
    <row r="623" customFormat="false" ht="14.25" hidden="false" customHeight="false" outlineLevel="0" collapsed="false">
      <c r="A623" s="0" t="n">
        <v>134</v>
      </c>
      <c r="B623" s="0" t="str">
        <f aca="false">_xlfn.xlookup(A623, artists!A$2:A$836, artists!B$2:B$836)</f>
        <v>Musiq Soulchild</v>
      </c>
      <c r="C623" s="1" t="s">
        <v>663</v>
      </c>
      <c r="D623" s="2" t="n">
        <v>254493</v>
      </c>
      <c r="E623" s="2" t="n">
        <f aca="false">D623/1000</f>
        <v>254.493</v>
      </c>
      <c r="F623" s="10" t="b">
        <f aca="false">FALSE()</f>
        <v>0</v>
      </c>
      <c r="G623" s="0" t="n">
        <v>5</v>
      </c>
      <c r="H623" s="0" t="n">
        <f aca="false">_xlfn.xlookup(G623, years!A$2:A$836, years!B$2:B$836)</f>
        <v>2002</v>
      </c>
      <c r="I623" s="2" t="n">
        <v>58</v>
      </c>
      <c r="J623" s="0" t="n">
        <v>0.412</v>
      </c>
      <c r="K623" s="0" t="n">
        <v>0.77</v>
      </c>
      <c r="L623" s="3" t="str">
        <f aca="false">IF(K623&gt;0.66,"High",IF(K623&gt;0.33&amp;K623&lt;=0.66,"Medium","Low"))</f>
        <v>High</v>
      </c>
      <c r="M623" s="0" t="n">
        <v>-6.057</v>
      </c>
      <c r="N623" s="3" t="n">
        <v>0.18</v>
      </c>
      <c r="O623" s="3" t="n">
        <v>0.462</v>
      </c>
      <c r="P623" s="4" t="n">
        <v>1.5E-006</v>
      </c>
      <c r="Q623" s="3" t="n">
        <v>0.0485</v>
      </c>
      <c r="R623" s="3" t="n">
        <v>0.418</v>
      </c>
      <c r="S623" s="3" t="str">
        <f aca="false">IF(R623 &gt;= 0.5, "Positive", "Negative")</f>
        <v>Negative</v>
      </c>
      <c r="T623" s="2" t="n">
        <v>101.955</v>
      </c>
      <c r="U623" s="0" t="s">
        <v>33</v>
      </c>
    </row>
    <row r="624" customFormat="false" ht="14.25" hidden="false" customHeight="false" outlineLevel="0" collapsed="false">
      <c r="A624" s="0" t="n">
        <v>553</v>
      </c>
      <c r="B624" s="0" t="str">
        <f aca="false">_xlfn.xlookup(A624, artists!A$2:A$836, artists!B$2:B$836)</f>
        <v>The Script</v>
      </c>
      <c r="C624" s="1" t="s">
        <v>664</v>
      </c>
      <c r="D624" s="2" t="n">
        <v>202533</v>
      </c>
      <c r="E624" s="2" t="n">
        <f aca="false">D624/1000</f>
        <v>202.533</v>
      </c>
      <c r="F624" s="10" t="b">
        <f aca="false">FALSE()</f>
        <v>0</v>
      </c>
      <c r="G624" s="0" t="n">
        <v>15</v>
      </c>
      <c r="H624" s="0" t="n">
        <f aca="false">_xlfn.xlookup(G624, years!A$2:A$836, years!B$2:B$836)</f>
        <v>2012</v>
      </c>
      <c r="I624" s="2" t="n">
        <v>78</v>
      </c>
      <c r="J624" s="0" t="n">
        <v>0.421</v>
      </c>
      <c r="K624" s="0" t="n">
        <v>0.873</v>
      </c>
      <c r="L624" s="3" t="str">
        <f aca="false">IF(K624&gt;0.66,"High",IF(K624&gt;0.33&amp;K624&lt;=0.66,"Medium","Low"))</f>
        <v>High</v>
      </c>
      <c r="M624" s="0" t="n">
        <v>-4.343</v>
      </c>
      <c r="N624" s="3" t="n">
        <v>0.0564</v>
      </c>
      <c r="O624" s="3" t="n">
        <v>0.0654</v>
      </c>
      <c r="P624" s="4" t="n">
        <v>0</v>
      </c>
      <c r="Q624" s="3" t="n">
        <v>0.123</v>
      </c>
      <c r="R624" s="3" t="n">
        <v>0.629</v>
      </c>
      <c r="S624" s="3" t="str">
        <f aca="false">IF(R624 &gt;= 0.5, "Positive", "Negative")</f>
        <v>Positive</v>
      </c>
      <c r="T624" s="2" t="n">
        <v>84.786</v>
      </c>
      <c r="U624" s="0" t="s">
        <v>210</v>
      </c>
    </row>
    <row r="625" customFormat="false" ht="14.25" hidden="false" customHeight="false" outlineLevel="0" collapsed="false">
      <c r="A625" s="0" t="n">
        <v>426</v>
      </c>
      <c r="B625" s="0" t="str">
        <f aca="false">_xlfn.xlookup(A625, artists!A$2:A$836, artists!B$2:B$836)</f>
        <v>Alexandra Burke</v>
      </c>
      <c r="C625" s="1" t="s">
        <v>665</v>
      </c>
      <c r="D625" s="2" t="n">
        <v>217826</v>
      </c>
      <c r="E625" s="2" t="n">
        <f aca="false">D625/1000</f>
        <v>217.826</v>
      </c>
      <c r="F625" s="10" t="b">
        <f aca="false">FALSE()</f>
        <v>0</v>
      </c>
      <c r="G625" s="0" t="n">
        <v>12</v>
      </c>
      <c r="H625" s="0" t="n">
        <f aca="false">_xlfn.xlookup(G625, years!A$2:A$836, years!B$2:B$836)</f>
        <v>2009</v>
      </c>
      <c r="I625" s="2" t="n">
        <v>63</v>
      </c>
      <c r="J625" s="0" t="n">
        <v>0.177</v>
      </c>
      <c r="K625" s="0" t="n">
        <v>0.425</v>
      </c>
      <c r="L625" s="3" t="str">
        <f aca="false">IF(K625&gt;0.66,"High",IF(K625&gt;0.33&amp;K625&lt;=0.66,"Medium","Low"))</f>
        <v>Low</v>
      </c>
      <c r="M625" s="0" t="n">
        <v>-6.211</v>
      </c>
      <c r="N625" s="3" t="n">
        <v>0.0291</v>
      </c>
      <c r="O625" s="3" t="n">
        <v>0.654</v>
      </c>
      <c r="P625" s="4" t="n">
        <v>0</v>
      </c>
      <c r="Q625" s="3" t="n">
        <v>0.195</v>
      </c>
      <c r="R625" s="3" t="n">
        <v>0.0942</v>
      </c>
      <c r="S625" s="3" t="str">
        <f aca="false">IF(R625 &gt;= 0.5, "Positive", "Negative")</f>
        <v>Negative</v>
      </c>
      <c r="T625" s="2" t="n">
        <v>182.571</v>
      </c>
      <c r="U625" s="0" t="s">
        <v>39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666</v>
      </c>
      <c r="D626" s="2" t="n">
        <v>261640</v>
      </c>
      <c r="E626" s="2" t="n">
        <f aca="false">D626/1000</f>
        <v>261.64</v>
      </c>
      <c r="F626" s="10" t="b">
        <f aca="false">FALSE()</f>
        <v>0</v>
      </c>
      <c r="G626" s="0" t="n">
        <v>11</v>
      </c>
      <c r="H626" s="0" t="n">
        <f aca="false">_xlfn.xlookup(G626, years!A$2:A$836, years!B$2:B$836)</f>
        <v>2008</v>
      </c>
      <c r="I626" s="2" t="n">
        <v>74</v>
      </c>
      <c r="J626" s="0" t="n">
        <v>0.508</v>
      </c>
      <c r="K626" s="0" t="n">
        <v>0.72</v>
      </c>
      <c r="L626" s="3" t="str">
        <f aca="false">IF(K626&gt;0.66,"High",IF(K626&gt;0.33&amp;K626&lt;=0.66,"Medium","Low"))</f>
        <v>High</v>
      </c>
      <c r="M626" s="0" t="n">
        <v>-5.908</v>
      </c>
      <c r="N626" s="3" t="n">
        <v>0.0628</v>
      </c>
      <c r="O626" s="3" t="n">
        <v>0.272</v>
      </c>
      <c r="P626" s="4" t="n">
        <v>0</v>
      </c>
      <c r="Q626" s="3" t="n">
        <v>0.0563</v>
      </c>
      <c r="R626" s="3" t="n">
        <v>0.472</v>
      </c>
      <c r="S626" s="3" t="str">
        <f aca="false">IF(R626 &gt;= 0.5, "Positive", "Negative")</f>
        <v>Negative</v>
      </c>
      <c r="T626" s="2" t="n">
        <v>79.983</v>
      </c>
      <c r="U626" s="0" t="s">
        <v>33</v>
      </c>
    </row>
    <row r="627" customFormat="false" ht="14.25" hidden="false" customHeight="false" outlineLevel="0" collapsed="false">
      <c r="A627" s="0" t="n">
        <v>697</v>
      </c>
      <c r="B627" s="0" t="str">
        <f aca="false">_xlfn.xlookup(A627, artists!A$2:A$836, artists!B$2:B$836)</f>
        <v>Fitz and The Tantrums</v>
      </c>
      <c r="C627" s="1" t="s">
        <v>667</v>
      </c>
      <c r="D627" s="2" t="n">
        <v>193253</v>
      </c>
      <c r="E627" s="2" t="n">
        <f aca="false">D627/1000</f>
        <v>193.253</v>
      </c>
      <c r="F627" s="10" t="b">
        <f aca="false">FALSE()</f>
        <v>0</v>
      </c>
      <c r="G627" s="0" t="n">
        <v>19</v>
      </c>
      <c r="H627" s="0" t="n">
        <f aca="false">_xlfn.xlookup(G627, years!A$2:A$836, years!B$2:B$836)</f>
        <v>2016</v>
      </c>
      <c r="I627" s="2" t="n">
        <v>64</v>
      </c>
      <c r="J627" s="0" t="n">
        <v>0.636</v>
      </c>
      <c r="K627" s="0" t="n">
        <v>0.836</v>
      </c>
      <c r="L627" s="3" t="str">
        <f aca="false">IF(K627&gt;0.66,"High",IF(K627&gt;0.33&amp;K627&lt;=0.66,"Medium","Low"))</f>
        <v>High</v>
      </c>
      <c r="M627" s="0" t="n">
        <v>-3.004</v>
      </c>
      <c r="N627" s="3" t="n">
        <v>0.0427</v>
      </c>
      <c r="O627" s="3" t="n">
        <v>0.00609</v>
      </c>
      <c r="P627" s="4" t="n">
        <v>0.000157</v>
      </c>
      <c r="Q627" s="3" t="n">
        <v>0.0828</v>
      </c>
      <c r="R627" s="3" t="n">
        <v>0.715</v>
      </c>
      <c r="S627" s="3" t="str">
        <f aca="false">IF(R627 &gt;= 0.5, "Positive", "Negative")</f>
        <v>Positive</v>
      </c>
      <c r="T627" s="2" t="n">
        <v>139.956</v>
      </c>
      <c r="U627" s="0" t="s">
        <v>210</v>
      </c>
    </row>
    <row r="628" customFormat="false" ht="14.25" hidden="false" customHeight="false" outlineLevel="0" collapsed="false">
      <c r="A628" s="0" t="n">
        <v>185</v>
      </c>
      <c r="B628" s="0" t="str">
        <f aca="false">_xlfn.xlookup(A628, artists!A$2:A$836, artists!B$2:B$836)</f>
        <v>Alanis Morissette</v>
      </c>
      <c r="C628" s="1" t="s">
        <v>668</v>
      </c>
      <c r="D628" s="2" t="n">
        <v>269400</v>
      </c>
      <c r="E628" s="2" t="n">
        <f aca="false">D628/1000</f>
        <v>269.4</v>
      </c>
      <c r="F628" s="10" t="b">
        <f aca="false">FALSE()</f>
        <v>0</v>
      </c>
      <c r="G628" s="0" t="n">
        <v>5</v>
      </c>
      <c r="H628" s="0" t="n">
        <f aca="false">_xlfn.xlookup(G628, years!A$2:A$836, years!B$2:B$836)</f>
        <v>2002</v>
      </c>
      <c r="I628" s="2" t="n">
        <v>57</v>
      </c>
      <c r="J628" s="0" t="n">
        <v>0.513</v>
      </c>
      <c r="K628" s="0" t="n">
        <v>0.82</v>
      </c>
      <c r="L628" s="3" t="str">
        <f aca="false">IF(K628&gt;0.66,"High",IF(K628&gt;0.33&amp;K628&lt;=0.66,"Medium","Low"))</f>
        <v>High</v>
      </c>
      <c r="M628" s="0" t="n">
        <v>-5.428</v>
      </c>
      <c r="N628" s="3" t="n">
        <v>0.0299</v>
      </c>
      <c r="O628" s="3" t="n">
        <v>0.00192</v>
      </c>
      <c r="P628" s="4" t="n">
        <v>2.83E-006</v>
      </c>
      <c r="Q628" s="3" t="n">
        <v>0.504</v>
      </c>
      <c r="R628" s="3" t="n">
        <v>0.52</v>
      </c>
      <c r="S628" s="3" t="str">
        <f aca="false">IF(R628 &gt;= 0.5, "Positive", "Negative")</f>
        <v>Positive</v>
      </c>
      <c r="T628" s="2" t="n">
        <v>99.952</v>
      </c>
      <c r="U628" s="0" t="s">
        <v>116</v>
      </c>
    </row>
    <row r="629" customFormat="false" ht="14.25" hidden="false" customHeight="false" outlineLevel="0" collapsed="false">
      <c r="A629" s="0" t="n">
        <v>554</v>
      </c>
      <c r="B629" s="0" t="str">
        <f aca="false">_xlfn.xlookup(A629, artists!A$2:A$836, artists!B$2:B$836)</f>
        <v>ScHoolboy Q</v>
      </c>
      <c r="C629" s="1" t="s">
        <v>669</v>
      </c>
      <c r="D629" s="2" t="n">
        <v>197131</v>
      </c>
      <c r="E629" s="2" t="n">
        <f aca="false">D629/1000</f>
        <v>197.131</v>
      </c>
      <c r="F629" s="10" t="b">
        <f aca="false">TRUE()</f>
        <v>1</v>
      </c>
      <c r="G629" s="0" t="n">
        <v>15</v>
      </c>
      <c r="H629" s="0" t="n">
        <f aca="false">_xlfn.xlookup(G629, years!A$2:A$836, years!B$2:B$836)</f>
        <v>2012</v>
      </c>
      <c r="I629" s="2" t="n">
        <v>61</v>
      </c>
      <c r="J629" s="0" t="n">
        <v>0.646</v>
      </c>
      <c r="K629" s="0" t="n">
        <v>0.784</v>
      </c>
      <c r="L629" s="3" t="str">
        <f aca="false">IF(K629&gt;0.66,"High",IF(K629&gt;0.33&amp;K629&lt;=0.66,"Medium","Low"))</f>
        <v>High</v>
      </c>
      <c r="M629" s="0" t="n">
        <v>-7.471</v>
      </c>
      <c r="N629" s="3" t="n">
        <v>0.108</v>
      </c>
      <c r="O629" s="3" t="n">
        <v>0.0166</v>
      </c>
      <c r="P629" s="4" t="n">
        <v>0</v>
      </c>
      <c r="Q629" s="3" t="n">
        <v>0.0721</v>
      </c>
      <c r="R629" s="3" t="n">
        <v>0.179</v>
      </c>
      <c r="S629" s="3" t="str">
        <f aca="false">IF(R629 &gt;= 0.5, "Positive", "Negative")</f>
        <v>Negative</v>
      </c>
      <c r="T629" s="2" t="n">
        <v>127.839</v>
      </c>
      <c r="U629" s="0" t="s">
        <v>24</v>
      </c>
    </row>
    <row r="630" customFormat="false" ht="14.25" hidden="false" customHeight="false" outlineLevel="0" collapsed="false">
      <c r="A630" s="0" t="n">
        <v>145</v>
      </c>
      <c r="B630" s="0" t="str">
        <f aca="false">_xlfn.xlookup(A630, artists!A$2:A$836, artists!B$2:B$836)</f>
        <v>Lifehouse</v>
      </c>
      <c r="C630" s="1" t="s">
        <v>670</v>
      </c>
      <c r="D630" s="2" t="n">
        <v>216360</v>
      </c>
      <c r="E630" s="2" t="n">
        <f aca="false">D630/1000</f>
        <v>216.36</v>
      </c>
      <c r="F630" s="10" t="b">
        <f aca="false">FALSE()</f>
        <v>0</v>
      </c>
      <c r="G630" s="0" t="n">
        <v>3</v>
      </c>
      <c r="H630" s="0" t="n">
        <f aca="false">_xlfn.xlookup(G630, years!A$2:A$836, years!B$2:B$836)</f>
        <v>2000</v>
      </c>
      <c r="I630" s="2" t="n">
        <v>61</v>
      </c>
      <c r="J630" s="0" t="n">
        <v>0.537</v>
      </c>
      <c r="K630" s="0" t="n">
        <v>0.858</v>
      </c>
      <c r="L630" s="3" t="str">
        <f aca="false">IF(K630&gt;0.66,"High",IF(K630&gt;0.33&amp;K630&lt;=0.66,"Medium","Low"))</f>
        <v>High</v>
      </c>
      <c r="M630" s="0" t="n">
        <v>-4.903</v>
      </c>
      <c r="N630" s="3" t="n">
        <v>0.0349</v>
      </c>
      <c r="O630" s="3" t="n">
        <v>0.000966</v>
      </c>
      <c r="P630" s="4" t="n">
        <v>0</v>
      </c>
      <c r="Q630" s="3" t="n">
        <v>0.0812</v>
      </c>
      <c r="R630" s="3" t="n">
        <v>0.502</v>
      </c>
      <c r="S630" s="3" t="str">
        <f aca="false">IF(R630 &gt;= 0.5, "Positive", "Negative")</f>
        <v>Positive</v>
      </c>
      <c r="T630" s="2" t="n">
        <v>124.599</v>
      </c>
      <c r="U630" s="0" t="s">
        <v>221</v>
      </c>
    </row>
    <row r="631" customFormat="false" ht="14.25" hidden="false" customHeight="false" outlineLevel="0" collapsed="false">
      <c r="A631" s="0" t="n">
        <v>671</v>
      </c>
      <c r="B631" s="0" t="str">
        <f aca="false">_xlfn.xlookup(A631, artists!A$2:A$836, artists!B$2:B$836)</f>
        <v>Alessia Cara</v>
      </c>
      <c r="C631" s="1" t="s">
        <v>671</v>
      </c>
      <c r="D631" s="2" t="n">
        <v>230226</v>
      </c>
      <c r="E631" s="2" t="n">
        <f aca="false">D631/1000</f>
        <v>230.226</v>
      </c>
      <c r="F631" s="10" t="b">
        <f aca="false">FALSE()</f>
        <v>0</v>
      </c>
      <c r="G631" s="0" t="n">
        <v>19</v>
      </c>
      <c r="H631" s="0" t="n">
        <f aca="false">_xlfn.xlookup(G631, years!A$2:A$836, years!B$2:B$836)</f>
        <v>2016</v>
      </c>
      <c r="I631" s="2" t="n">
        <v>76</v>
      </c>
      <c r="J631" s="0" t="n">
        <v>0.319</v>
      </c>
      <c r="K631" s="0" t="n">
        <v>0.739</v>
      </c>
      <c r="L631" s="3" t="str">
        <f aca="false">IF(K631&gt;0.66,"High",IF(K631&gt;0.33&amp;K631&lt;=0.66,"Medium","Low"))</f>
        <v>High</v>
      </c>
      <c r="M631" s="0" t="n">
        <v>-5.74</v>
      </c>
      <c r="N631" s="3" t="n">
        <v>0.272</v>
      </c>
      <c r="O631" s="3" t="n">
        <v>0.0285</v>
      </c>
      <c r="P631" s="4" t="n">
        <v>0</v>
      </c>
      <c r="Q631" s="3" t="n">
        <v>0.111</v>
      </c>
      <c r="R631" s="3" t="n">
        <v>0.449</v>
      </c>
      <c r="S631" s="3" t="str">
        <f aca="false">IF(R631 &gt;= 0.5, "Positive", "Negative")</f>
        <v>Negative</v>
      </c>
      <c r="T631" s="2" t="n">
        <v>194.169</v>
      </c>
      <c r="U631" s="0" t="s">
        <v>33</v>
      </c>
    </row>
    <row r="632" customFormat="false" ht="14.25" hidden="false" customHeight="false" outlineLevel="0" collapsed="false">
      <c r="A632" s="0" t="n">
        <v>174</v>
      </c>
      <c r="B632" s="0" t="str">
        <f aca="false">_xlfn.xlookup(A632, artists!A$2:A$836, artists!B$2:B$836)</f>
        <v>Ashanti</v>
      </c>
      <c r="C632" s="1" t="s">
        <v>672</v>
      </c>
      <c r="D632" s="2" t="n">
        <v>262226</v>
      </c>
      <c r="E632" s="2" t="n">
        <f aca="false">D632/1000</f>
        <v>262.226</v>
      </c>
      <c r="F632" s="10" t="b">
        <f aca="false">TRUE()</f>
        <v>1</v>
      </c>
      <c r="G632" s="0" t="n">
        <v>5</v>
      </c>
      <c r="H632" s="0" t="n">
        <f aca="false">_xlfn.xlookup(G632, years!A$2:A$836, years!B$2:B$836)</f>
        <v>2002</v>
      </c>
      <c r="I632" s="2" t="n">
        <v>61</v>
      </c>
      <c r="J632" s="0" t="n">
        <v>0.727</v>
      </c>
      <c r="K632" s="0" t="n">
        <v>0.515</v>
      </c>
      <c r="L632" s="3" t="str">
        <f aca="false">IF(K632&gt;0.66,"High",IF(K632&gt;0.33&amp;K632&lt;=0.66,"Medium","Low"))</f>
        <v>Low</v>
      </c>
      <c r="M632" s="0" t="n">
        <v>-6.553</v>
      </c>
      <c r="N632" s="3" t="n">
        <v>0.0289</v>
      </c>
      <c r="O632" s="3" t="n">
        <v>0.241</v>
      </c>
      <c r="P632" s="4" t="n">
        <v>3.74E-006</v>
      </c>
      <c r="Q632" s="3" t="n">
        <v>0.124</v>
      </c>
      <c r="R632" s="3" t="n">
        <v>0.695</v>
      </c>
      <c r="S632" s="3" t="str">
        <f aca="false">IF(R632 &gt;= 0.5, "Positive", "Negative")</f>
        <v>Positive</v>
      </c>
      <c r="T632" s="2" t="n">
        <v>89.488</v>
      </c>
      <c r="U632" s="0" t="s">
        <v>31</v>
      </c>
    </row>
    <row r="633" customFormat="false" ht="14.25" hidden="false" customHeight="false" outlineLevel="0" collapsed="false">
      <c r="A633" s="0" t="n">
        <v>212</v>
      </c>
      <c r="B633" s="0" t="str">
        <f aca="false">_xlfn.xlookup(A633, artists!A$2:A$836, artists!B$2:B$836)</f>
        <v>Pharrell Williams</v>
      </c>
      <c r="C633" s="1" t="s">
        <v>673</v>
      </c>
      <c r="D633" s="2" t="n">
        <v>232720</v>
      </c>
      <c r="E633" s="2" t="n">
        <f aca="false">D633/1000</f>
        <v>232.72</v>
      </c>
      <c r="F633" s="10" t="b">
        <f aca="false">FALSE()</f>
        <v>0</v>
      </c>
      <c r="G633" s="0" t="n">
        <v>17</v>
      </c>
      <c r="H633" s="0" t="n">
        <f aca="false">_xlfn.xlookup(G633, years!A$2:A$836, years!B$2:B$836)</f>
        <v>2014</v>
      </c>
      <c r="I633" s="2" t="n">
        <v>79</v>
      </c>
      <c r="J633" s="0" t="n">
        <v>0.647</v>
      </c>
      <c r="K633" s="0" t="n">
        <v>0.822</v>
      </c>
      <c r="L633" s="3" t="str">
        <f aca="false">IF(K633&gt;0.66,"High",IF(K633&gt;0.33&amp;K633&lt;=0.66,"Medium","Low"))</f>
        <v>High</v>
      </c>
      <c r="M633" s="0" t="n">
        <v>-4.662</v>
      </c>
      <c r="N633" s="3" t="n">
        <v>0.183</v>
      </c>
      <c r="O633" s="3" t="n">
        <v>0.219</v>
      </c>
      <c r="P633" s="4" t="n">
        <v>0</v>
      </c>
      <c r="Q633" s="3" t="n">
        <v>0.0908</v>
      </c>
      <c r="R633" s="3" t="n">
        <v>0.962</v>
      </c>
      <c r="S633" s="3" t="str">
        <f aca="false">IF(R633 &gt;= 0.5, "Positive", "Negative")</f>
        <v>Positive</v>
      </c>
      <c r="T633" s="2" t="n">
        <v>160.019</v>
      </c>
      <c r="U633" s="0" t="s">
        <v>24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674</v>
      </c>
      <c r="D634" s="2" t="n">
        <v>250600</v>
      </c>
      <c r="E634" s="2" t="n">
        <f aca="false">D634/1000</f>
        <v>250.6</v>
      </c>
      <c r="F634" s="10" t="b">
        <f aca="false">TRUE()</f>
        <v>1</v>
      </c>
      <c r="G634" s="0" t="n">
        <v>12</v>
      </c>
      <c r="H634" s="0" t="n">
        <f aca="false">_xlfn.xlookup(G634, years!A$2:A$836, years!B$2:B$836)</f>
        <v>2009</v>
      </c>
      <c r="I634" s="2" t="n">
        <v>55</v>
      </c>
      <c r="J634" s="0" t="n">
        <v>0.31</v>
      </c>
      <c r="K634" s="0" t="n">
        <v>0.746</v>
      </c>
      <c r="L634" s="3" t="str">
        <f aca="false">IF(K634&gt;0.66,"High",IF(K634&gt;0.33&amp;K634&lt;=0.66,"Medium","Low"))</f>
        <v>High</v>
      </c>
      <c r="M634" s="0" t="n">
        <v>-3.599</v>
      </c>
      <c r="N634" s="3" t="n">
        <v>0.111</v>
      </c>
      <c r="O634" s="3" t="n">
        <v>0.0121</v>
      </c>
      <c r="P634" s="4" t="n">
        <v>0</v>
      </c>
      <c r="Q634" s="3" t="n">
        <v>0.649</v>
      </c>
      <c r="R634" s="3" t="n">
        <v>0.163</v>
      </c>
      <c r="S634" s="3" t="str">
        <f aca="false">IF(R634 &gt;= 0.5, "Positive", "Negative")</f>
        <v>Negative</v>
      </c>
      <c r="T634" s="2" t="n">
        <v>182.032</v>
      </c>
      <c r="U634" s="0" t="s">
        <v>31</v>
      </c>
    </row>
    <row r="635" customFormat="false" ht="14.25" hidden="false" customHeight="false" outlineLevel="0" collapsed="false">
      <c r="A635" s="0" t="n">
        <v>586</v>
      </c>
      <c r="B635" s="0" t="str">
        <f aca="false">_xlfn.xlookup(A635, artists!A$2:A$836, artists!B$2:B$836)</f>
        <v>Baauer</v>
      </c>
      <c r="C635" s="1" t="s">
        <v>675</v>
      </c>
      <c r="D635" s="2" t="n">
        <v>196664</v>
      </c>
      <c r="E635" s="2" t="n">
        <f aca="false">D635/1000</f>
        <v>196.664</v>
      </c>
      <c r="F635" s="10" t="b">
        <f aca="false">FALSE()</f>
        <v>0</v>
      </c>
      <c r="G635" s="0" t="n">
        <v>16</v>
      </c>
      <c r="H635" s="0" t="n">
        <f aca="false">_xlfn.xlookup(G635, years!A$2:A$836, years!B$2:B$836)</f>
        <v>2013</v>
      </c>
      <c r="I635" s="2" t="n">
        <v>57</v>
      </c>
      <c r="J635" s="0" t="n">
        <v>0.452</v>
      </c>
      <c r="K635" s="0" t="n">
        <v>0.794</v>
      </c>
      <c r="L635" s="3" t="str">
        <f aca="false">IF(K635&gt;0.66,"High",IF(K635&gt;0.33&amp;K635&lt;=0.66,"Medium","Low"))</f>
        <v>High</v>
      </c>
      <c r="M635" s="0" t="n">
        <v>-5.151</v>
      </c>
      <c r="N635" s="3" t="n">
        <v>0.0483</v>
      </c>
      <c r="O635" s="3" t="n">
        <v>0.0111</v>
      </c>
      <c r="P635" s="4" t="n">
        <v>0.00182</v>
      </c>
      <c r="Q635" s="3" t="n">
        <v>0.416</v>
      </c>
      <c r="R635" s="3" t="n">
        <v>0.282</v>
      </c>
      <c r="S635" s="3" t="str">
        <f aca="false">IF(R635 &gt;= 0.5, "Positive", "Negative")</f>
        <v>Negative</v>
      </c>
      <c r="T635" s="2" t="n">
        <v>137.825</v>
      </c>
      <c r="U635" s="0" t="s">
        <v>48</v>
      </c>
    </row>
    <row r="636" customFormat="false" ht="14.25" hidden="false" customHeight="false" outlineLevel="0" collapsed="false">
      <c r="A636" s="0" t="n">
        <v>290</v>
      </c>
      <c r="B636" s="0" t="str">
        <f aca="false">_xlfn.xlookup(A636, artists!A$2:A$836, artists!B$2:B$836)</f>
        <v>The Game</v>
      </c>
      <c r="C636" s="1" t="s">
        <v>676</v>
      </c>
      <c r="D636" s="2" t="n">
        <v>206400</v>
      </c>
      <c r="E636" s="2" t="n">
        <f aca="false">D636/1000</f>
        <v>206.4</v>
      </c>
      <c r="F636" s="10" t="b">
        <f aca="false">TRUE()</f>
        <v>1</v>
      </c>
      <c r="G636" s="0" t="n">
        <v>8</v>
      </c>
      <c r="H636" s="0" t="n">
        <f aca="false">_xlfn.xlookup(G636, years!A$2:A$836, years!B$2:B$836)</f>
        <v>2005</v>
      </c>
      <c r="I636" s="2" t="n">
        <v>77</v>
      </c>
      <c r="J636" s="0" t="n">
        <v>0.802</v>
      </c>
      <c r="K636" s="0" t="n">
        <v>0.785</v>
      </c>
      <c r="L636" s="3" t="str">
        <f aca="false">IF(K636&gt;0.66,"High",IF(K636&gt;0.33&amp;K636&lt;=0.66,"Medium","Low"))</f>
        <v>High</v>
      </c>
      <c r="M636" s="0" t="n">
        <v>-4.781</v>
      </c>
      <c r="N636" s="3" t="n">
        <v>0.207</v>
      </c>
      <c r="O636" s="3" t="n">
        <v>0.14</v>
      </c>
      <c r="P636" s="4" t="n">
        <v>0</v>
      </c>
      <c r="Q636" s="3" t="n">
        <v>0.123</v>
      </c>
      <c r="R636" s="3" t="n">
        <v>0.435</v>
      </c>
      <c r="S636" s="3" t="str">
        <f aca="false">IF(R636 &gt;= 0.5, "Positive", "Negative")</f>
        <v>Negative</v>
      </c>
      <c r="T636" s="2" t="n">
        <v>99.998</v>
      </c>
      <c r="U636" s="0" t="s">
        <v>24</v>
      </c>
    </row>
    <row r="637" customFormat="false" ht="14.25" hidden="false" customHeight="false" outlineLevel="0" collapsed="false">
      <c r="A637" s="0" t="n">
        <v>720</v>
      </c>
      <c r="B637" s="0" t="str">
        <f aca="false">_xlfn.xlookup(A637, artists!A$2:A$836, artists!B$2:B$836)</f>
        <v>Camila Cabello</v>
      </c>
      <c r="C637" s="1" t="s">
        <v>677</v>
      </c>
      <c r="D637" s="2" t="n">
        <v>216896</v>
      </c>
      <c r="E637" s="2" t="n">
        <f aca="false">D637/1000</f>
        <v>216.896</v>
      </c>
      <c r="F637" s="10" t="b">
        <f aca="false">FALSE()</f>
        <v>0</v>
      </c>
      <c r="G637" s="0" t="n">
        <v>20</v>
      </c>
      <c r="H637" s="0" t="n">
        <f aca="false">_xlfn.xlookup(G637, years!A$2:A$836, years!B$2:B$836)</f>
        <v>2017</v>
      </c>
      <c r="I637" s="2" t="n">
        <v>1</v>
      </c>
      <c r="J637" s="0" t="n">
        <v>0.768</v>
      </c>
      <c r="K637" s="0" t="n">
        <v>0.517</v>
      </c>
      <c r="L637" s="3" t="str">
        <f aca="false">IF(K637&gt;0.66,"High",IF(K637&gt;0.33&amp;K637&lt;=0.66,"Medium","Low"))</f>
        <v>Low</v>
      </c>
      <c r="M637" s="0" t="n">
        <v>-4.323</v>
      </c>
      <c r="N637" s="3" t="n">
        <v>0.0312</v>
      </c>
      <c r="O637" s="3" t="n">
        <v>0.186</v>
      </c>
      <c r="P637" s="4" t="n">
        <v>3.8E-005</v>
      </c>
      <c r="Q637" s="3" t="n">
        <v>0.104</v>
      </c>
      <c r="R637" s="3" t="n">
        <v>0.418</v>
      </c>
      <c r="S637" s="3" t="str">
        <f aca="false">IF(R637 &gt;= 0.5, "Positive", "Negative")</f>
        <v>Negative</v>
      </c>
      <c r="T637" s="2" t="n">
        <v>104.992</v>
      </c>
      <c r="U637" s="0" t="s">
        <v>39</v>
      </c>
    </row>
    <row r="638" customFormat="false" ht="14.25" hidden="false" customHeight="false" outlineLevel="0" collapsed="false">
      <c r="A638" s="0" t="n">
        <v>123</v>
      </c>
      <c r="B638" s="0" t="str">
        <f aca="false">_xlfn.xlookup(A638, artists!A$2:A$836, artists!B$2:B$836)</f>
        <v>S Club 7</v>
      </c>
      <c r="C638" s="1" t="s">
        <v>678</v>
      </c>
      <c r="D638" s="2" t="n">
        <v>201533</v>
      </c>
      <c r="E638" s="2" t="n">
        <f aca="false">D638/1000</f>
        <v>201.533</v>
      </c>
      <c r="F638" s="10" t="b">
        <f aca="false">FALSE()</f>
        <v>0</v>
      </c>
      <c r="G638" s="0" t="n">
        <v>4</v>
      </c>
      <c r="H638" s="0" t="n">
        <f aca="false">_xlfn.xlookup(G638, years!A$2:A$836, years!B$2:B$836)</f>
        <v>2001</v>
      </c>
      <c r="I638" s="2" t="n">
        <v>60</v>
      </c>
      <c r="J638" s="0" t="n">
        <v>0.585</v>
      </c>
      <c r="K638" s="0" t="n">
        <v>0.702</v>
      </c>
      <c r="L638" s="3" t="str">
        <f aca="false">IF(K638&gt;0.66,"High",IF(K638&gt;0.33&amp;K638&lt;=0.66,"Medium","Low"))</f>
        <v>High</v>
      </c>
      <c r="M638" s="0" t="n">
        <v>-5.734</v>
      </c>
      <c r="N638" s="3" t="n">
        <v>0.0325</v>
      </c>
      <c r="O638" s="3" t="n">
        <v>0.538</v>
      </c>
      <c r="P638" s="4" t="n">
        <v>0</v>
      </c>
      <c r="Q638" s="3" t="n">
        <v>0.216</v>
      </c>
      <c r="R638" s="3" t="n">
        <v>0.51</v>
      </c>
      <c r="S638" s="3" t="str">
        <f aca="false">IF(R638 &gt;= 0.5, "Positive", "Negative")</f>
        <v>Positive</v>
      </c>
      <c r="T638" s="2" t="n">
        <v>139.909</v>
      </c>
      <c r="U638" s="0" t="s">
        <v>39</v>
      </c>
    </row>
    <row r="639" customFormat="false" ht="14.25" hidden="false" customHeight="false" outlineLevel="0" collapsed="false">
      <c r="A639" s="0" t="n">
        <v>49</v>
      </c>
      <c r="B639" s="0" t="str">
        <f aca="false">_xlfn.xlookup(A639, artists!A$2:A$836, artists!B$2:B$836)</f>
        <v>Jagged Edge</v>
      </c>
      <c r="C639" s="1" t="s">
        <v>679</v>
      </c>
      <c r="D639" s="2" t="n">
        <v>244053</v>
      </c>
      <c r="E639" s="2" t="n">
        <f aca="false">D639/1000</f>
        <v>244.053</v>
      </c>
      <c r="F639" s="10" t="b">
        <f aca="false">FALSE()</f>
        <v>0</v>
      </c>
      <c r="G639" s="0" t="n">
        <v>3</v>
      </c>
      <c r="H639" s="0" t="n">
        <f aca="false">_xlfn.xlookup(G639, years!A$2:A$836, years!B$2:B$836)</f>
        <v>2000</v>
      </c>
      <c r="I639" s="2" t="n">
        <v>55</v>
      </c>
      <c r="J639" s="0" t="n">
        <v>0.721</v>
      </c>
      <c r="K639" s="0" t="n">
        <v>0.836</v>
      </c>
      <c r="L639" s="3" t="str">
        <f aca="false">IF(K639&gt;0.66,"High",IF(K639&gt;0.33&amp;K639&lt;=0.66,"Medium","Low"))</f>
        <v>High</v>
      </c>
      <c r="M639" s="0" t="n">
        <v>-3.972</v>
      </c>
      <c r="N639" s="3" t="n">
        <v>0.206</v>
      </c>
      <c r="O639" s="3" t="n">
        <v>0.112</v>
      </c>
      <c r="P639" s="4" t="n">
        <v>0</v>
      </c>
      <c r="Q639" s="3" t="n">
        <v>0.235</v>
      </c>
      <c r="R639" s="3" t="n">
        <v>0.508</v>
      </c>
      <c r="S639" s="3" t="str">
        <f aca="false">IF(R639 &gt;= 0.5, "Positive", "Negative")</f>
        <v>Positive</v>
      </c>
      <c r="T639" s="2" t="n">
        <v>126.279</v>
      </c>
      <c r="U639" s="0" t="s">
        <v>31</v>
      </c>
    </row>
    <row r="640" customFormat="false" ht="14.25" hidden="false" customHeight="false" outlineLevel="0" collapsed="false">
      <c r="A640" s="0" t="n">
        <v>39</v>
      </c>
      <c r="B640" s="0" t="str">
        <f aca="false">_xlfn.xlookup(A640, artists!A$2:A$836, artists!B$2:B$836)</f>
        <v>Toni Braxton</v>
      </c>
      <c r="C640" s="1" t="s">
        <v>680</v>
      </c>
      <c r="D640" s="2" t="n">
        <v>261933</v>
      </c>
      <c r="E640" s="2" t="n">
        <f aca="false">D640/1000</f>
        <v>261.933</v>
      </c>
      <c r="F640" s="10" t="b">
        <f aca="false">FALSE()</f>
        <v>0</v>
      </c>
      <c r="G640" s="0" t="n">
        <v>3</v>
      </c>
      <c r="H640" s="0" t="n">
        <f aca="false">_xlfn.xlookup(G640, years!A$2:A$836, years!B$2:B$836)</f>
        <v>2000</v>
      </c>
      <c r="I640" s="2" t="n">
        <v>66</v>
      </c>
      <c r="J640" s="0" t="n">
        <v>0.739</v>
      </c>
      <c r="K640" s="0" t="n">
        <v>0.947</v>
      </c>
      <c r="L640" s="3" t="str">
        <f aca="false">IF(K640&gt;0.66,"High",IF(K640&gt;0.33&amp;K640&lt;=0.66,"Medium","Low"))</f>
        <v>High</v>
      </c>
      <c r="M640" s="0" t="n">
        <v>-1.916</v>
      </c>
      <c r="N640" s="3" t="n">
        <v>0.0411</v>
      </c>
      <c r="O640" s="3" t="n">
        <v>0.00916</v>
      </c>
      <c r="P640" s="4" t="n">
        <v>3.14E-005</v>
      </c>
      <c r="Q640" s="3" t="n">
        <v>0.326</v>
      </c>
      <c r="R640" s="3" t="n">
        <v>0.766</v>
      </c>
      <c r="S640" s="3" t="str">
        <f aca="false">IF(R640 &gt;= 0.5, "Positive", "Negative")</f>
        <v>Positive</v>
      </c>
      <c r="T640" s="2" t="n">
        <v>88.009</v>
      </c>
      <c r="U640" s="0" t="s">
        <v>33</v>
      </c>
    </row>
    <row r="641" customFormat="false" ht="14.25" hidden="false" customHeight="false" outlineLevel="0" collapsed="false">
      <c r="A641" s="0" t="n">
        <v>455</v>
      </c>
      <c r="B641" s="0" t="str">
        <f aca="false">_xlfn.xlookup(A641, artists!A$2:A$836, artists!B$2:B$836)</f>
        <v>Drake</v>
      </c>
      <c r="C641" s="1" t="s">
        <v>681</v>
      </c>
      <c r="D641" s="2" t="n">
        <v>235986</v>
      </c>
      <c r="E641" s="2" t="n">
        <f aca="false">D641/1000</f>
        <v>235.986</v>
      </c>
      <c r="F641" s="10" t="b">
        <f aca="false">TRUE()</f>
        <v>1</v>
      </c>
      <c r="G641" s="0" t="n">
        <v>14</v>
      </c>
      <c r="H641" s="0" t="n">
        <f aca="false">_xlfn.xlookup(G641, years!A$2:A$836, years!B$2:B$836)</f>
        <v>2011</v>
      </c>
      <c r="I641" s="2" t="n">
        <v>74</v>
      </c>
      <c r="J641" s="0" t="n">
        <v>0.636</v>
      </c>
      <c r="K641" s="0" t="n">
        <v>0.566</v>
      </c>
      <c r="L641" s="3" t="str">
        <f aca="false">IF(K641&gt;0.66,"High",IF(K641&gt;0.33&amp;K641&lt;=0.66,"Medium","Low"))</f>
        <v>Low</v>
      </c>
      <c r="M641" s="0" t="n">
        <v>-7.16</v>
      </c>
      <c r="N641" s="3" t="n">
        <v>0.106</v>
      </c>
      <c r="O641" s="3" t="n">
        <v>0.365</v>
      </c>
      <c r="P641" s="4" t="n">
        <v>0.000353</v>
      </c>
      <c r="Q641" s="3" t="n">
        <v>0.0917</v>
      </c>
      <c r="R641" s="3" t="n">
        <v>0.425</v>
      </c>
      <c r="S641" s="3" t="str">
        <f aca="false">IF(R641 &gt;= 0.5, "Positive", "Negative")</f>
        <v>Negative</v>
      </c>
      <c r="T641" s="2" t="n">
        <v>151.894</v>
      </c>
      <c r="U641" s="0" t="s">
        <v>31</v>
      </c>
    </row>
    <row r="642" customFormat="false" ht="14.25" hidden="false" customHeight="false" outlineLevel="0" collapsed="false">
      <c r="A642" s="0" t="n">
        <v>168</v>
      </c>
      <c r="B642" s="0" t="str">
        <f aca="false">_xlfn.xlookup(A642, artists!A$2:A$836, artists!B$2:B$836)</f>
        <v>LL Cool J</v>
      </c>
      <c r="C642" s="1" t="s">
        <v>682</v>
      </c>
      <c r="D642" s="2" t="n">
        <v>267320</v>
      </c>
      <c r="E642" s="2" t="n">
        <f aca="false">D642/1000</f>
        <v>267.32</v>
      </c>
      <c r="F642" s="10" t="b">
        <f aca="false">FALSE()</f>
        <v>0</v>
      </c>
      <c r="G642" s="0" t="n">
        <v>7</v>
      </c>
      <c r="H642" s="0" t="n">
        <f aca="false">_xlfn.xlookup(G642, years!A$2:A$836, years!B$2:B$836)</f>
        <v>2004</v>
      </c>
      <c r="I642" s="2" t="n">
        <v>56</v>
      </c>
      <c r="J642" s="0" t="n">
        <v>0.718</v>
      </c>
      <c r="K642" s="0" t="n">
        <v>0.786</v>
      </c>
      <c r="L642" s="3" t="str">
        <f aca="false">IF(K642&gt;0.66,"High",IF(K642&gt;0.33&amp;K642&lt;=0.66,"Medium","Low"))</f>
        <v>High</v>
      </c>
      <c r="M642" s="0" t="n">
        <v>-5.76</v>
      </c>
      <c r="N642" s="3" t="n">
        <v>0.0284</v>
      </c>
      <c r="O642" s="3" t="n">
        <v>0.0114</v>
      </c>
      <c r="P642" s="4" t="n">
        <v>2.5E-005</v>
      </c>
      <c r="Q642" s="3" t="n">
        <v>0.0745</v>
      </c>
      <c r="R642" s="3" t="n">
        <v>0.465</v>
      </c>
      <c r="S642" s="3" t="str">
        <f aca="false">IF(R642 &gt;= 0.5, "Positive", "Negative")</f>
        <v>Negative</v>
      </c>
      <c r="T642" s="2" t="n">
        <v>99.916</v>
      </c>
      <c r="U642" s="0" t="s">
        <v>31</v>
      </c>
    </row>
    <row r="643" customFormat="false" ht="14.25" hidden="false" customHeight="false" outlineLevel="0" collapsed="false">
      <c r="A643" s="0" t="n">
        <v>206</v>
      </c>
      <c r="B643" s="0" t="str">
        <f aca="false">_xlfn.xlookup(A643, artists!A$2:A$836, artists!B$2:B$836)</f>
        <v>Trapt</v>
      </c>
      <c r="C643" s="1" t="s">
        <v>683</v>
      </c>
      <c r="D643" s="2" t="n">
        <v>285569</v>
      </c>
      <c r="E643" s="2" t="n">
        <f aca="false">D643/1000</f>
        <v>285.569</v>
      </c>
      <c r="F643" s="10" t="b">
        <f aca="false">TRUE()</f>
        <v>1</v>
      </c>
      <c r="G643" s="0" t="n">
        <v>5</v>
      </c>
      <c r="H643" s="0" t="n">
        <f aca="false">_xlfn.xlookup(G643, years!A$2:A$836, years!B$2:B$836)</f>
        <v>2002</v>
      </c>
      <c r="I643" s="2" t="n">
        <v>72</v>
      </c>
      <c r="J643" s="0" t="n">
        <v>0.492</v>
      </c>
      <c r="K643" s="0" t="n">
        <v>0.896</v>
      </c>
      <c r="L643" s="3" t="str">
        <f aca="false">IF(K643&gt;0.66,"High",IF(K643&gt;0.33&amp;K643&lt;=0.66,"Medium","Low"))</f>
        <v>High</v>
      </c>
      <c r="M643" s="0" t="n">
        <v>-5.819</v>
      </c>
      <c r="N643" s="3" t="n">
        <v>0.117</v>
      </c>
      <c r="O643" s="3" t="n">
        <v>0.000172</v>
      </c>
      <c r="P643" s="4" t="n">
        <v>2.78E-006</v>
      </c>
      <c r="Q643" s="3" t="n">
        <v>0.189</v>
      </c>
      <c r="R643" s="3" t="n">
        <v>0.534</v>
      </c>
      <c r="S643" s="3" t="str">
        <f aca="false">IF(R643 &gt;= 0.5, "Positive", "Negative")</f>
        <v>Positive</v>
      </c>
      <c r="T643" s="2" t="n">
        <v>184.981</v>
      </c>
      <c r="U643" s="0" t="s">
        <v>81</v>
      </c>
    </row>
    <row r="644" customFormat="false" ht="14.25" hidden="false" customHeight="false" outlineLevel="0" collapsed="false">
      <c r="A644" s="0" t="n">
        <v>690</v>
      </c>
      <c r="B644" s="0" t="str">
        <f aca="false">_xlfn.xlookup(A644, artists!A$2:A$836, artists!B$2:B$836)</f>
        <v>Alok</v>
      </c>
      <c r="C644" s="1" t="s">
        <v>684</v>
      </c>
      <c r="D644" s="2" t="n">
        <v>192846</v>
      </c>
      <c r="E644" s="2" t="n">
        <f aca="false">D644/1000</f>
        <v>192.846</v>
      </c>
      <c r="F644" s="10" t="b">
        <f aca="false">FALSE()</f>
        <v>0</v>
      </c>
      <c r="G644" s="0" t="n">
        <v>19</v>
      </c>
      <c r="H644" s="0" t="n">
        <f aca="false">_xlfn.xlookup(G644, years!A$2:A$836, years!B$2:B$836)</f>
        <v>2016</v>
      </c>
      <c r="I644" s="2" t="n">
        <v>51</v>
      </c>
      <c r="J644" s="0" t="n">
        <v>0.788</v>
      </c>
      <c r="K644" s="0" t="n">
        <v>0.43</v>
      </c>
      <c r="L644" s="3" t="str">
        <f aca="false">IF(K644&gt;0.66,"High",IF(K644&gt;0.33&amp;K644&lt;=0.66,"Medium","Low"))</f>
        <v>Low</v>
      </c>
      <c r="M644" s="0" t="n">
        <v>-7.757</v>
      </c>
      <c r="N644" s="3" t="n">
        <v>0.0419</v>
      </c>
      <c r="O644" s="3" t="n">
        <v>0.537</v>
      </c>
      <c r="P644" s="4" t="n">
        <v>0.00261</v>
      </c>
      <c r="Q644" s="3" t="n">
        <v>0.0936</v>
      </c>
      <c r="R644" s="3" t="n">
        <v>0.461</v>
      </c>
      <c r="S644" s="3" t="str">
        <f aca="false">IF(R644 &gt;= 0.5, "Positive", "Negative")</f>
        <v>Negative</v>
      </c>
      <c r="T644" s="2" t="n">
        <v>121.996</v>
      </c>
      <c r="U644" s="0" t="s">
        <v>22</v>
      </c>
    </row>
    <row r="645" customFormat="false" ht="14.25" hidden="false" customHeight="false" outlineLevel="0" collapsed="false">
      <c r="A645" s="0" t="n">
        <v>128</v>
      </c>
      <c r="B645" s="0" t="str">
        <f aca="false">_xlfn.xlookup(A645, artists!A$2:A$836, artists!B$2:B$836)</f>
        <v>Sunshine Anderson</v>
      </c>
      <c r="C645" s="1" t="s">
        <v>685</v>
      </c>
      <c r="D645" s="2" t="n">
        <v>295826</v>
      </c>
      <c r="E645" s="2" t="n">
        <f aca="false">D645/1000</f>
        <v>295.826</v>
      </c>
      <c r="F645" s="10" t="b">
        <f aca="false">FALSE()</f>
        <v>0</v>
      </c>
      <c r="G645" s="0" t="n">
        <v>4</v>
      </c>
      <c r="H645" s="0" t="n">
        <f aca="false">_xlfn.xlookup(G645, years!A$2:A$836, years!B$2:B$836)</f>
        <v>2001</v>
      </c>
      <c r="I645" s="2" t="n">
        <v>56</v>
      </c>
      <c r="J645" s="0" t="n">
        <v>0.697</v>
      </c>
      <c r="K645" s="0" t="n">
        <v>0.925</v>
      </c>
      <c r="L645" s="3" t="str">
        <f aca="false">IF(K645&gt;0.66,"High",IF(K645&gt;0.33&amp;K645&lt;=0.66,"Medium","Low"))</f>
        <v>High</v>
      </c>
      <c r="M645" s="0" t="n">
        <v>-4.209</v>
      </c>
      <c r="N645" s="3" t="n">
        <v>0.216</v>
      </c>
      <c r="O645" s="3" t="n">
        <v>0.0614</v>
      </c>
      <c r="P645" s="4" t="n">
        <v>0</v>
      </c>
      <c r="Q645" s="3" t="n">
        <v>0.095</v>
      </c>
      <c r="R645" s="3" t="n">
        <v>0.678</v>
      </c>
      <c r="S645" s="3" t="str">
        <f aca="false">IF(R645 &gt;= 0.5, "Positive", "Negative")</f>
        <v>Positive</v>
      </c>
      <c r="T645" s="2" t="n">
        <v>96.951</v>
      </c>
      <c r="U645" s="0" t="s">
        <v>33</v>
      </c>
    </row>
    <row r="646" customFormat="false" ht="14.25" hidden="false" customHeight="false" outlineLevel="0" collapsed="false">
      <c r="A646" s="0" t="n">
        <v>566</v>
      </c>
      <c r="B646" s="0" t="str">
        <f aca="false">_xlfn.xlookup(A646, artists!A$2:A$836, artists!B$2:B$836)</f>
        <v>Demi Lovato</v>
      </c>
      <c r="C646" s="1" t="s">
        <v>686</v>
      </c>
      <c r="D646" s="2" t="n">
        <v>210840</v>
      </c>
      <c r="E646" s="2" t="n">
        <f aca="false">D646/1000</f>
        <v>210.84</v>
      </c>
      <c r="F646" s="10" t="b">
        <f aca="false">FALSE()</f>
        <v>0</v>
      </c>
      <c r="G646" s="0" t="n">
        <v>16</v>
      </c>
      <c r="H646" s="0" t="n">
        <f aca="false">_xlfn.xlookup(G646, years!A$2:A$836, years!B$2:B$836)</f>
        <v>2013</v>
      </c>
      <c r="I646" s="2" t="n">
        <v>79</v>
      </c>
      <c r="J646" s="0" t="n">
        <v>0.504</v>
      </c>
      <c r="K646" s="0" t="n">
        <v>0.785</v>
      </c>
      <c r="L646" s="3" t="str">
        <f aca="false">IF(K646&gt;0.66,"High",IF(K646&gt;0.33&amp;K646&lt;=0.66,"Medium","Low"))</f>
        <v>High</v>
      </c>
      <c r="M646" s="0" t="n">
        <v>-4.802</v>
      </c>
      <c r="N646" s="3" t="n">
        <v>0.104</v>
      </c>
      <c r="O646" s="3" t="n">
        <v>0.0738</v>
      </c>
      <c r="P646" s="4" t="n">
        <v>0</v>
      </c>
      <c r="Q646" s="3" t="n">
        <v>0.239</v>
      </c>
      <c r="R646" s="3" t="n">
        <v>0.502</v>
      </c>
      <c r="S646" s="3" t="str">
        <f aca="false">IF(R646 &gt;= 0.5, "Positive", "Negative")</f>
        <v>Positive</v>
      </c>
      <c r="T646" s="2" t="n">
        <v>173.968</v>
      </c>
      <c r="U646" s="0" t="s">
        <v>39</v>
      </c>
    </row>
    <row r="647" customFormat="false" ht="14.25" hidden="false" customHeight="false" outlineLevel="0" collapsed="false">
      <c r="A647" s="0" t="n">
        <v>514</v>
      </c>
      <c r="B647" s="0" t="str">
        <f aca="false">_xlfn.xlookup(A647, artists!A$2:A$836, artists!B$2:B$836)</f>
        <v>Olly Murs</v>
      </c>
      <c r="C647" s="1" t="s">
        <v>687</v>
      </c>
      <c r="D647" s="2" t="n">
        <v>202266</v>
      </c>
      <c r="E647" s="2" t="n">
        <f aca="false">D647/1000</f>
        <v>202.266</v>
      </c>
      <c r="F647" s="10" t="b">
        <f aca="false">FALSE()</f>
        <v>0</v>
      </c>
      <c r="G647" s="0" t="n">
        <v>14</v>
      </c>
      <c r="H647" s="0" t="n">
        <f aca="false">_xlfn.xlookup(G647, years!A$2:A$836, years!B$2:B$836)</f>
        <v>2011</v>
      </c>
      <c r="I647" s="2" t="n">
        <v>61</v>
      </c>
      <c r="J647" s="0" t="n">
        <v>0.843</v>
      </c>
      <c r="K647" s="0" t="n">
        <v>0.881</v>
      </c>
      <c r="L647" s="3" t="str">
        <f aca="false">IF(K647&gt;0.66,"High",IF(K647&gt;0.33&amp;K647&lt;=0.66,"Medium","Low"))</f>
        <v>High</v>
      </c>
      <c r="M647" s="0" t="n">
        <v>-3.951</v>
      </c>
      <c r="N647" s="3" t="n">
        <v>0.0581</v>
      </c>
      <c r="O647" s="3" t="n">
        <v>0.14</v>
      </c>
      <c r="P647" s="4" t="n">
        <v>0</v>
      </c>
      <c r="Q647" s="3" t="n">
        <v>0.0765</v>
      </c>
      <c r="R647" s="3" t="n">
        <v>0.876</v>
      </c>
      <c r="S647" s="3" t="str">
        <f aca="false">IF(R647 &gt;= 0.5, "Positive", "Negative")</f>
        <v>Positive</v>
      </c>
      <c r="T647" s="2" t="n">
        <v>110.621</v>
      </c>
      <c r="U647" s="0" t="s">
        <v>22</v>
      </c>
    </row>
    <row r="648" customFormat="false" ht="14.25" hidden="false" customHeight="false" outlineLevel="0" collapsed="false">
      <c r="A648" s="0" t="n">
        <v>404</v>
      </c>
      <c r="B648" s="0" t="str">
        <f aca="false">_xlfn.xlookup(A648, artists!A$2:A$836, artists!B$2:B$836)</f>
        <v>will.i.am</v>
      </c>
      <c r="C648" s="1" t="s">
        <v>688</v>
      </c>
      <c r="D648" s="2" t="n">
        <v>327880</v>
      </c>
      <c r="E648" s="2" t="n">
        <f aca="false">D648/1000</f>
        <v>327.88</v>
      </c>
      <c r="F648" s="10" t="b">
        <f aca="false">TRUE()</f>
        <v>1</v>
      </c>
      <c r="G648" s="0" t="n">
        <v>10</v>
      </c>
      <c r="H648" s="0" t="n">
        <f aca="false">_xlfn.xlookup(G648, years!A$2:A$836, years!B$2:B$836)</f>
        <v>2007</v>
      </c>
      <c r="I648" s="2" t="n">
        <v>46</v>
      </c>
      <c r="J648" s="0" t="n">
        <v>0.788</v>
      </c>
      <c r="K648" s="0" t="n">
        <v>0.549</v>
      </c>
      <c r="L648" s="3" t="str">
        <f aca="false">IF(K648&gt;0.66,"High",IF(K648&gt;0.33&amp;K648&lt;=0.66,"Medium","Low"))</f>
        <v>Low</v>
      </c>
      <c r="M648" s="0" t="n">
        <v>-8.793</v>
      </c>
      <c r="N648" s="3" t="n">
        <v>0.0732</v>
      </c>
      <c r="O648" s="3" t="n">
        <v>0.0352</v>
      </c>
      <c r="P648" s="4" t="n">
        <v>0.127</v>
      </c>
      <c r="Q648" s="3" t="n">
        <v>0.147</v>
      </c>
      <c r="R648" s="3" t="n">
        <v>0.449</v>
      </c>
      <c r="S648" s="3" t="str">
        <f aca="false">IF(R648 &gt;= 0.5, "Positive", "Negative")</f>
        <v>Negative</v>
      </c>
      <c r="T648" s="2" t="n">
        <v>120.051</v>
      </c>
      <c r="U648" s="0" t="s">
        <v>24</v>
      </c>
    </row>
    <row r="649" customFormat="false" ht="14.25" hidden="false" customHeight="false" outlineLevel="0" collapsed="false">
      <c r="A649" s="0" t="n">
        <v>379</v>
      </c>
      <c r="B649" s="0" t="str">
        <f aca="false">_xlfn.xlookup(A649, artists!A$2:A$836, artists!B$2:B$836)</f>
        <v>T2</v>
      </c>
      <c r="C649" s="1" t="s">
        <v>689</v>
      </c>
      <c r="D649" s="2" t="n">
        <v>178613</v>
      </c>
      <c r="E649" s="2" t="n">
        <f aca="false">D649/1000</f>
        <v>178.613</v>
      </c>
      <c r="F649" s="10" t="b">
        <f aca="false">FALSE()</f>
        <v>0</v>
      </c>
      <c r="G649" s="0" t="n">
        <v>20</v>
      </c>
      <c r="H649" s="0" t="n">
        <f aca="false">_xlfn.xlookup(G649, years!A$2:A$836, years!B$2:B$836)</f>
        <v>2017</v>
      </c>
      <c r="I649" s="2" t="n">
        <v>59</v>
      </c>
      <c r="J649" s="0" t="n">
        <v>0.716</v>
      </c>
      <c r="K649" s="0" t="n">
        <v>0.757</v>
      </c>
      <c r="L649" s="3" t="str">
        <f aca="false">IF(K649&gt;0.66,"High",IF(K649&gt;0.33&amp;K649&lt;=0.66,"Medium","Low"))</f>
        <v>High</v>
      </c>
      <c r="M649" s="0" t="n">
        <v>-5.438</v>
      </c>
      <c r="N649" s="3" t="n">
        <v>0.0329</v>
      </c>
      <c r="O649" s="3" t="n">
        <v>0.0258</v>
      </c>
      <c r="P649" s="4" t="n">
        <v>0.00392</v>
      </c>
      <c r="Q649" s="3" t="n">
        <v>0.16</v>
      </c>
      <c r="R649" s="3" t="n">
        <v>0.877</v>
      </c>
      <c r="S649" s="3" t="str">
        <f aca="false">IF(R649 &gt;= 0.5, "Positive", "Negative")</f>
        <v>Positive</v>
      </c>
      <c r="T649" s="2" t="n">
        <v>139.986</v>
      </c>
      <c r="U649" s="0" t="s">
        <v>48</v>
      </c>
    </row>
    <row r="650" customFormat="false" ht="14.25" hidden="false" customHeight="false" outlineLevel="0" collapsed="false">
      <c r="A650" s="0" t="n">
        <v>269</v>
      </c>
      <c r="B650" s="0" t="str">
        <f aca="false">_xlfn.xlookup(A650, artists!A$2:A$836, artists!B$2:B$836)</f>
        <v>Kanye West</v>
      </c>
      <c r="C650" s="1" t="s">
        <v>690</v>
      </c>
      <c r="D650" s="2" t="n">
        <v>211000</v>
      </c>
      <c r="E650" s="2" t="n">
        <f aca="false">D650/1000</f>
        <v>211</v>
      </c>
      <c r="F650" s="10" t="b">
        <f aca="false">FALSE()</f>
        <v>0</v>
      </c>
      <c r="G650" s="0" t="n">
        <v>11</v>
      </c>
      <c r="H650" s="0" t="n">
        <f aca="false">_xlfn.xlookup(G650, years!A$2:A$836, years!B$2:B$836)</f>
        <v>2008</v>
      </c>
      <c r="I650" s="2" t="n">
        <v>82</v>
      </c>
      <c r="J650" s="0" t="n">
        <v>0.79</v>
      </c>
      <c r="K650" s="0" t="n">
        <v>0.647</v>
      </c>
      <c r="L650" s="3" t="str">
        <f aca="false">IF(K650&gt;0.66,"High",IF(K650&gt;0.33&amp;K650&lt;=0.66,"Medium","Low"))</f>
        <v>Low</v>
      </c>
      <c r="M650" s="0" t="n">
        <v>-5.983</v>
      </c>
      <c r="N650" s="3" t="n">
        <v>0.136</v>
      </c>
      <c r="O650" s="3" t="n">
        <v>0.0515</v>
      </c>
      <c r="P650" s="4" t="n">
        <v>0</v>
      </c>
      <c r="Q650" s="3" t="n">
        <v>0.248</v>
      </c>
      <c r="R650" s="3" t="n">
        <v>0.654</v>
      </c>
      <c r="S650" s="3" t="str">
        <f aca="false">IF(R650 &gt;= 0.5, "Positive", "Negative")</f>
        <v>Positive</v>
      </c>
      <c r="T650" s="2" t="n">
        <v>87.999</v>
      </c>
      <c r="U650" s="0" t="s">
        <v>29</v>
      </c>
    </row>
    <row r="651" customFormat="false" ht="14.25" hidden="false" customHeight="false" outlineLevel="0" collapsed="false">
      <c r="A651" s="0" t="n">
        <v>651</v>
      </c>
      <c r="B651" s="0" t="str">
        <f aca="false">_xlfn.xlookup(A651, artists!A$2:A$836, artists!B$2:B$836)</f>
        <v>Twenty One Pilots</v>
      </c>
      <c r="C651" s="1" t="s">
        <v>691</v>
      </c>
      <c r="D651" s="2" t="n">
        <v>195920</v>
      </c>
      <c r="E651" s="2" t="n">
        <f aca="false">D651/1000</f>
        <v>195.92</v>
      </c>
      <c r="F651" s="10" t="b">
        <f aca="false">FALSE()</f>
        <v>0</v>
      </c>
      <c r="G651" s="0" t="n">
        <v>19</v>
      </c>
      <c r="H651" s="0" t="n">
        <f aca="false">_xlfn.xlookup(G651, years!A$2:A$836, years!B$2:B$836)</f>
        <v>2016</v>
      </c>
      <c r="I651" s="2" t="n">
        <v>80</v>
      </c>
      <c r="J651" s="0" t="n">
        <v>0.732</v>
      </c>
      <c r="K651" s="0" t="n">
        <v>0.396</v>
      </c>
      <c r="L651" s="3" t="str">
        <f aca="false">IF(K651&gt;0.66,"High",IF(K651&gt;0.33&amp;K651&lt;=0.66,"Medium","Low"))</f>
        <v>Low</v>
      </c>
      <c r="M651" s="0" t="n">
        <v>-9.348</v>
      </c>
      <c r="N651" s="3" t="n">
        <v>0.0286</v>
      </c>
      <c r="O651" s="3" t="n">
        <v>0.0841</v>
      </c>
      <c r="P651" s="4" t="n">
        <v>3.58E-005</v>
      </c>
      <c r="Q651" s="3" t="n">
        <v>0.105</v>
      </c>
      <c r="R651" s="3" t="n">
        <v>0.548</v>
      </c>
      <c r="S651" s="3" t="str">
        <f aca="false">IF(R651 &gt;= 0.5, "Positive", "Negative")</f>
        <v>Positive</v>
      </c>
      <c r="T651" s="2" t="n">
        <v>90.024</v>
      </c>
      <c r="U651" s="0" t="s">
        <v>43</v>
      </c>
    </row>
    <row r="652" customFormat="false" ht="14.25" hidden="false" customHeight="false" outlineLevel="0" collapsed="false">
      <c r="A652" s="0" t="n">
        <v>182</v>
      </c>
      <c r="B652" s="0" t="str">
        <f aca="false">_xlfn.xlookup(A652, artists!A$2:A$836, artists!B$2:B$836)</f>
        <v>DJ Sammy</v>
      </c>
      <c r="C652" s="1" t="s">
        <v>692</v>
      </c>
      <c r="D652" s="2" t="n">
        <v>233600</v>
      </c>
      <c r="E652" s="2" t="n">
        <f aca="false">D652/1000</f>
        <v>233.6</v>
      </c>
      <c r="F652" s="10" t="b">
        <f aca="false">FALSE()</f>
        <v>0</v>
      </c>
      <c r="G652" s="0" t="n">
        <v>5</v>
      </c>
      <c r="H652" s="0" t="n">
        <f aca="false">_xlfn.xlookup(G652, years!A$2:A$836, years!B$2:B$836)</f>
        <v>2002</v>
      </c>
      <c r="I652" s="2" t="n">
        <v>63</v>
      </c>
      <c r="J652" s="0" t="n">
        <v>0.571</v>
      </c>
      <c r="K652" s="0" t="n">
        <v>0.953</v>
      </c>
      <c r="L652" s="3" t="str">
        <f aca="false">IF(K652&gt;0.66,"High",IF(K652&gt;0.33&amp;K652&lt;=0.66,"Medium","Low"))</f>
        <v>High</v>
      </c>
      <c r="M652" s="0" t="n">
        <v>-5.601</v>
      </c>
      <c r="N652" s="3" t="n">
        <v>0.0548</v>
      </c>
      <c r="O652" s="3" t="n">
        <v>0.0011</v>
      </c>
      <c r="P652" s="4" t="n">
        <v>0.000606</v>
      </c>
      <c r="Q652" s="3" t="n">
        <v>0.226</v>
      </c>
      <c r="R652" s="3" t="n">
        <v>0.601</v>
      </c>
      <c r="S652" s="3" t="str">
        <f aca="false">IF(R652 &gt;= 0.5, "Positive", "Negative")</f>
        <v>Positive</v>
      </c>
      <c r="T652" s="2" t="n">
        <v>137.965</v>
      </c>
      <c r="U652" s="0" t="s">
        <v>39</v>
      </c>
    </row>
    <row r="653" customFormat="false" ht="14.25" hidden="false" customHeight="false" outlineLevel="0" collapsed="false">
      <c r="A653" s="0" t="n">
        <v>140</v>
      </c>
      <c r="B653" s="0" t="str">
        <f aca="false">_xlfn.xlookup(A653, artists!A$2:A$836, artists!B$2:B$836)</f>
        <v>OPM</v>
      </c>
      <c r="C653" s="1" t="s">
        <v>693</v>
      </c>
      <c r="D653" s="2" t="n">
        <v>257426</v>
      </c>
      <c r="E653" s="2" t="n">
        <f aca="false">D653/1000</f>
        <v>257.426</v>
      </c>
      <c r="F653" s="10" t="b">
        <f aca="false">TRUE()</f>
        <v>1</v>
      </c>
      <c r="G653" s="0" t="n">
        <v>3</v>
      </c>
      <c r="H653" s="0" t="n">
        <f aca="false">_xlfn.xlookup(G653, years!A$2:A$836, years!B$2:B$836)</f>
        <v>2000</v>
      </c>
      <c r="I653" s="2" t="n">
        <v>56</v>
      </c>
      <c r="J653" s="0" t="n">
        <v>0.743</v>
      </c>
      <c r="K653" s="0" t="n">
        <v>0.894</v>
      </c>
      <c r="L653" s="3" t="str">
        <f aca="false">IF(K653&gt;0.66,"High",IF(K653&gt;0.33&amp;K653&lt;=0.66,"Medium","Low"))</f>
        <v>High</v>
      </c>
      <c r="M653" s="0" t="n">
        <v>-6.886</v>
      </c>
      <c r="N653" s="3" t="n">
        <v>0.0349</v>
      </c>
      <c r="O653" s="3" t="n">
        <v>0.0755</v>
      </c>
      <c r="P653" s="4" t="n">
        <v>0.00283</v>
      </c>
      <c r="Q653" s="3" t="n">
        <v>0.367</v>
      </c>
      <c r="R653" s="3" t="n">
        <v>0.77</v>
      </c>
      <c r="S653" s="3" t="str">
        <f aca="false">IF(R653 &gt;= 0.5, "Positive", "Negative")</f>
        <v>Positive</v>
      </c>
      <c r="T653" s="2" t="n">
        <v>95.9</v>
      </c>
      <c r="U653" s="0" t="s">
        <v>43</v>
      </c>
    </row>
    <row r="654" customFormat="false" ht="14.25" hidden="false" customHeight="false" outlineLevel="0" collapsed="false">
      <c r="A654" s="0" t="n">
        <v>149</v>
      </c>
      <c r="B654" s="0" t="str">
        <f aca="false">_xlfn.xlookup(A654, artists!A$2:A$836, artists!B$2:B$836)</f>
        <v>No Doubt</v>
      </c>
      <c r="C654" s="1" t="s">
        <v>694</v>
      </c>
      <c r="D654" s="2" t="n">
        <v>242586</v>
      </c>
      <c r="E654" s="2" t="n">
        <f aca="false">D654/1000</f>
        <v>242.586</v>
      </c>
      <c r="F654" s="10" t="b">
        <f aca="false">FALSE()</f>
        <v>0</v>
      </c>
      <c r="G654" s="0" t="n">
        <v>4</v>
      </c>
      <c r="H654" s="0" t="n">
        <f aca="false">_xlfn.xlookup(G654, years!A$2:A$836, years!B$2:B$836)</f>
        <v>2001</v>
      </c>
      <c r="I654" s="2" t="n">
        <v>26</v>
      </c>
      <c r="J654" s="0" t="n">
        <v>0.771</v>
      </c>
      <c r="K654" s="0" t="n">
        <v>0.665</v>
      </c>
      <c r="L654" s="3" t="str">
        <f aca="false">IF(K654&gt;0.66,"High",IF(K654&gt;0.33&amp;K654&lt;=0.66,"Medium","Low"))</f>
        <v>High</v>
      </c>
      <c r="M654" s="0" t="n">
        <v>-3.954</v>
      </c>
      <c r="N654" s="3" t="n">
        <v>0.035</v>
      </c>
      <c r="O654" s="3" t="n">
        <v>0.0135</v>
      </c>
      <c r="P654" s="4" t="n">
        <v>0.0123</v>
      </c>
      <c r="Q654" s="3" t="n">
        <v>0.0903</v>
      </c>
      <c r="R654" s="3" t="n">
        <v>0.844</v>
      </c>
      <c r="S654" s="3" t="str">
        <f aca="false">IF(R654 &gt;= 0.5, "Positive", "Negative")</f>
        <v>Positive</v>
      </c>
      <c r="T654" s="2" t="n">
        <v>115.142</v>
      </c>
      <c r="U654" s="0" t="s">
        <v>35</v>
      </c>
    </row>
    <row r="655" customFormat="false" ht="14.25" hidden="false" customHeight="false" outlineLevel="0" collapsed="false">
      <c r="A655" s="0" t="n">
        <v>436</v>
      </c>
      <c r="B655" s="0" t="str">
        <f aca="false">_xlfn.xlookup(A655, artists!A$2:A$836, artists!B$2:B$836)</f>
        <v>Adele</v>
      </c>
      <c r="C655" s="1" t="s">
        <v>695</v>
      </c>
      <c r="D655" s="2" t="n">
        <v>295502</v>
      </c>
      <c r="E655" s="2" t="n">
        <f aca="false">D655/1000</f>
        <v>295.502</v>
      </c>
      <c r="F655" s="10" t="b">
        <f aca="false">FALSE()</f>
        <v>0</v>
      </c>
      <c r="G655" s="0" t="n">
        <v>18</v>
      </c>
      <c r="H655" s="0" t="n">
        <f aca="false">_xlfn.xlookup(G655, years!A$2:A$836, years!B$2:B$836)</f>
        <v>2015</v>
      </c>
      <c r="I655" s="2" t="n">
        <v>1</v>
      </c>
      <c r="J655" s="0" t="n">
        <v>0.471</v>
      </c>
      <c r="K655" s="0" t="n">
        <v>0.431</v>
      </c>
      <c r="L655" s="3" t="str">
        <f aca="false">IF(K655&gt;0.66,"High",IF(K655&gt;0.33&amp;K655&lt;=0.66,"Medium","Low"))</f>
        <v>Low</v>
      </c>
      <c r="M655" s="0" t="n">
        <v>-6.129</v>
      </c>
      <c r="N655" s="3" t="n">
        <v>0.0342</v>
      </c>
      <c r="O655" s="3" t="n">
        <v>0.329</v>
      </c>
      <c r="P655" s="4" t="n">
        <v>0</v>
      </c>
      <c r="Q655" s="3" t="n">
        <v>0.0854</v>
      </c>
      <c r="R655" s="3" t="n">
        <v>0.289</v>
      </c>
      <c r="S655" s="3" t="str">
        <f aca="false">IF(R655 &gt;= 0.5, "Positive", "Negative")</f>
        <v>Negative</v>
      </c>
      <c r="T655" s="2" t="n">
        <v>157.98</v>
      </c>
      <c r="U655" s="0" t="s">
        <v>33</v>
      </c>
    </row>
    <row r="656" customFormat="false" ht="14.25" hidden="false" customHeight="false" outlineLevel="0" collapsed="false">
      <c r="A656" s="0" t="n">
        <v>69</v>
      </c>
      <c r="B656" s="0" t="str">
        <f aca="false">_xlfn.xlookup(A656, artists!A$2:A$836, artists!B$2:B$836)</f>
        <v>Fuel</v>
      </c>
      <c r="C656" s="1" t="s">
        <v>696</v>
      </c>
      <c r="D656" s="2" t="n">
        <v>236866</v>
      </c>
      <c r="E656" s="2" t="n">
        <f aca="false">D656/1000</f>
        <v>236.866</v>
      </c>
      <c r="F656" s="10" t="b">
        <f aca="false">FALSE()</f>
        <v>0</v>
      </c>
      <c r="G656" s="0" t="n">
        <v>3</v>
      </c>
      <c r="H656" s="0" t="n">
        <f aca="false">_xlfn.xlookup(G656, years!A$2:A$836, years!B$2:B$836)</f>
        <v>2000</v>
      </c>
      <c r="I656" s="2" t="n">
        <v>49</v>
      </c>
      <c r="J656" s="0" t="n">
        <v>0.313</v>
      </c>
      <c r="K656" s="0" t="n">
        <v>0.831</v>
      </c>
      <c r="L656" s="3" t="str">
        <f aca="false">IF(K656&gt;0.66,"High",IF(K656&gt;0.33&amp;K656&lt;=0.66,"Medium","Low"))</f>
        <v>High</v>
      </c>
      <c r="M656" s="0" t="n">
        <v>-3.894</v>
      </c>
      <c r="N656" s="3" t="n">
        <v>0.0404</v>
      </c>
      <c r="O656" s="3" t="n">
        <v>0.000127</v>
      </c>
      <c r="P656" s="4" t="n">
        <v>0.000341</v>
      </c>
      <c r="Q656" s="3" t="n">
        <v>0.24</v>
      </c>
      <c r="R656" s="3" t="n">
        <v>0.332</v>
      </c>
      <c r="S656" s="3" t="str">
        <f aca="false">IF(R656 &gt;= 0.5, "Positive", "Negative")</f>
        <v>Negative</v>
      </c>
      <c r="T656" s="2" t="n">
        <v>152.034</v>
      </c>
      <c r="U656" s="0" t="s">
        <v>697</v>
      </c>
    </row>
    <row r="657" customFormat="false" ht="14.25" hidden="false" customHeight="false" outlineLevel="0" collapsed="false">
      <c r="A657" s="0" t="n">
        <v>671</v>
      </c>
      <c r="B657" s="0" t="str">
        <f aca="false">_xlfn.xlookup(A657, artists!A$2:A$836, artists!B$2:B$836)</f>
        <v>Alessia Cara</v>
      </c>
      <c r="C657" s="1" t="s">
        <v>698</v>
      </c>
      <c r="D657" s="2" t="n">
        <v>199453</v>
      </c>
      <c r="E657" s="2" t="n">
        <f aca="false">D657/1000</f>
        <v>199.453</v>
      </c>
      <c r="F657" s="10" t="b">
        <f aca="false">FALSE()</f>
        <v>0</v>
      </c>
      <c r="G657" s="0" t="n">
        <v>18</v>
      </c>
      <c r="H657" s="0" t="n">
        <f aca="false">_xlfn.xlookup(G657, years!A$2:A$836, years!B$2:B$836)</f>
        <v>2015</v>
      </c>
      <c r="I657" s="2" t="n">
        <v>0</v>
      </c>
      <c r="J657" s="0" t="n">
        <v>0.379</v>
      </c>
      <c r="K657" s="0" t="n">
        <v>0.799</v>
      </c>
      <c r="L657" s="3" t="str">
        <f aca="false">IF(K657&gt;0.66,"High",IF(K657&gt;0.33&amp;K657&lt;=0.66,"Medium","Low"))</f>
        <v>High</v>
      </c>
      <c r="M657" s="0" t="n">
        <v>-4.031</v>
      </c>
      <c r="N657" s="3" t="n">
        <v>0.163</v>
      </c>
      <c r="O657" s="3" t="n">
        <v>0.0804</v>
      </c>
      <c r="P657" s="4" t="n">
        <v>0</v>
      </c>
      <c r="Q657" s="3" t="n">
        <v>0.0793</v>
      </c>
      <c r="R657" s="3" t="n">
        <v>0.359</v>
      </c>
      <c r="S657" s="3" t="str">
        <f aca="false">IF(R657 &gt;= 0.5, "Positive", "Negative")</f>
        <v>Negative</v>
      </c>
      <c r="T657" s="2" t="n">
        <v>120.892</v>
      </c>
      <c r="U657" s="0" t="s">
        <v>33</v>
      </c>
    </row>
    <row r="658" customFormat="false" ht="14.25" hidden="false" customHeight="false" outlineLevel="0" collapsed="false">
      <c r="A658" s="0" t="n">
        <v>671</v>
      </c>
      <c r="B658" s="0" t="str">
        <f aca="false">_xlfn.xlookup(A658, artists!A$2:A$836, artists!B$2:B$836)</f>
        <v>Alessia Cara</v>
      </c>
      <c r="C658" s="1" t="s">
        <v>698</v>
      </c>
      <c r="D658" s="2" t="n">
        <v>199453</v>
      </c>
      <c r="E658" s="2" t="n">
        <f aca="false">D658/1000</f>
        <v>199.453</v>
      </c>
      <c r="F658" s="10" t="b">
        <f aca="false">FALSE()</f>
        <v>0</v>
      </c>
      <c r="G658" s="0" t="n">
        <v>19</v>
      </c>
      <c r="H658" s="0" t="n">
        <f aca="false">_xlfn.xlookup(G658, years!A$2:A$836, years!B$2:B$836)</f>
        <v>2016</v>
      </c>
      <c r="I658" s="2" t="n">
        <v>66</v>
      </c>
      <c r="J658" s="0" t="n">
        <v>0.376</v>
      </c>
      <c r="K658" s="0" t="n">
        <v>0.822</v>
      </c>
      <c r="L658" s="3" t="str">
        <f aca="false">IF(K658&gt;0.66,"High",IF(K658&gt;0.33&amp;K658&lt;=0.66,"Medium","Low"))</f>
        <v>High</v>
      </c>
      <c r="M658" s="0" t="n">
        <v>-3.974</v>
      </c>
      <c r="N658" s="3" t="n">
        <v>0.104</v>
      </c>
      <c r="O658" s="3" t="n">
        <v>0.0783</v>
      </c>
      <c r="P658" s="4" t="n">
        <v>0</v>
      </c>
      <c r="Q658" s="3" t="n">
        <v>0.0841</v>
      </c>
      <c r="R658" s="3" t="n">
        <v>0.327</v>
      </c>
      <c r="S658" s="3" t="str">
        <f aca="false">IF(R658 &gt;= 0.5, "Positive", "Negative")</f>
        <v>Negative</v>
      </c>
      <c r="T658" s="2" t="n">
        <v>120.493</v>
      </c>
      <c r="U658" s="0" t="s">
        <v>33</v>
      </c>
    </row>
    <row r="659" customFormat="false" ht="14.25" hidden="false" customHeight="false" outlineLevel="0" collapsed="false">
      <c r="A659" s="0" t="n">
        <v>186</v>
      </c>
      <c r="B659" s="0" t="str">
        <f aca="false">_xlfn.xlookup(A659, artists!A$2:A$836, artists!B$2:B$836)</f>
        <v>The Goo Goo Dolls</v>
      </c>
      <c r="C659" s="1" t="s">
        <v>699</v>
      </c>
      <c r="D659" s="2" t="n">
        <v>238173</v>
      </c>
      <c r="E659" s="2" t="n">
        <f aca="false">D659/1000</f>
        <v>238.173</v>
      </c>
      <c r="F659" s="10" t="b">
        <f aca="false">FALSE()</f>
        <v>0</v>
      </c>
      <c r="G659" s="0" t="n">
        <v>5</v>
      </c>
      <c r="H659" s="0" t="n">
        <f aca="false">_xlfn.xlookup(G659, years!A$2:A$836, years!B$2:B$836)</f>
        <v>2002</v>
      </c>
      <c r="I659" s="2" t="n">
        <v>56</v>
      </c>
      <c r="J659" s="0" t="n">
        <v>0.338</v>
      </c>
      <c r="K659" s="0" t="n">
        <v>0.685</v>
      </c>
      <c r="L659" s="3" t="str">
        <f aca="false">IF(K659&gt;0.66,"High",IF(K659&gt;0.33&amp;K659&lt;=0.66,"Medium","Low"))</f>
        <v>High</v>
      </c>
      <c r="M659" s="0" t="n">
        <v>-5.178</v>
      </c>
      <c r="N659" s="3" t="n">
        <v>0.0322</v>
      </c>
      <c r="O659" s="3" t="n">
        <v>0.00052</v>
      </c>
      <c r="P659" s="4" t="n">
        <v>0.000512</v>
      </c>
      <c r="Q659" s="3" t="n">
        <v>0.109</v>
      </c>
      <c r="R659" s="3" t="n">
        <v>0.221</v>
      </c>
      <c r="S659" s="3" t="str">
        <f aca="false">IF(R659 &gt;= 0.5, "Positive", "Negative")</f>
        <v>Negative</v>
      </c>
      <c r="T659" s="2" t="n">
        <v>102.192</v>
      </c>
      <c r="U659" s="0" t="s">
        <v>210</v>
      </c>
    </row>
    <row r="660" customFormat="false" ht="14.25" hidden="false" customHeight="false" outlineLevel="0" collapsed="false">
      <c r="A660" s="0" t="n">
        <v>66</v>
      </c>
      <c r="B660" s="0" t="str">
        <f aca="false">_xlfn.xlookup(A660, artists!A$2:A$836, artists!B$2:B$836)</f>
        <v>3 Doors Down</v>
      </c>
      <c r="C660" s="1" t="s">
        <v>700</v>
      </c>
      <c r="D660" s="2" t="n">
        <v>238733</v>
      </c>
      <c r="E660" s="2" t="n">
        <f aca="false">D660/1000</f>
        <v>238.733</v>
      </c>
      <c r="F660" s="10" t="b">
        <f aca="false">FALSE()</f>
        <v>0</v>
      </c>
      <c r="G660" s="0" t="n">
        <v>5</v>
      </c>
      <c r="H660" s="0" t="n">
        <f aca="false">_xlfn.xlookup(G660, years!A$2:A$836, years!B$2:B$836)</f>
        <v>2002</v>
      </c>
      <c r="I660" s="2" t="n">
        <v>74</v>
      </c>
      <c r="J660" s="0" t="n">
        <v>0.557</v>
      </c>
      <c r="K660" s="0" t="n">
        <v>0.533</v>
      </c>
      <c r="L660" s="3" t="str">
        <f aca="false">IF(K660&gt;0.66,"High",IF(K660&gt;0.33&amp;K660&lt;=0.66,"Medium","Low"))</f>
        <v>Low</v>
      </c>
      <c r="M660" s="0" t="n">
        <v>-6.817</v>
      </c>
      <c r="N660" s="3" t="n">
        <v>0.0252</v>
      </c>
      <c r="O660" s="3" t="n">
        <v>0.0492</v>
      </c>
      <c r="P660" s="4" t="n">
        <v>0</v>
      </c>
      <c r="Q660" s="3" t="n">
        <v>0.205</v>
      </c>
      <c r="R660" s="3" t="n">
        <v>0.233</v>
      </c>
      <c r="S660" s="3" t="str">
        <f aca="false">IF(R660 &gt;= 0.5, "Positive", "Negative")</f>
        <v>Negative</v>
      </c>
      <c r="T660" s="2" t="n">
        <v>143.994</v>
      </c>
      <c r="U660" s="0" t="s">
        <v>221</v>
      </c>
    </row>
    <row r="661" customFormat="false" ht="14.25" hidden="false" customHeight="false" outlineLevel="0" collapsed="false">
      <c r="A661" s="0" t="n">
        <v>146</v>
      </c>
      <c r="B661" s="0" t="str">
        <f aca="false">_xlfn.xlookup(A661, artists!A$2:A$836, artists!B$2:B$836)</f>
        <v>Avril Lavigne</v>
      </c>
      <c r="C661" s="1" t="s">
        <v>701</v>
      </c>
      <c r="D661" s="2" t="n">
        <v>214080</v>
      </c>
      <c r="E661" s="2" t="n">
        <f aca="false">D661/1000</f>
        <v>214.08</v>
      </c>
      <c r="F661" s="10" t="b">
        <f aca="false">TRUE()</f>
        <v>1</v>
      </c>
      <c r="G661" s="0" t="n">
        <v>16</v>
      </c>
      <c r="H661" s="0" t="n">
        <f aca="false">_xlfn.xlookup(G661, years!A$2:A$836, years!B$2:B$836)</f>
        <v>2013</v>
      </c>
      <c r="I661" s="2" t="n">
        <v>0</v>
      </c>
      <c r="J661" s="0" t="n">
        <v>0.483</v>
      </c>
      <c r="K661" s="0" t="n">
        <v>0.871</v>
      </c>
      <c r="L661" s="3" t="str">
        <f aca="false">IF(K661&gt;0.66,"High",IF(K661&gt;0.33&amp;K661&lt;=0.66,"Medium","Low"))</f>
        <v>High</v>
      </c>
      <c r="M661" s="0" t="n">
        <v>-3.084</v>
      </c>
      <c r="N661" s="3" t="n">
        <v>0.101</v>
      </c>
      <c r="O661" s="3" t="n">
        <v>0.015</v>
      </c>
      <c r="P661" s="4" t="n">
        <v>0</v>
      </c>
      <c r="Q661" s="3" t="n">
        <v>0.415</v>
      </c>
      <c r="R661" s="3" t="n">
        <v>0.716</v>
      </c>
      <c r="S661" s="3" t="str">
        <f aca="false">IF(R661 &gt;= 0.5, "Positive", "Negative")</f>
        <v>Positive</v>
      </c>
      <c r="T661" s="2" t="n">
        <v>164.986</v>
      </c>
      <c r="U661" s="0" t="s">
        <v>39</v>
      </c>
    </row>
    <row r="662" customFormat="false" ht="14.25" hidden="false" customHeight="false" outlineLevel="0" collapsed="false">
      <c r="A662" s="0" t="n">
        <v>158</v>
      </c>
      <c r="B662" s="0" t="str">
        <f aca="false">_xlfn.xlookup(A662, artists!A$2:A$836, artists!B$2:B$836)</f>
        <v>Chad Kroeger</v>
      </c>
      <c r="C662" s="1" t="s">
        <v>702</v>
      </c>
      <c r="D662" s="2" t="n">
        <v>200480</v>
      </c>
      <c r="E662" s="2" t="n">
        <f aca="false">D662/1000</f>
        <v>200.48</v>
      </c>
      <c r="F662" s="10" t="b">
        <f aca="false">FALSE()</f>
        <v>0</v>
      </c>
      <c r="G662" s="0" t="n">
        <v>6</v>
      </c>
      <c r="H662" s="0" t="n">
        <f aca="false">_xlfn.xlookup(G662, years!A$2:A$836, years!B$2:B$836)</f>
        <v>2003</v>
      </c>
      <c r="I662" s="2" t="n">
        <v>66</v>
      </c>
      <c r="J662" s="0" t="n">
        <v>0.427</v>
      </c>
      <c r="K662" s="0" t="n">
        <v>0.843</v>
      </c>
      <c r="L662" s="3" t="str">
        <f aca="false">IF(K662&gt;0.66,"High",IF(K662&gt;0.33&amp;K662&lt;=0.66,"Medium","Low"))</f>
        <v>High</v>
      </c>
      <c r="M662" s="0" t="n">
        <v>-4.54</v>
      </c>
      <c r="N662" s="3" t="n">
        <v>0.0364</v>
      </c>
      <c r="O662" s="3" t="n">
        <v>0.00216</v>
      </c>
      <c r="P662" s="4" t="n">
        <v>0</v>
      </c>
      <c r="Q662" s="3" t="n">
        <v>0.179</v>
      </c>
      <c r="R662" s="3" t="n">
        <v>0.304</v>
      </c>
      <c r="S662" s="3" t="str">
        <f aca="false">IF(R662 &gt;= 0.5, "Positive", "Negative")</f>
        <v>Negative</v>
      </c>
      <c r="T662" s="2" t="n">
        <v>147.387</v>
      </c>
      <c r="U662" s="0" t="s">
        <v>27</v>
      </c>
    </row>
    <row r="663" customFormat="false" ht="14.25" hidden="false" customHeight="false" outlineLevel="0" collapsed="false">
      <c r="A663" s="0" t="n">
        <v>557</v>
      </c>
      <c r="B663" s="0" t="str">
        <f aca="false">_xlfn.xlookup(A663, artists!A$2:A$836, artists!B$2:B$836)</f>
        <v>Alesso</v>
      </c>
      <c r="C663" s="1" t="s">
        <v>703</v>
      </c>
      <c r="D663" s="2" t="n">
        <v>209866</v>
      </c>
      <c r="E663" s="2" t="n">
        <f aca="false">D663/1000</f>
        <v>209.866</v>
      </c>
      <c r="F663" s="10" t="b">
        <f aca="false">FALSE()</f>
        <v>0</v>
      </c>
      <c r="G663" s="0" t="n">
        <v>17</v>
      </c>
      <c r="H663" s="0" t="n">
        <f aca="false">_xlfn.xlookup(G663, years!A$2:A$836, years!B$2:B$836)</f>
        <v>2014</v>
      </c>
      <c r="I663" s="2" t="n">
        <v>52</v>
      </c>
      <c r="J663" s="0" t="n">
        <v>0.521</v>
      </c>
      <c r="K663" s="0" t="n">
        <v>0.754</v>
      </c>
      <c r="L663" s="3" t="str">
        <f aca="false">IF(K663&gt;0.66,"High",IF(K663&gt;0.33&amp;K663&lt;=0.66,"Medium","Low"))</f>
        <v>High</v>
      </c>
      <c r="M663" s="0" t="n">
        <v>-4.144</v>
      </c>
      <c r="N663" s="3" t="n">
        <v>0.0634</v>
      </c>
      <c r="O663" s="3" t="n">
        <v>0.0373</v>
      </c>
      <c r="P663" s="4" t="n">
        <v>0</v>
      </c>
      <c r="Q663" s="3" t="n">
        <v>0.239</v>
      </c>
      <c r="R663" s="3" t="n">
        <v>0.352</v>
      </c>
      <c r="S663" s="3" t="str">
        <f aca="false">IF(R663 &gt;= 0.5, "Positive", "Negative")</f>
        <v>Negative</v>
      </c>
      <c r="T663" s="2" t="n">
        <v>125.876</v>
      </c>
      <c r="U663" s="0" t="s">
        <v>22</v>
      </c>
    </row>
    <row r="664" customFormat="false" ht="14.25" hidden="false" customHeight="false" outlineLevel="0" collapsed="false">
      <c r="A664" s="0" t="n">
        <v>149</v>
      </c>
      <c r="B664" s="0" t="str">
        <f aca="false">_xlfn.xlookup(A664, artists!A$2:A$836, artists!B$2:B$836)</f>
        <v>No Doubt</v>
      </c>
      <c r="C664" s="1" t="s">
        <v>704</v>
      </c>
      <c r="D664" s="2" t="n">
        <v>207040</v>
      </c>
      <c r="E664" s="2" t="n">
        <f aca="false">D664/1000</f>
        <v>207.04</v>
      </c>
      <c r="F664" s="10" t="b">
        <f aca="false">FALSE()</f>
        <v>0</v>
      </c>
      <c r="G664" s="0" t="n">
        <v>4</v>
      </c>
      <c r="H664" s="0" t="n">
        <f aca="false">_xlfn.xlookup(G664, years!A$2:A$836, years!B$2:B$836)</f>
        <v>2001</v>
      </c>
      <c r="I664" s="2" t="n">
        <v>24</v>
      </c>
      <c r="J664" s="0" t="n">
        <v>0.705</v>
      </c>
      <c r="K664" s="0" t="n">
        <v>0.872</v>
      </c>
      <c r="L664" s="3" t="str">
        <f aca="false">IF(K664&gt;0.66,"High",IF(K664&gt;0.33&amp;K664&lt;=0.66,"Medium","Low"))</f>
        <v>High</v>
      </c>
      <c r="M664" s="0" t="n">
        <v>-3.557</v>
      </c>
      <c r="N664" s="3" t="n">
        <v>0.125</v>
      </c>
      <c r="O664" s="3" t="n">
        <v>0.0602</v>
      </c>
      <c r="P664" s="4" t="n">
        <v>0</v>
      </c>
      <c r="Q664" s="3" t="n">
        <v>0.228</v>
      </c>
      <c r="R664" s="3" t="n">
        <v>0.746</v>
      </c>
      <c r="S664" s="3" t="str">
        <f aca="false">IF(R664 &gt;= 0.5, "Positive", "Negative")</f>
        <v>Positive</v>
      </c>
      <c r="T664" s="2" t="n">
        <v>93.63</v>
      </c>
      <c r="U664" s="0" t="s">
        <v>35</v>
      </c>
    </row>
    <row r="665" customFormat="false" ht="14.25" hidden="false" customHeight="false" outlineLevel="0" collapsed="false">
      <c r="A665" s="0" t="n">
        <v>440</v>
      </c>
      <c r="B665" s="0" t="str">
        <f aca="false">_xlfn.xlookup(A665, artists!A$2:A$836, artists!B$2:B$836)</f>
        <v>Pitbull</v>
      </c>
      <c r="C665" s="1" t="s">
        <v>705</v>
      </c>
      <c r="D665" s="2" t="n">
        <v>234453</v>
      </c>
      <c r="E665" s="2" t="n">
        <f aca="false">D665/1000</f>
        <v>234.453</v>
      </c>
      <c r="F665" s="10" t="b">
        <f aca="false">FALSE()</f>
        <v>0</v>
      </c>
      <c r="G665" s="0" t="n">
        <v>14</v>
      </c>
      <c r="H665" s="0" t="n">
        <f aca="false">_xlfn.xlookup(G665, years!A$2:A$836, years!B$2:B$836)</f>
        <v>2011</v>
      </c>
      <c r="I665" s="2" t="n">
        <v>71</v>
      </c>
      <c r="J665" s="0" t="n">
        <v>0.595</v>
      </c>
      <c r="K665" s="0" t="n">
        <v>0.912</v>
      </c>
      <c r="L665" s="3" t="str">
        <f aca="false">IF(K665&gt;0.66,"High",IF(K665&gt;0.33&amp;K665&lt;=0.66,"Medium","Low"))</f>
        <v>High</v>
      </c>
      <c r="M665" s="0" t="n">
        <v>-3.428</v>
      </c>
      <c r="N665" s="3" t="n">
        <v>0.0884</v>
      </c>
      <c r="O665" s="3" t="n">
        <v>0.0434</v>
      </c>
      <c r="P665" s="4" t="n">
        <v>0</v>
      </c>
      <c r="Q665" s="3" t="n">
        <v>0.259</v>
      </c>
      <c r="R665" s="3" t="n">
        <v>0.762</v>
      </c>
      <c r="S665" s="3" t="str">
        <f aca="false">IF(R665 &gt;= 0.5, "Positive", "Negative")</f>
        <v>Positive</v>
      </c>
      <c r="T665" s="2" t="n">
        <v>128.024</v>
      </c>
      <c r="U665" s="0" t="s">
        <v>483</v>
      </c>
    </row>
    <row r="666" customFormat="false" ht="14.25" hidden="false" customHeight="false" outlineLevel="0" collapsed="false">
      <c r="A666" s="0" t="n">
        <v>54</v>
      </c>
      <c r="B666" s="0" t="str">
        <f aca="false">_xlfn.xlookup(A666, artists!A$2:A$836, artists!B$2:B$836)</f>
        <v>DJ Ötzi</v>
      </c>
      <c r="C666" s="1" t="s">
        <v>706</v>
      </c>
      <c r="D666" s="2" t="n">
        <v>219240</v>
      </c>
      <c r="E666" s="2" t="n">
        <f aca="false">D666/1000</f>
        <v>219.24</v>
      </c>
      <c r="F666" s="10" t="b">
        <f aca="false">FALSE()</f>
        <v>0</v>
      </c>
      <c r="G666" s="0" t="n">
        <v>13</v>
      </c>
      <c r="H666" s="0" t="n">
        <f aca="false">_xlfn.xlookup(G666, years!A$2:A$836, years!B$2:B$836)</f>
        <v>2010</v>
      </c>
      <c r="I666" s="2" t="n">
        <v>58</v>
      </c>
      <c r="J666" s="0" t="n">
        <v>0.666</v>
      </c>
      <c r="K666" s="0" t="n">
        <v>0.968</v>
      </c>
      <c r="L666" s="3" t="str">
        <f aca="false">IF(K666&gt;0.66,"High",IF(K666&gt;0.33&amp;K666&lt;=0.66,"Medium","Low"))</f>
        <v>High</v>
      </c>
      <c r="M666" s="0" t="n">
        <v>-3.196</v>
      </c>
      <c r="N666" s="3" t="n">
        <v>0.046</v>
      </c>
      <c r="O666" s="3" t="n">
        <v>0.123</v>
      </c>
      <c r="P666" s="4" t="n">
        <v>0</v>
      </c>
      <c r="Q666" s="3" t="n">
        <v>0.347</v>
      </c>
      <c r="R666" s="3" t="n">
        <v>0.834</v>
      </c>
      <c r="S666" s="3" t="str">
        <f aca="false">IF(R666 &gt;= 0.5, "Positive", "Negative")</f>
        <v>Positive</v>
      </c>
      <c r="T666" s="2" t="n">
        <v>135.099</v>
      </c>
      <c r="U666" s="0" t="s">
        <v>707</v>
      </c>
    </row>
    <row r="667" customFormat="false" ht="14.25" hidden="false" customHeight="false" outlineLevel="0" collapsed="false">
      <c r="A667" s="0" t="n">
        <v>542</v>
      </c>
      <c r="B667" s="0" t="str">
        <f aca="false">_xlfn.xlookup(A667, artists!A$2:A$836, artists!B$2:B$836)</f>
        <v>Avicii</v>
      </c>
      <c r="C667" s="1" t="s">
        <v>708</v>
      </c>
      <c r="D667" s="2" t="n">
        <v>255093</v>
      </c>
      <c r="E667" s="2" t="n">
        <f aca="false">D667/1000</f>
        <v>255.093</v>
      </c>
      <c r="F667" s="10" t="b">
        <f aca="false">FALSE()</f>
        <v>0</v>
      </c>
      <c r="G667" s="0" t="n">
        <v>16</v>
      </c>
      <c r="H667" s="0" t="n">
        <f aca="false">_xlfn.xlookup(G667, years!A$2:A$836, years!B$2:B$836)</f>
        <v>2013</v>
      </c>
      <c r="I667" s="2" t="n">
        <v>2</v>
      </c>
      <c r="J667" s="0" t="n">
        <v>0.545</v>
      </c>
      <c r="K667" s="0" t="n">
        <v>0.78</v>
      </c>
      <c r="L667" s="3" t="str">
        <f aca="false">IF(K667&gt;0.66,"High",IF(K667&gt;0.33&amp;K667&lt;=0.66,"Medium","Low"))</f>
        <v>High</v>
      </c>
      <c r="M667" s="0" t="n">
        <v>-4.867</v>
      </c>
      <c r="N667" s="3" t="n">
        <v>0.0436</v>
      </c>
      <c r="O667" s="3" t="n">
        <v>0.0309</v>
      </c>
      <c r="P667" s="4" t="n">
        <v>4.64E-005</v>
      </c>
      <c r="Q667" s="3" t="n">
        <v>0.0828</v>
      </c>
      <c r="R667" s="3" t="n">
        <v>0.458</v>
      </c>
      <c r="S667" s="3" t="str">
        <f aca="false">IF(R667 &gt;= 0.5, "Positive", "Negative")</f>
        <v>Negative</v>
      </c>
      <c r="T667" s="2" t="n">
        <v>125.014</v>
      </c>
      <c r="U667" s="0" t="s">
        <v>22</v>
      </c>
    </row>
    <row r="668" customFormat="false" ht="14.25" hidden="false" customHeight="false" outlineLevel="0" collapsed="false">
      <c r="A668" s="0" t="n">
        <v>120</v>
      </c>
      <c r="B668" s="0" t="str">
        <f aca="false">_xlfn.xlookup(A668, artists!A$2:A$836, artists!B$2:B$836)</f>
        <v>Usher</v>
      </c>
      <c r="C668" s="1" t="s">
        <v>709</v>
      </c>
      <c r="D668" s="2" t="n">
        <v>224093</v>
      </c>
      <c r="E668" s="2" t="n">
        <f aca="false">D668/1000</f>
        <v>224.093</v>
      </c>
      <c r="F668" s="10" t="b">
        <f aca="false">FALSE()</f>
        <v>0</v>
      </c>
      <c r="G668" s="0" t="n">
        <v>13</v>
      </c>
      <c r="H668" s="0" t="n">
        <f aca="false">_xlfn.xlookup(G668, years!A$2:A$836, years!B$2:B$836)</f>
        <v>2010</v>
      </c>
      <c r="I668" s="2" t="n">
        <v>60</v>
      </c>
      <c r="J668" s="0" t="n">
        <v>0.59</v>
      </c>
      <c r="K668" s="0" t="n">
        <v>0.698</v>
      </c>
      <c r="L668" s="3" t="str">
        <f aca="false">IF(K668&gt;0.66,"High",IF(K668&gt;0.33&amp;K668&lt;=0.66,"Medium","Low"))</f>
        <v>High</v>
      </c>
      <c r="M668" s="0" t="n">
        <v>-4.262</v>
      </c>
      <c r="N668" s="3" t="n">
        <v>0.0286</v>
      </c>
      <c r="O668" s="3" t="n">
        <v>0.000176</v>
      </c>
      <c r="P668" s="4" t="n">
        <v>0</v>
      </c>
      <c r="Q668" s="3" t="n">
        <v>0.107</v>
      </c>
      <c r="R668" s="3" t="n">
        <v>0.352</v>
      </c>
      <c r="S668" s="3" t="str">
        <f aca="false">IF(R668 &gt;= 0.5, "Positive", "Negative")</f>
        <v>Negative</v>
      </c>
      <c r="T668" s="2" t="n">
        <v>95.975</v>
      </c>
      <c r="U668" s="0" t="s">
        <v>31</v>
      </c>
    </row>
    <row r="669" customFormat="false" ht="14.25" hidden="false" customHeight="false" outlineLevel="0" collapsed="false">
      <c r="A669" s="0" t="n">
        <v>344</v>
      </c>
      <c r="B669" s="0" t="str">
        <f aca="false">_xlfn.xlookup(A669, artists!A$2:A$836, artists!B$2:B$836)</f>
        <v>Bubba Sparxxx</v>
      </c>
      <c r="C669" s="1" t="s">
        <v>710</v>
      </c>
      <c r="D669" s="2" t="n">
        <v>252653</v>
      </c>
      <c r="E669" s="2" t="n">
        <f aca="false">D669/1000</f>
        <v>252.653</v>
      </c>
      <c r="F669" s="10" t="b">
        <f aca="false">TRUE()</f>
        <v>1</v>
      </c>
      <c r="G669" s="0" t="n">
        <v>8</v>
      </c>
      <c r="H669" s="0" t="n">
        <f aca="false">_xlfn.xlookup(G669, years!A$2:A$836, years!B$2:B$836)</f>
        <v>2005</v>
      </c>
      <c r="I669" s="2" t="n">
        <v>62</v>
      </c>
      <c r="J669" s="0" t="n">
        <v>0.64</v>
      </c>
      <c r="K669" s="0" t="n">
        <v>0.62</v>
      </c>
      <c r="L669" s="3" t="str">
        <f aca="false">IF(K669&gt;0.66,"High",IF(K669&gt;0.33&amp;K669&lt;=0.66,"Medium","Low"))</f>
        <v>Low</v>
      </c>
      <c r="M669" s="0" t="n">
        <v>-5.931</v>
      </c>
      <c r="N669" s="3" t="n">
        <v>0.416</v>
      </c>
      <c r="O669" s="3" t="n">
        <v>0.016</v>
      </c>
      <c r="P669" s="4" t="n">
        <v>0</v>
      </c>
      <c r="Q669" s="3" t="n">
        <v>0.0831</v>
      </c>
      <c r="R669" s="3" t="n">
        <v>0.609</v>
      </c>
      <c r="S669" s="3" t="str">
        <f aca="false">IF(R669 &gt;= 0.5, "Positive", "Negative")</f>
        <v>Positive</v>
      </c>
      <c r="T669" s="2" t="n">
        <v>129.37</v>
      </c>
      <c r="U669" s="0" t="s">
        <v>711</v>
      </c>
    </row>
    <row r="670" customFormat="false" ht="14.25" hidden="false" customHeight="false" outlineLevel="0" collapsed="false">
      <c r="A670" s="0" t="n">
        <v>438</v>
      </c>
      <c r="B670" s="0" t="str">
        <f aca="false">_xlfn.xlookup(A670, artists!A$2:A$836, artists!B$2:B$836)</f>
        <v>David Guetta</v>
      </c>
      <c r="C670" s="1" t="s">
        <v>712</v>
      </c>
      <c r="D670" s="2" t="n">
        <v>192560</v>
      </c>
      <c r="E670" s="2" t="n">
        <f aca="false">D670/1000</f>
        <v>192.56</v>
      </c>
      <c r="F670" s="10" t="b">
        <f aca="false">FALSE()</f>
        <v>0</v>
      </c>
      <c r="G670" s="0" t="n">
        <v>17</v>
      </c>
      <c r="H670" s="0" t="n">
        <f aca="false">_xlfn.xlookup(G670, years!A$2:A$836, years!B$2:B$836)</f>
        <v>2014</v>
      </c>
      <c r="I670" s="2" t="n">
        <v>75</v>
      </c>
      <c r="J670" s="0" t="n">
        <v>0.596</v>
      </c>
      <c r="K670" s="0" t="n">
        <v>0.73</v>
      </c>
      <c r="L670" s="3" t="str">
        <f aca="false">IF(K670&gt;0.66,"High",IF(K670&gt;0.33&amp;K670&lt;=0.66,"Medium","Low"))</f>
        <v>High</v>
      </c>
      <c r="M670" s="0" t="n">
        <v>-4.091</v>
      </c>
      <c r="N670" s="3" t="n">
        <v>0.151</v>
      </c>
      <c r="O670" s="3" t="n">
        <v>0.24</v>
      </c>
      <c r="P670" s="4" t="n">
        <v>0</v>
      </c>
      <c r="Q670" s="3" t="n">
        <v>0.325</v>
      </c>
      <c r="R670" s="3" t="n">
        <v>0.525</v>
      </c>
      <c r="S670" s="3" t="str">
        <f aca="false">IF(R670 &gt;= 0.5, "Positive", "Negative")</f>
        <v>Positive</v>
      </c>
      <c r="T670" s="2" t="n">
        <v>85.979</v>
      </c>
      <c r="U670" s="0" t="s">
        <v>53</v>
      </c>
    </row>
    <row r="671" customFormat="false" ht="14.25" hidden="false" customHeight="false" outlineLevel="0" collapsed="false">
      <c r="A671" s="0" t="n">
        <v>81</v>
      </c>
      <c r="B671" s="0" t="str">
        <f aca="false">_xlfn.xlookup(A671, artists!A$2:A$836, artists!B$2:B$836)</f>
        <v>Nelly</v>
      </c>
      <c r="C671" s="1" t="s">
        <v>713</v>
      </c>
      <c r="D671" s="2" t="n">
        <v>209466</v>
      </c>
      <c r="E671" s="2" t="n">
        <f aca="false">D671/1000</f>
        <v>209.466</v>
      </c>
      <c r="F671" s="10" t="b">
        <f aca="false">TRUE()</f>
        <v>1</v>
      </c>
      <c r="G671" s="0" t="n">
        <v>16</v>
      </c>
      <c r="H671" s="0" t="n">
        <f aca="false">_xlfn.xlookup(G671, years!A$2:A$836, years!B$2:B$836)</f>
        <v>2013</v>
      </c>
      <c r="I671" s="2" t="n">
        <v>57</v>
      </c>
      <c r="J671" s="0" t="n">
        <v>0.726</v>
      </c>
      <c r="K671" s="0" t="n">
        <v>0.795</v>
      </c>
      <c r="L671" s="3" t="str">
        <f aca="false">IF(K671&gt;0.66,"High",IF(K671&gt;0.33&amp;K671&lt;=0.66,"Medium","Low"))</f>
        <v>High</v>
      </c>
      <c r="M671" s="0" t="n">
        <v>-4.653</v>
      </c>
      <c r="N671" s="3" t="n">
        <v>0.029</v>
      </c>
      <c r="O671" s="3" t="n">
        <v>0.136</v>
      </c>
      <c r="P671" s="4" t="n">
        <v>0</v>
      </c>
      <c r="Q671" s="3" t="n">
        <v>0.698</v>
      </c>
      <c r="R671" s="3" t="n">
        <v>0.952</v>
      </c>
      <c r="S671" s="3" t="str">
        <f aca="false">IF(R671 &gt;= 0.5, "Positive", "Negative")</f>
        <v>Positive</v>
      </c>
      <c r="T671" s="2" t="n">
        <v>115.995</v>
      </c>
      <c r="U671" s="0" t="s">
        <v>31</v>
      </c>
    </row>
    <row r="672" customFormat="false" ht="14.25" hidden="false" customHeight="false" outlineLevel="0" collapsed="false">
      <c r="A672" s="0" t="n">
        <v>360</v>
      </c>
      <c r="B672" s="0" t="str">
        <f aca="false">_xlfn.xlookup(A672, artists!A$2:A$836, artists!B$2:B$836)</f>
        <v>Plain White T's</v>
      </c>
      <c r="C672" s="1" t="s">
        <v>714</v>
      </c>
      <c r="D672" s="2" t="n">
        <v>232533</v>
      </c>
      <c r="E672" s="2" t="n">
        <f aca="false">D672/1000</f>
        <v>232.533</v>
      </c>
      <c r="F672" s="10" t="b">
        <f aca="false">FALSE()</f>
        <v>0</v>
      </c>
      <c r="G672" s="0" t="n">
        <v>8</v>
      </c>
      <c r="H672" s="0" t="n">
        <f aca="false">_xlfn.xlookup(G672, years!A$2:A$836, years!B$2:B$836)</f>
        <v>2005</v>
      </c>
      <c r="I672" s="2" t="n">
        <v>78</v>
      </c>
      <c r="J672" s="0" t="n">
        <v>0.656</v>
      </c>
      <c r="K672" s="0" t="n">
        <v>0.291</v>
      </c>
      <c r="L672" s="3" t="str">
        <f aca="false">IF(K672&gt;0.66,"High",IF(K672&gt;0.33&amp;K672&lt;=0.66,"Medium","Low"))</f>
        <v>Low</v>
      </c>
      <c r="M672" s="0" t="n">
        <v>-10.572</v>
      </c>
      <c r="N672" s="3" t="n">
        <v>0.0293</v>
      </c>
      <c r="O672" s="3" t="n">
        <v>0.872</v>
      </c>
      <c r="P672" s="4" t="n">
        <v>0</v>
      </c>
      <c r="Q672" s="3" t="n">
        <v>0.114</v>
      </c>
      <c r="R672" s="3" t="n">
        <v>0.298</v>
      </c>
      <c r="S672" s="3" t="str">
        <f aca="false">IF(R672 &gt;= 0.5, "Positive", "Negative")</f>
        <v>Negative</v>
      </c>
      <c r="T672" s="2" t="n">
        <v>103.971</v>
      </c>
      <c r="U672" s="0" t="s">
        <v>39</v>
      </c>
    </row>
    <row r="673" customFormat="false" ht="14.25" hidden="false" customHeight="false" outlineLevel="0" collapsed="false">
      <c r="A673" s="0" t="n">
        <v>104</v>
      </c>
      <c r="B673" s="0" t="str">
        <f aca="false">_xlfn.xlookup(A673, artists!A$2:A$836, artists!B$2:B$836)</f>
        <v>Outkast</v>
      </c>
      <c r="C673" s="1" t="s">
        <v>715</v>
      </c>
      <c r="D673" s="2" t="n">
        <v>235213</v>
      </c>
      <c r="E673" s="2" t="n">
        <f aca="false">D673/1000</f>
        <v>235.213</v>
      </c>
      <c r="F673" s="10" t="b">
        <f aca="false">FALSE()</f>
        <v>0</v>
      </c>
      <c r="G673" s="0" t="n">
        <v>6</v>
      </c>
      <c r="H673" s="0" t="n">
        <f aca="false">_xlfn.xlookup(G673, years!A$2:A$836, years!B$2:B$836)</f>
        <v>2003</v>
      </c>
      <c r="I673" s="2" t="n">
        <v>80</v>
      </c>
      <c r="J673" s="0" t="n">
        <v>0.727</v>
      </c>
      <c r="K673" s="0" t="n">
        <v>0.974</v>
      </c>
      <c r="L673" s="3" t="str">
        <f aca="false">IF(K673&gt;0.66,"High",IF(K673&gt;0.33&amp;K673&lt;=0.66,"Medium","Low"))</f>
        <v>High</v>
      </c>
      <c r="M673" s="0" t="n">
        <v>-2.261</v>
      </c>
      <c r="N673" s="3" t="n">
        <v>0.0664</v>
      </c>
      <c r="O673" s="3" t="n">
        <v>0.103</v>
      </c>
      <c r="P673" s="4" t="n">
        <v>0.000532</v>
      </c>
      <c r="Q673" s="3" t="n">
        <v>0.174</v>
      </c>
      <c r="R673" s="3" t="n">
        <v>0.965</v>
      </c>
      <c r="S673" s="3" t="str">
        <f aca="false">IF(R673 &gt;= 0.5, "Positive", "Negative")</f>
        <v>Positive</v>
      </c>
      <c r="T673" s="2" t="n">
        <v>79.526</v>
      </c>
      <c r="U673" s="0" t="s">
        <v>24</v>
      </c>
    </row>
    <row r="674" customFormat="false" ht="14.25" hidden="false" customHeight="false" outlineLevel="0" collapsed="false">
      <c r="A674" s="0" t="n">
        <v>624</v>
      </c>
      <c r="B674" s="0" t="str">
        <f aca="false">_xlfn.xlookup(A674, artists!A$2:A$836, artists!B$2:B$836)</f>
        <v>Kiesza</v>
      </c>
      <c r="C674" s="1" t="s">
        <v>716</v>
      </c>
      <c r="D674" s="2" t="n">
        <v>251986</v>
      </c>
      <c r="E674" s="2" t="n">
        <f aca="false">D674/1000</f>
        <v>251.986</v>
      </c>
      <c r="F674" s="10" t="b">
        <f aca="false">FALSE()</f>
        <v>0</v>
      </c>
      <c r="G674" s="0" t="n">
        <v>17</v>
      </c>
      <c r="H674" s="0" t="n">
        <f aca="false">_xlfn.xlookup(G674, years!A$2:A$836, years!B$2:B$836)</f>
        <v>2014</v>
      </c>
      <c r="I674" s="2" t="n">
        <v>64</v>
      </c>
      <c r="J674" s="0" t="n">
        <v>0.838</v>
      </c>
      <c r="K674" s="0" t="n">
        <v>0.72</v>
      </c>
      <c r="L674" s="3" t="str">
        <f aca="false">IF(K674&gt;0.66,"High",IF(K674&gt;0.33&amp;K674&lt;=0.66,"Medium","Low"))</f>
        <v>High</v>
      </c>
      <c r="M674" s="0" t="n">
        <v>-4.135</v>
      </c>
      <c r="N674" s="3" t="n">
        <v>0.0483</v>
      </c>
      <c r="O674" s="3" t="n">
        <v>0.0862</v>
      </c>
      <c r="P674" s="4" t="n">
        <v>0.00696</v>
      </c>
      <c r="Q674" s="3" t="n">
        <v>0.0772</v>
      </c>
      <c r="R674" s="3" t="n">
        <v>0.203</v>
      </c>
      <c r="S674" s="3" t="str">
        <f aca="false">IF(R674 &gt;= 0.5, "Positive", "Negative")</f>
        <v>Negative</v>
      </c>
      <c r="T674" s="2" t="n">
        <v>122.993</v>
      </c>
      <c r="U674" s="0" t="s">
        <v>22</v>
      </c>
    </row>
    <row r="675" customFormat="false" ht="14.25" hidden="false" customHeight="false" outlineLevel="0" collapsed="false">
      <c r="A675" s="0" t="n">
        <v>626</v>
      </c>
      <c r="B675" s="0" t="str">
        <f aca="false">_xlfn.xlookup(A675, artists!A$2:A$836, artists!B$2:B$836)</f>
        <v>Peking Duk</v>
      </c>
      <c r="C675" s="1" t="s">
        <v>717</v>
      </c>
      <c r="D675" s="2" t="n">
        <v>228000</v>
      </c>
      <c r="E675" s="2" t="n">
        <f aca="false">D675/1000</f>
        <v>228</v>
      </c>
      <c r="F675" s="10" t="b">
        <f aca="false">FALSE()</f>
        <v>0</v>
      </c>
      <c r="G675" s="0" t="n">
        <v>17</v>
      </c>
      <c r="H675" s="0" t="n">
        <f aca="false">_xlfn.xlookup(G675, years!A$2:A$836, years!B$2:B$836)</f>
        <v>2014</v>
      </c>
      <c r="I675" s="2" t="n">
        <v>48</v>
      </c>
      <c r="J675" s="0" t="n">
        <v>0.525</v>
      </c>
      <c r="K675" s="0" t="n">
        <v>0.803</v>
      </c>
      <c r="L675" s="3" t="str">
        <f aca="false">IF(K675&gt;0.66,"High",IF(K675&gt;0.33&amp;K675&lt;=0.66,"Medium","Low"))</f>
        <v>High</v>
      </c>
      <c r="M675" s="0" t="n">
        <v>-4.052</v>
      </c>
      <c r="N675" s="3" t="n">
        <v>0.0492</v>
      </c>
      <c r="O675" s="3" t="n">
        <v>0.00129</v>
      </c>
      <c r="P675" s="4" t="n">
        <v>0.000868</v>
      </c>
      <c r="Q675" s="3" t="n">
        <v>0.29</v>
      </c>
      <c r="R675" s="3" t="n">
        <v>0.383</v>
      </c>
      <c r="S675" s="3" t="str">
        <f aca="false">IF(R675 &gt;= 0.5, "Positive", "Negative")</f>
        <v>Negative</v>
      </c>
      <c r="T675" s="2" t="n">
        <v>100.094</v>
      </c>
      <c r="U675" s="0" t="s">
        <v>48</v>
      </c>
    </row>
    <row r="676" customFormat="false" ht="14.25" hidden="false" customHeight="false" outlineLevel="0" collapsed="false">
      <c r="A676" s="0" t="n">
        <v>561</v>
      </c>
      <c r="B676" s="0" t="str">
        <f aca="false">_xlfn.xlookup(A676, artists!A$2:A$836, artists!B$2:B$836)</f>
        <v>Lana Del Rey</v>
      </c>
      <c r="C676" s="1" t="s">
        <v>718</v>
      </c>
      <c r="D676" s="2" t="n">
        <v>257573</v>
      </c>
      <c r="E676" s="2" t="n">
        <f aca="false">D676/1000</f>
        <v>257.573</v>
      </c>
      <c r="F676" s="10" t="b">
        <f aca="false">TRUE()</f>
        <v>1</v>
      </c>
      <c r="G676" s="0" t="n">
        <v>18</v>
      </c>
      <c r="H676" s="0" t="n">
        <f aca="false">_xlfn.xlookup(G676, years!A$2:A$836, years!B$2:B$836)</f>
        <v>2015</v>
      </c>
      <c r="I676" s="2" t="n">
        <v>67</v>
      </c>
      <c r="J676" s="0" t="n">
        <v>0.536</v>
      </c>
      <c r="K676" s="0" t="n">
        <v>0.486</v>
      </c>
      <c r="L676" s="3" t="str">
        <f aca="false">IF(K676&gt;0.66,"High",IF(K676&gt;0.33&amp;K676&lt;=0.66,"Medium","Low"))</f>
        <v>Low</v>
      </c>
      <c r="M676" s="0" t="n">
        <v>-11.067</v>
      </c>
      <c r="N676" s="3" t="n">
        <v>0.0346</v>
      </c>
      <c r="O676" s="3" t="n">
        <v>0.244</v>
      </c>
      <c r="P676" s="4" t="n">
        <v>0.00788</v>
      </c>
      <c r="Q676" s="3" t="n">
        <v>0.12</v>
      </c>
      <c r="R676" s="3" t="n">
        <v>0.0968</v>
      </c>
      <c r="S676" s="3" t="str">
        <f aca="false">IF(R676 &gt;= 0.5, "Positive", "Negative")</f>
        <v>Negative</v>
      </c>
      <c r="T676" s="2" t="n">
        <v>131.988</v>
      </c>
      <c r="U676" s="0" t="s">
        <v>39</v>
      </c>
    </row>
    <row r="677" customFormat="false" ht="14.25" hidden="false" customHeight="false" outlineLevel="0" collapsed="false">
      <c r="A677" s="0" t="n">
        <v>348</v>
      </c>
      <c r="B677" s="0" t="str">
        <f aca="false">_xlfn.xlookup(A677, artists!A$2:A$836, artists!B$2:B$836)</f>
        <v>Panic! At The Disco</v>
      </c>
      <c r="C677" s="1" t="s">
        <v>719</v>
      </c>
      <c r="D677" s="2" t="n">
        <v>190946</v>
      </c>
      <c r="E677" s="2" t="n">
        <f aca="false">D677/1000</f>
        <v>190.946</v>
      </c>
      <c r="F677" s="10" t="b">
        <f aca="false">FALSE()</f>
        <v>0</v>
      </c>
      <c r="G677" s="0" t="n">
        <v>21</v>
      </c>
      <c r="H677" s="0" t="n">
        <f aca="false">_xlfn.xlookup(G677, years!A$2:A$836, years!B$2:B$836)</f>
        <v>2018</v>
      </c>
      <c r="I677" s="2" t="n">
        <v>80</v>
      </c>
      <c r="J677" s="0" t="n">
        <v>0.579</v>
      </c>
      <c r="K677" s="0" t="n">
        <v>0.904</v>
      </c>
      <c r="L677" s="3" t="str">
        <f aca="false">IF(K677&gt;0.66,"High",IF(K677&gt;0.33&amp;K677&lt;=0.66,"Medium","Low"))</f>
        <v>High</v>
      </c>
      <c r="M677" s="0" t="n">
        <v>-2.729</v>
      </c>
      <c r="N677" s="3" t="n">
        <v>0.0618</v>
      </c>
      <c r="O677" s="3" t="n">
        <v>0.193</v>
      </c>
      <c r="P677" s="4" t="n">
        <v>0</v>
      </c>
      <c r="Q677" s="3" t="n">
        <v>0.064</v>
      </c>
      <c r="R677" s="3" t="n">
        <v>0.681</v>
      </c>
      <c r="S677" s="3" t="str">
        <f aca="false">IF(R677 &gt;= 0.5, "Positive", "Negative")</f>
        <v>Positive</v>
      </c>
      <c r="T677" s="2" t="n">
        <v>82.014</v>
      </c>
      <c r="U677" s="0" t="s">
        <v>43</v>
      </c>
    </row>
    <row r="678" customFormat="false" ht="14.25" hidden="false" customHeight="false" outlineLevel="0" collapsed="false">
      <c r="A678" s="0" t="n">
        <v>77</v>
      </c>
      <c r="B678" s="0" t="str">
        <f aca="false">_xlfn.xlookup(A678, artists!A$2:A$836, artists!B$2:B$836)</f>
        <v>Creed</v>
      </c>
      <c r="C678" s="1" t="s">
        <v>720</v>
      </c>
      <c r="D678" s="2" t="n">
        <v>316733</v>
      </c>
      <c r="E678" s="2" t="n">
        <f aca="false">D678/1000</f>
        <v>316.733</v>
      </c>
      <c r="F678" s="10" t="b">
        <f aca="false">FALSE()</f>
        <v>0</v>
      </c>
      <c r="G678" s="0" t="n">
        <v>2</v>
      </c>
      <c r="H678" s="0" t="n">
        <f aca="false">_xlfn.xlookup(G678, years!A$2:A$836, years!B$2:B$836)</f>
        <v>1999</v>
      </c>
      <c r="I678" s="2" t="n">
        <v>69</v>
      </c>
      <c r="J678" s="0" t="n">
        <v>0.459</v>
      </c>
      <c r="K678" s="0" t="n">
        <v>0.83</v>
      </c>
      <c r="L678" s="3" t="str">
        <f aca="false">IF(K678&gt;0.66,"High",IF(K678&gt;0.33&amp;K678&lt;=0.66,"Medium","Low"))</f>
        <v>High</v>
      </c>
      <c r="M678" s="0" t="n">
        <v>-6.254</v>
      </c>
      <c r="N678" s="3" t="n">
        <v>0.0364</v>
      </c>
      <c r="O678" s="3" t="n">
        <v>5.15E-005</v>
      </c>
      <c r="P678" s="4" t="n">
        <v>0.00014</v>
      </c>
      <c r="Q678" s="3" t="n">
        <v>0.206</v>
      </c>
      <c r="R678" s="3" t="n">
        <v>0.431</v>
      </c>
      <c r="S678" s="3" t="str">
        <f aca="false">IF(R678 &gt;= 0.5, "Positive", "Negative")</f>
        <v>Negative</v>
      </c>
      <c r="T678" s="2" t="n">
        <v>155.827</v>
      </c>
      <c r="U678" s="0" t="s">
        <v>221</v>
      </c>
    </row>
    <row r="679" customFormat="false" ht="14.25" hidden="false" customHeight="false" outlineLevel="0" collapsed="false">
      <c r="A679" s="0" t="n">
        <v>496</v>
      </c>
      <c r="B679" s="0" t="str">
        <f aca="false">_xlfn.xlookup(A679, artists!A$2:A$836, artists!B$2:B$836)</f>
        <v>The Saturdays</v>
      </c>
      <c r="C679" s="1" t="s">
        <v>720</v>
      </c>
      <c r="D679" s="2" t="n">
        <v>207613</v>
      </c>
      <c r="E679" s="2" t="n">
        <f aca="false">D679/1000</f>
        <v>207.613</v>
      </c>
      <c r="F679" s="10" t="b">
        <f aca="false">FALSE()</f>
        <v>0</v>
      </c>
      <c r="G679" s="0" t="n">
        <v>13</v>
      </c>
      <c r="H679" s="0" t="n">
        <f aca="false">_xlfn.xlookup(G679, years!A$2:A$836, years!B$2:B$836)</f>
        <v>2010</v>
      </c>
      <c r="I679" s="2" t="n">
        <v>61</v>
      </c>
      <c r="J679" s="0" t="n">
        <v>0.639</v>
      </c>
      <c r="K679" s="0" t="n">
        <v>0.862</v>
      </c>
      <c r="L679" s="3" t="str">
        <f aca="false">IF(K679&gt;0.66,"High",IF(K679&gt;0.33&amp;K679&lt;=0.66,"Medium","Low"))</f>
        <v>High</v>
      </c>
      <c r="M679" s="0" t="n">
        <v>-3.292</v>
      </c>
      <c r="N679" s="3" t="n">
        <v>0.0341</v>
      </c>
      <c r="O679" s="3" t="n">
        <v>0.049</v>
      </c>
      <c r="P679" s="4" t="n">
        <v>6.81E-006</v>
      </c>
      <c r="Q679" s="3" t="n">
        <v>0.264</v>
      </c>
      <c r="R679" s="3" t="n">
        <v>0.596</v>
      </c>
      <c r="S679" s="3" t="str">
        <f aca="false">IF(R679 &gt;= 0.5, "Positive", "Negative")</f>
        <v>Positive</v>
      </c>
      <c r="T679" s="2" t="n">
        <v>117.011</v>
      </c>
      <c r="U679" s="0" t="s">
        <v>22</v>
      </c>
    </row>
    <row r="680" customFormat="false" ht="14.25" hidden="false" customHeight="false" outlineLevel="0" collapsed="false">
      <c r="A680" s="0" t="n">
        <v>472</v>
      </c>
      <c r="B680" s="0" t="str">
        <f aca="false">_xlfn.xlookup(A680, artists!A$2:A$836, artists!B$2:B$836)</f>
        <v>Taio Cruz</v>
      </c>
      <c r="C680" s="1" t="s">
        <v>720</v>
      </c>
      <c r="D680" s="2" t="n">
        <v>187626</v>
      </c>
      <c r="E680" s="2" t="n">
        <f aca="false">D680/1000</f>
        <v>187.626</v>
      </c>
      <c r="F680" s="10" t="b">
        <f aca="false">FALSE()</f>
        <v>0</v>
      </c>
      <c r="G680" s="0" t="n">
        <v>13</v>
      </c>
      <c r="H680" s="0" t="n">
        <f aca="false">_xlfn.xlookup(G680, years!A$2:A$836, years!B$2:B$836)</f>
        <v>2010</v>
      </c>
      <c r="I680" s="2" t="n">
        <v>61</v>
      </c>
      <c r="J680" s="0" t="n">
        <v>0.672</v>
      </c>
      <c r="K680" s="0" t="n">
        <v>0.907</v>
      </c>
      <c r="L680" s="3" t="str">
        <f aca="false">IF(K680&gt;0.66,"High",IF(K680&gt;0.33&amp;K680&lt;=0.66,"Medium","Low"))</f>
        <v>High</v>
      </c>
      <c r="M680" s="0" t="n">
        <v>-5.069</v>
      </c>
      <c r="N680" s="3" t="n">
        <v>0.0721</v>
      </c>
      <c r="O680" s="3" t="n">
        <v>0.0048</v>
      </c>
      <c r="P680" s="4" t="n">
        <v>3.4E-005</v>
      </c>
      <c r="Q680" s="3" t="n">
        <v>0.156</v>
      </c>
      <c r="R680" s="3" t="n">
        <v>0.746</v>
      </c>
      <c r="S680" s="3" t="str">
        <f aca="false">IF(R680 &gt;= 0.5, "Positive", "Negative")</f>
        <v>Positive</v>
      </c>
      <c r="T680" s="2" t="n">
        <v>128.027</v>
      </c>
      <c r="U680" s="0" t="s">
        <v>24</v>
      </c>
    </row>
    <row r="681" customFormat="false" ht="14.25" hidden="false" customHeight="false" outlineLevel="0" collapsed="false">
      <c r="A681" s="0" t="n">
        <v>635</v>
      </c>
      <c r="B681" s="0" t="str">
        <f aca="false">_xlfn.xlookup(A681, artists!A$2:A$836, artists!B$2:B$836)</f>
        <v>Clean Bandit</v>
      </c>
      <c r="C681" s="1" t="s">
        <v>721</v>
      </c>
      <c r="D681" s="2" t="n">
        <v>251088</v>
      </c>
      <c r="E681" s="2" t="n">
        <f aca="false">D681/1000</f>
        <v>251.088</v>
      </c>
      <c r="F681" s="10" t="b">
        <f aca="false">FALSE()</f>
        <v>0</v>
      </c>
      <c r="G681" s="0" t="n">
        <v>19</v>
      </c>
      <c r="H681" s="0" t="n">
        <f aca="false">_xlfn.xlookup(G681, years!A$2:A$836, years!B$2:B$836)</f>
        <v>2016</v>
      </c>
      <c r="I681" s="2" t="n">
        <v>75</v>
      </c>
      <c r="J681" s="0" t="n">
        <v>0.72</v>
      </c>
      <c r="K681" s="0" t="n">
        <v>0.763</v>
      </c>
      <c r="L681" s="3" t="str">
        <f aca="false">IF(K681&gt;0.66,"High",IF(K681&gt;0.33&amp;K681&lt;=0.66,"Medium","Low"))</f>
        <v>High</v>
      </c>
      <c r="M681" s="0" t="n">
        <v>-4.068</v>
      </c>
      <c r="N681" s="3" t="n">
        <v>0.0523</v>
      </c>
      <c r="O681" s="3" t="n">
        <v>0.406</v>
      </c>
      <c r="P681" s="4" t="n">
        <v>0</v>
      </c>
      <c r="Q681" s="3" t="n">
        <v>0.18</v>
      </c>
      <c r="R681" s="3" t="n">
        <v>0.742</v>
      </c>
      <c r="S681" s="3" t="str">
        <f aca="false">IF(R681 &gt;= 0.5, "Positive", "Negative")</f>
        <v>Positive</v>
      </c>
      <c r="T681" s="2" t="n">
        <v>101.965</v>
      </c>
      <c r="U681" s="0" t="s">
        <v>22</v>
      </c>
    </row>
    <row r="682" customFormat="false" ht="14.25" hidden="false" customHeight="false" outlineLevel="0" collapsed="false">
      <c r="A682" s="0" t="n">
        <v>402</v>
      </c>
      <c r="B682" s="0" t="str">
        <f aca="false">_xlfn.xlookup(A682, artists!A$2:A$836, artists!B$2:B$836)</f>
        <v>Lil Wayne</v>
      </c>
      <c r="C682" s="1" t="s">
        <v>722</v>
      </c>
      <c r="D682" s="2" t="n">
        <v>243490</v>
      </c>
      <c r="E682" s="2" t="n">
        <f aca="false">D682/1000</f>
        <v>243.49</v>
      </c>
      <c r="F682" s="10" t="b">
        <f aca="false">TRUE()</f>
        <v>1</v>
      </c>
      <c r="G682" s="0" t="n">
        <v>19</v>
      </c>
      <c r="H682" s="0" t="n">
        <f aca="false">_xlfn.xlookup(G682, years!A$2:A$836, years!B$2:B$836)</f>
        <v>2016</v>
      </c>
      <c r="I682" s="2" t="n">
        <v>75</v>
      </c>
      <c r="J682" s="0" t="n">
        <v>0.502</v>
      </c>
      <c r="K682" s="0" t="n">
        <v>0.786</v>
      </c>
      <c r="L682" s="3" t="str">
        <f aca="false">IF(K682&gt;0.66,"High",IF(K682&gt;0.33&amp;K682&lt;=0.66,"Medium","Low"))</f>
        <v>High</v>
      </c>
      <c r="M682" s="0" t="n">
        <v>-4.378</v>
      </c>
      <c r="N682" s="3" t="n">
        <v>0.317</v>
      </c>
      <c r="O682" s="3" t="n">
        <v>0.255</v>
      </c>
      <c r="P682" s="4" t="n">
        <v>0</v>
      </c>
      <c r="Q682" s="3" t="n">
        <v>0.65</v>
      </c>
      <c r="R682" s="3" t="n">
        <v>0.739</v>
      </c>
      <c r="S682" s="3" t="str">
        <f aca="false">IF(R682 &gt;= 0.5, "Positive", "Negative")</f>
        <v>Positive</v>
      </c>
      <c r="T682" s="2" t="n">
        <v>169.021</v>
      </c>
      <c r="U682" s="0" t="s">
        <v>24</v>
      </c>
    </row>
    <row r="683" customFormat="false" ht="14.25" hidden="false" customHeight="false" outlineLevel="0" collapsed="false">
      <c r="A683" s="0" t="n">
        <v>84</v>
      </c>
      <c r="B683" s="0" t="str">
        <f aca="false">_xlfn.xlookup(A683, artists!A$2:A$836, artists!B$2:B$836)</f>
        <v>Shakira</v>
      </c>
      <c r="C683" s="1" t="s">
        <v>723</v>
      </c>
      <c r="D683" s="2" t="n">
        <v>218093</v>
      </c>
      <c r="E683" s="2" t="n">
        <f aca="false">D683/1000</f>
        <v>218.093</v>
      </c>
      <c r="F683" s="10" t="b">
        <f aca="false">FALSE()</f>
        <v>0</v>
      </c>
      <c r="G683" s="0" t="n">
        <v>8</v>
      </c>
      <c r="H683" s="0" t="n">
        <f aca="false">_xlfn.xlookup(G683, years!A$2:A$836, years!B$2:B$836)</f>
        <v>2005</v>
      </c>
      <c r="I683" s="2" t="n">
        <v>82</v>
      </c>
      <c r="J683" s="0" t="n">
        <v>0.778</v>
      </c>
      <c r="K683" s="0" t="n">
        <v>0.824</v>
      </c>
      <c r="L683" s="3" t="str">
        <f aca="false">IF(K683&gt;0.66,"High",IF(K683&gt;0.33&amp;K683&lt;=0.66,"Medium","Low"))</f>
        <v>High</v>
      </c>
      <c r="M683" s="0" t="n">
        <v>-5.892</v>
      </c>
      <c r="N683" s="3" t="n">
        <v>0.0707</v>
      </c>
      <c r="O683" s="3" t="n">
        <v>0.284</v>
      </c>
      <c r="P683" s="4" t="n">
        <v>0</v>
      </c>
      <c r="Q683" s="3" t="n">
        <v>0.405</v>
      </c>
      <c r="R683" s="3" t="n">
        <v>0.758</v>
      </c>
      <c r="S683" s="3" t="str">
        <f aca="false">IF(R683 &gt;= 0.5, "Positive", "Negative")</f>
        <v>Positive</v>
      </c>
      <c r="T683" s="2" t="n">
        <v>100.024</v>
      </c>
      <c r="U683" s="0" t="s">
        <v>75</v>
      </c>
    </row>
    <row r="684" customFormat="false" ht="14.25" hidden="false" customHeight="false" outlineLevel="0" collapsed="false">
      <c r="A684" s="0" t="n">
        <v>194</v>
      </c>
      <c r="B684" s="0" t="str">
        <f aca="false">_xlfn.xlookup(A684, artists!A$2:A$836, artists!B$2:B$836)</f>
        <v>Black Eyed Peas</v>
      </c>
      <c r="C684" s="1" t="s">
        <v>724</v>
      </c>
      <c r="D684" s="2" t="n">
        <v>326960</v>
      </c>
      <c r="E684" s="2" t="n">
        <f aca="false">D684/1000</f>
        <v>326.96</v>
      </c>
      <c r="F684" s="10" t="b">
        <f aca="false">FALSE()</f>
        <v>0</v>
      </c>
      <c r="G684" s="0" t="n">
        <v>8</v>
      </c>
      <c r="H684" s="0" t="n">
        <f aca="false">_xlfn.xlookup(G684, years!A$2:A$836, years!B$2:B$836)</f>
        <v>2005</v>
      </c>
      <c r="I684" s="2" t="n">
        <v>67</v>
      </c>
      <c r="J684" s="0" t="n">
        <v>0.802</v>
      </c>
      <c r="K684" s="0" t="n">
        <v>0.682</v>
      </c>
      <c r="L684" s="3" t="str">
        <f aca="false">IF(K684&gt;0.66,"High",IF(K684&gt;0.33&amp;K684&lt;=0.66,"Medium","Low"))</f>
        <v>High</v>
      </c>
      <c r="M684" s="0" t="n">
        <v>-5.924</v>
      </c>
      <c r="N684" s="3" t="n">
        <v>0.222</v>
      </c>
      <c r="O684" s="3" t="n">
        <v>0.111</v>
      </c>
      <c r="P684" s="4" t="n">
        <v>1.39E-005</v>
      </c>
      <c r="Q684" s="3" t="n">
        <v>0.109</v>
      </c>
      <c r="R684" s="3" t="n">
        <v>0.586</v>
      </c>
      <c r="S684" s="3" t="str">
        <f aca="false">IF(R684 &gt;= 0.5, "Positive", "Negative")</f>
        <v>Positive</v>
      </c>
      <c r="T684" s="2" t="n">
        <v>123.95</v>
      </c>
      <c r="U684" s="0" t="s">
        <v>24</v>
      </c>
    </row>
    <row r="685" customFormat="false" ht="14.25" hidden="false" customHeight="false" outlineLevel="0" collapsed="false">
      <c r="A685" s="0" t="n">
        <v>732</v>
      </c>
      <c r="B685" s="0" t="str">
        <f aca="false">_xlfn.xlookup(A685, artists!A$2:A$836, artists!B$2:B$836)</f>
        <v>Chord Overstreet</v>
      </c>
      <c r="C685" s="1" t="s">
        <v>725</v>
      </c>
      <c r="D685" s="2" t="n">
        <v>198853</v>
      </c>
      <c r="E685" s="2" t="n">
        <f aca="false">D685/1000</f>
        <v>198.853</v>
      </c>
      <c r="F685" s="10" t="b">
        <f aca="false">FALSE()</f>
        <v>0</v>
      </c>
      <c r="G685" s="0" t="n">
        <v>20</v>
      </c>
      <c r="H685" s="0" t="n">
        <f aca="false">_xlfn.xlookup(G685, years!A$2:A$836, years!B$2:B$836)</f>
        <v>2017</v>
      </c>
      <c r="I685" s="2" t="n">
        <v>80</v>
      </c>
      <c r="J685" s="0" t="n">
        <v>0.618</v>
      </c>
      <c r="K685" s="0" t="n">
        <v>0.443</v>
      </c>
      <c r="L685" s="3" t="str">
        <f aca="false">IF(K685&gt;0.66,"High",IF(K685&gt;0.33&amp;K685&lt;=0.66,"Medium","Low"))</f>
        <v>Low</v>
      </c>
      <c r="M685" s="0" t="n">
        <v>-9.681</v>
      </c>
      <c r="N685" s="3" t="n">
        <v>0.0526</v>
      </c>
      <c r="O685" s="3" t="n">
        <v>0.469</v>
      </c>
      <c r="P685" s="4" t="n">
        <v>0</v>
      </c>
      <c r="Q685" s="3" t="n">
        <v>0.0829</v>
      </c>
      <c r="R685" s="3" t="n">
        <v>0.167</v>
      </c>
      <c r="S685" s="3" t="str">
        <f aca="false">IF(R685 &gt;= 0.5, "Positive", "Negative")</f>
        <v>Negative</v>
      </c>
      <c r="T685" s="2" t="n">
        <v>119.949</v>
      </c>
      <c r="U685" s="0" t="s">
        <v>116</v>
      </c>
    </row>
    <row r="686" customFormat="false" ht="14.25" hidden="false" customHeight="false" outlineLevel="0" collapsed="false">
      <c r="A686" s="0" t="n">
        <v>455</v>
      </c>
      <c r="B686" s="0" t="str">
        <f aca="false">_xlfn.xlookup(A686, artists!A$2:A$836, artists!B$2:B$836)</f>
        <v>Drake</v>
      </c>
      <c r="C686" s="1" t="s">
        <v>726</v>
      </c>
      <c r="D686" s="2" t="n">
        <v>227880</v>
      </c>
      <c r="E686" s="2" t="n">
        <f aca="false">D686/1000</f>
        <v>227.88</v>
      </c>
      <c r="F686" s="10" t="b">
        <f aca="false">FALSE()</f>
        <v>0</v>
      </c>
      <c r="G686" s="0" t="n">
        <v>16</v>
      </c>
      <c r="H686" s="0" t="n">
        <f aca="false">_xlfn.xlookup(G686, years!A$2:A$836, years!B$2:B$836)</f>
        <v>2013</v>
      </c>
      <c r="I686" s="2" t="n">
        <v>72</v>
      </c>
      <c r="J686" s="0" t="n">
        <v>0.773</v>
      </c>
      <c r="K686" s="0" t="n">
        <v>0.414</v>
      </c>
      <c r="L686" s="3" t="str">
        <f aca="false">IF(K686&gt;0.66,"High",IF(K686&gt;0.33&amp;K686&lt;=0.66,"Medium","Low"))</f>
        <v>Low</v>
      </c>
      <c r="M686" s="0" t="n">
        <v>-7.436</v>
      </c>
      <c r="N686" s="3" t="n">
        <v>0.0961</v>
      </c>
      <c r="O686" s="3" t="n">
        <v>0.00411</v>
      </c>
      <c r="P686" s="4" t="n">
        <v>3.4E-005</v>
      </c>
      <c r="Q686" s="3" t="n">
        <v>0.0733</v>
      </c>
      <c r="R686" s="3" t="n">
        <v>0.289</v>
      </c>
      <c r="S686" s="3" t="str">
        <f aca="false">IF(R686 &gt;= 0.5, "Positive", "Negative")</f>
        <v>Negative</v>
      </c>
      <c r="T686" s="2" t="n">
        <v>99.993</v>
      </c>
      <c r="U686" s="0" t="s">
        <v>31</v>
      </c>
    </row>
    <row r="687" customFormat="false" ht="14.25" hidden="false" customHeight="false" outlineLevel="0" collapsed="false">
      <c r="A687" s="0" t="n">
        <v>156</v>
      </c>
      <c r="B687" s="0" t="str">
        <f aca="false">_xlfn.xlookup(A687, artists!A$2:A$836, artists!B$2:B$836)</f>
        <v>Sugababes</v>
      </c>
      <c r="C687" s="1" t="s">
        <v>727</v>
      </c>
      <c r="D687" s="2" t="n">
        <v>218173</v>
      </c>
      <c r="E687" s="2" t="n">
        <f aca="false">D687/1000</f>
        <v>218.173</v>
      </c>
      <c r="F687" s="10" t="b">
        <f aca="false">FALSE()</f>
        <v>0</v>
      </c>
      <c r="G687" s="0" t="n">
        <v>6</v>
      </c>
      <c r="H687" s="0" t="n">
        <f aca="false">_xlfn.xlookup(G687, years!A$2:A$836, years!B$2:B$836)</f>
        <v>2003</v>
      </c>
      <c r="I687" s="2" t="n">
        <v>57</v>
      </c>
      <c r="J687" s="0" t="n">
        <v>0.785</v>
      </c>
      <c r="K687" s="0" t="n">
        <v>0.933</v>
      </c>
      <c r="L687" s="3" t="str">
        <f aca="false">IF(K687&gt;0.66,"High",IF(K687&gt;0.33&amp;K687&lt;=0.66,"Medium","Low"))</f>
        <v>High</v>
      </c>
      <c r="M687" s="0" t="n">
        <v>-4.629</v>
      </c>
      <c r="N687" s="3" t="n">
        <v>0.0309</v>
      </c>
      <c r="O687" s="3" t="n">
        <v>0.0303</v>
      </c>
      <c r="P687" s="4" t="n">
        <v>0</v>
      </c>
      <c r="Q687" s="3" t="n">
        <v>0.137</v>
      </c>
      <c r="R687" s="3" t="n">
        <v>0.962</v>
      </c>
      <c r="S687" s="3" t="str">
        <f aca="false">IF(R687 &gt;= 0.5, "Positive", "Negative")</f>
        <v>Positive</v>
      </c>
      <c r="T687" s="2" t="n">
        <v>125.011</v>
      </c>
      <c r="U687" s="0" t="s">
        <v>33</v>
      </c>
    </row>
    <row r="688" customFormat="false" ht="14.25" hidden="false" customHeight="false" outlineLevel="0" collapsed="false">
      <c r="A688" s="0" t="n">
        <v>213</v>
      </c>
      <c r="B688" s="0" t="str">
        <f aca="false">_xlfn.xlookup(A688, artists!A$2:A$836, artists!B$2:B$836)</f>
        <v>Chingy</v>
      </c>
      <c r="C688" s="1" t="s">
        <v>728</v>
      </c>
      <c r="D688" s="2" t="n">
        <v>314400</v>
      </c>
      <c r="E688" s="2" t="n">
        <f aca="false">D688/1000</f>
        <v>314.4</v>
      </c>
      <c r="F688" s="10" t="b">
        <f aca="false">TRUE()</f>
        <v>1</v>
      </c>
      <c r="G688" s="0" t="n">
        <v>6</v>
      </c>
      <c r="H688" s="0" t="n">
        <f aca="false">_xlfn.xlookup(G688, years!A$2:A$836, years!B$2:B$836)</f>
        <v>2003</v>
      </c>
      <c r="I688" s="2" t="n">
        <v>61</v>
      </c>
      <c r="J688" s="0" t="n">
        <v>0.81</v>
      </c>
      <c r="K688" s="0" t="n">
        <v>0.791</v>
      </c>
      <c r="L688" s="3" t="str">
        <f aca="false">IF(K688&gt;0.66,"High",IF(K688&gt;0.33&amp;K688&lt;=0.66,"Medium","Low"))</f>
        <v>High</v>
      </c>
      <c r="M688" s="0" t="n">
        <v>-5.909</v>
      </c>
      <c r="N688" s="3" t="n">
        <v>0.181</v>
      </c>
      <c r="O688" s="3" t="n">
        <v>0.0893</v>
      </c>
      <c r="P688" s="4" t="n">
        <v>0</v>
      </c>
      <c r="Q688" s="3" t="n">
        <v>0.0838</v>
      </c>
      <c r="R688" s="3" t="n">
        <v>0.948</v>
      </c>
      <c r="S688" s="3" t="str">
        <f aca="false">IF(R688 &gt;= 0.5, "Positive", "Negative")</f>
        <v>Positive</v>
      </c>
      <c r="T688" s="2" t="n">
        <v>153.067</v>
      </c>
      <c r="U688" s="0" t="s">
        <v>31</v>
      </c>
    </row>
    <row r="689" customFormat="false" ht="14.25" hidden="false" customHeight="false" outlineLevel="0" collapsed="false">
      <c r="A689" s="0" t="n">
        <v>408</v>
      </c>
      <c r="B689" s="0" t="str">
        <f aca="false">_xlfn.xlookup(A689, artists!A$2:A$836, artists!B$2:B$836)</f>
        <v>Dizzee Rascal</v>
      </c>
      <c r="C689" s="1" t="s">
        <v>729</v>
      </c>
      <c r="D689" s="2" t="n">
        <v>220626</v>
      </c>
      <c r="E689" s="2" t="n">
        <f aca="false">D689/1000</f>
        <v>220.626</v>
      </c>
      <c r="F689" s="10" t="b">
        <f aca="false">FALSE()</f>
        <v>0</v>
      </c>
      <c r="G689" s="0" t="n">
        <v>14</v>
      </c>
      <c r="H689" s="0" t="n">
        <f aca="false">_xlfn.xlookup(G689, years!A$2:A$836, years!B$2:B$836)</f>
        <v>2011</v>
      </c>
      <c r="I689" s="2" t="n">
        <v>60</v>
      </c>
      <c r="J689" s="0" t="n">
        <v>0.545</v>
      </c>
      <c r="K689" s="0" t="n">
        <v>0.918</v>
      </c>
      <c r="L689" s="3" t="str">
        <f aca="false">IF(K689&gt;0.66,"High",IF(K689&gt;0.33&amp;K689&lt;=0.66,"Medium","Low"))</f>
        <v>High</v>
      </c>
      <c r="M689" s="0" t="n">
        <v>-1.925</v>
      </c>
      <c r="N689" s="3" t="n">
        <v>0.0448</v>
      </c>
      <c r="O689" s="3" t="n">
        <v>0.0571</v>
      </c>
      <c r="P689" s="4" t="n">
        <v>0</v>
      </c>
      <c r="Q689" s="3" t="n">
        <v>0.0415</v>
      </c>
      <c r="R689" s="3" t="n">
        <v>0.855</v>
      </c>
      <c r="S689" s="3" t="str">
        <f aca="false">IF(R689 &gt;= 0.5, "Positive", "Negative")</f>
        <v>Positive</v>
      </c>
      <c r="T689" s="2" t="n">
        <v>117.985</v>
      </c>
      <c r="U689" s="0" t="s">
        <v>53</v>
      </c>
    </row>
    <row r="690" customFormat="false" ht="14.25" hidden="false" customHeight="false" outlineLevel="0" collapsed="false">
      <c r="A690" s="0" t="n">
        <v>241</v>
      </c>
      <c r="B690" s="0" t="str">
        <f aca="false">_xlfn.xlookup(A690, artists!A$2:A$836, artists!B$2:B$836)</f>
        <v>Gwen Stefani</v>
      </c>
      <c r="C690" s="1" t="s">
        <v>730</v>
      </c>
      <c r="D690" s="2" t="n">
        <v>199853</v>
      </c>
      <c r="E690" s="2" t="n">
        <f aca="false">D690/1000</f>
        <v>199.853</v>
      </c>
      <c r="F690" s="10" t="b">
        <f aca="false">TRUE()</f>
        <v>1</v>
      </c>
      <c r="G690" s="0" t="n">
        <v>7</v>
      </c>
      <c r="H690" s="0" t="n">
        <f aca="false">_xlfn.xlookup(G690, years!A$2:A$836, years!B$2:B$836)</f>
        <v>2004</v>
      </c>
      <c r="I690" s="2" t="n">
        <v>69</v>
      </c>
      <c r="J690" s="0" t="n">
        <v>0.926</v>
      </c>
      <c r="K690" s="0" t="n">
        <v>0.916</v>
      </c>
      <c r="L690" s="3" t="str">
        <f aca="false">IF(K690&gt;0.66,"High",IF(K690&gt;0.33&amp;K690&lt;=0.66,"Medium","Low"))</f>
        <v>High</v>
      </c>
      <c r="M690" s="0" t="n">
        <v>-2.221</v>
      </c>
      <c r="N690" s="3" t="n">
        <v>0.0929</v>
      </c>
      <c r="O690" s="3" t="n">
        <v>0.35</v>
      </c>
      <c r="P690" s="4" t="n">
        <v>6.17E-006</v>
      </c>
      <c r="Q690" s="3" t="n">
        <v>0.0234</v>
      </c>
      <c r="R690" s="3" t="n">
        <v>0.904</v>
      </c>
      <c r="S690" s="3" t="str">
        <f aca="false">IF(R690 &gt;= 0.5, "Positive", "Negative")</f>
        <v>Positive</v>
      </c>
      <c r="T690" s="2" t="n">
        <v>110.007</v>
      </c>
      <c r="U690" s="0" t="s">
        <v>33</v>
      </c>
    </row>
    <row r="691" customFormat="false" ht="14.25" hidden="false" customHeight="false" outlineLevel="0" collapsed="false">
      <c r="A691" s="0" t="n">
        <v>35</v>
      </c>
      <c r="B691" s="0" t="str">
        <f aca="false">_xlfn.xlookup(A691, artists!A$2:A$836, artists!B$2:B$836)</f>
        <v>JAY-Z</v>
      </c>
      <c r="C691" s="1" t="s">
        <v>731</v>
      </c>
      <c r="D691" s="2" t="n">
        <v>338413</v>
      </c>
      <c r="E691" s="2" t="n">
        <f aca="false">D691/1000</f>
        <v>338.413</v>
      </c>
      <c r="F691" s="10" t="b">
        <f aca="false">TRUE()</f>
        <v>1</v>
      </c>
      <c r="G691" s="0" t="n">
        <v>16</v>
      </c>
      <c r="H691" s="0" t="n">
        <f aca="false">_xlfn.xlookup(G691, years!A$2:A$836, years!B$2:B$836)</f>
        <v>2013</v>
      </c>
      <c r="I691" s="2" t="n">
        <v>62</v>
      </c>
      <c r="J691" s="0" t="n">
        <v>0.676</v>
      </c>
      <c r="K691" s="0" t="n">
        <v>0.534</v>
      </c>
      <c r="L691" s="3" t="str">
        <f aca="false">IF(K691&gt;0.66,"High",IF(K691&gt;0.33&amp;K691&lt;=0.66,"Medium","Low"))</f>
        <v>Low</v>
      </c>
      <c r="M691" s="0" t="n">
        <v>-6.901</v>
      </c>
      <c r="N691" s="3" t="n">
        <v>0.0831</v>
      </c>
      <c r="O691" s="3" t="n">
        <v>0.0594</v>
      </c>
      <c r="P691" s="4" t="n">
        <v>8.59E-006</v>
      </c>
      <c r="Q691" s="3" t="n">
        <v>0.256</v>
      </c>
      <c r="R691" s="3" t="n">
        <v>0.156</v>
      </c>
      <c r="S691" s="3" t="str">
        <f aca="false">IF(R691 &gt;= 0.5, "Positive", "Negative")</f>
        <v>Negative</v>
      </c>
      <c r="T691" s="2" t="n">
        <v>145.082</v>
      </c>
      <c r="U691" s="0" t="s">
        <v>29</v>
      </c>
    </row>
    <row r="692" customFormat="false" ht="14.25" hidden="false" customHeight="false" outlineLevel="0" collapsed="false">
      <c r="A692" s="0" t="n">
        <v>372</v>
      </c>
      <c r="B692" s="0" t="str">
        <f aca="false">_xlfn.xlookup(A692, artists!A$2:A$836, artists!B$2:B$836)</f>
        <v>Calvin Harris</v>
      </c>
      <c r="C692" s="1" t="s">
        <v>732</v>
      </c>
      <c r="D692" s="2" t="n">
        <v>219159</v>
      </c>
      <c r="E692" s="2" t="n">
        <f aca="false">D692/1000</f>
        <v>219.159</v>
      </c>
      <c r="F692" s="10" t="b">
        <f aca="false">FALSE()</f>
        <v>0</v>
      </c>
      <c r="G692" s="0" t="n">
        <v>19</v>
      </c>
      <c r="H692" s="0" t="n">
        <f aca="false">_xlfn.xlookup(G692, years!A$2:A$836, years!B$2:B$836)</f>
        <v>2016</v>
      </c>
      <c r="I692" s="2" t="n">
        <v>74</v>
      </c>
      <c r="J692" s="0" t="n">
        <v>0.818</v>
      </c>
      <c r="K692" s="0" t="n">
        <v>0.913</v>
      </c>
      <c r="L692" s="3" t="str">
        <f aca="false">IF(K692&gt;0.66,"High",IF(K692&gt;0.33&amp;K692&lt;=0.66,"Medium","Low"))</f>
        <v>High</v>
      </c>
      <c r="M692" s="0" t="n">
        <v>-3.06</v>
      </c>
      <c r="N692" s="3" t="n">
        <v>0.0426</v>
      </c>
      <c r="O692" s="3" t="n">
        <v>0.093</v>
      </c>
      <c r="P692" s="4" t="n">
        <v>3.69E-005</v>
      </c>
      <c r="Q692" s="3" t="n">
        <v>0.161</v>
      </c>
      <c r="R692" s="3" t="n">
        <v>0.536</v>
      </c>
      <c r="S692" s="3" t="str">
        <f aca="false">IF(R692 &gt;= 0.5, "Positive", "Negative")</f>
        <v>Positive</v>
      </c>
      <c r="T692" s="2" t="n">
        <v>119.986</v>
      </c>
      <c r="U692" s="0" t="s">
        <v>53</v>
      </c>
    </row>
    <row r="693" customFormat="false" ht="14.25" hidden="false" customHeight="false" outlineLevel="0" collapsed="false">
      <c r="A693" s="0" t="n">
        <v>269</v>
      </c>
      <c r="B693" s="0" t="str">
        <f aca="false">_xlfn.xlookup(A693, artists!A$2:A$836, artists!B$2:B$836)</f>
        <v>Kanye West</v>
      </c>
      <c r="C693" s="1" t="s">
        <v>733</v>
      </c>
      <c r="D693" s="2" t="n">
        <v>203493</v>
      </c>
      <c r="E693" s="2" t="n">
        <f aca="false">D693/1000</f>
        <v>203.493</v>
      </c>
      <c r="F693" s="10" t="b">
        <f aca="false">TRUE()</f>
        <v>1</v>
      </c>
      <c r="G693" s="0" t="n">
        <v>10</v>
      </c>
      <c r="H693" s="0" t="n">
        <f aca="false">_xlfn.xlookup(G693, years!A$2:A$836, years!B$2:B$836)</f>
        <v>2007</v>
      </c>
      <c r="I693" s="2" t="n">
        <v>47</v>
      </c>
      <c r="J693" s="0" t="n">
        <v>0.667</v>
      </c>
      <c r="K693" s="0" t="n">
        <v>0.747</v>
      </c>
      <c r="L693" s="3" t="str">
        <f aca="false">IF(K693&gt;0.66,"High",IF(K693&gt;0.33&amp;K693&lt;=0.66,"Medium","Low"))</f>
        <v>High</v>
      </c>
      <c r="M693" s="0" t="n">
        <v>-7.059</v>
      </c>
      <c r="N693" s="3" t="n">
        <v>0.189</v>
      </c>
      <c r="O693" s="3" t="n">
        <v>0.337</v>
      </c>
      <c r="P693" s="4" t="n">
        <v>0</v>
      </c>
      <c r="Q693" s="3" t="n">
        <v>0.115</v>
      </c>
      <c r="R693" s="3" t="n">
        <v>0.918</v>
      </c>
      <c r="S693" s="3" t="str">
        <f aca="false">IF(R693 &gt;= 0.5, "Positive", "Negative")</f>
        <v>Positive</v>
      </c>
      <c r="T693" s="2" t="n">
        <v>86.917</v>
      </c>
      <c r="U693" s="0" t="s">
        <v>29</v>
      </c>
    </row>
    <row r="694" customFormat="false" ht="14.25" hidden="false" customHeight="false" outlineLevel="0" collapsed="false">
      <c r="A694" s="0" t="n">
        <v>569</v>
      </c>
      <c r="B694" s="0" t="str">
        <f aca="false">_xlfn.xlookup(A694, artists!A$2:A$836, artists!B$2:B$836)</f>
        <v>Lorde</v>
      </c>
      <c r="C694" s="1" t="s">
        <v>734</v>
      </c>
      <c r="D694" s="2" t="n">
        <v>214254</v>
      </c>
      <c r="E694" s="2" t="n">
        <f aca="false">D694/1000</f>
        <v>214.254</v>
      </c>
      <c r="F694" s="10" t="b">
        <f aca="false">TRUE()</f>
        <v>1</v>
      </c>
      <c r="G694" s="0" t="n">
        <v>20</v>
      </c>
      <c r="H694" s="0" t="n">
        <f aca="false">_xlfn.xlookup(G694, years!A$2:A$836, years!B$2:B$836)</f>
        <v>2017</v>
      </c>
      <c r="I694" s="2" t="n">
        <v>8</v>
      </c>
      <c r="J694" s="0" t="n">
        <v>0.781</v>
      </c>
      <c r="K694" s="0" t="n">
        <v>0.548</v>
      </c>
      <c r="L694" s="3" t="str">
        <f aca="false">IF(K694&gt;0.66,"High",IF(K694&gt;0.33&amp;K694&lt;=0.66,"Medium","Low"))</f>
        <v>Low</v>
      </c>
      <c r="M694" s="0" t="n">
        <v>-4.997</v>
      </c>
      <c r="N694" s="3" t="n">
        <v>0.0764</v>
      </c>
      <c r="O694" s="3" t="n">
        <v>0.229</v>
      </c>
      <c r="P694" s="4" t="n">
        <v>0</v>
      </c>
      <c r="Q694" s="3" t="n">
        <v>0.127</v>
      </c>
      <c r="R694" s="3" t="n">
        <v>0.175</v>
      </c>
      <c r="S694" s="3" t="str">
        <f aca="false">IF(R694 &gt;= 0.5, "Positive", "Negative")</f>
        <v>Negative</v>
      </c>
      <c r="T694" s="2" t="n">
        <v>106.996</v>
      </c>
      <c r="U694" s="0" t="s">
        <v>22</v>
      </c>
    </row>
    <row r="695" customFormat="false" ht="14.25" hidden="false" customHeight="false" outlineLevel="0" collapsed="false">
      <c r="A695" s="0" t="n">
        <v>530</v>
      </c>
      <c r="B695" s="0" t="str">
        <f aca="false">_xlfn.xlookup(A695, artists!A$2:A$836, artists!B$2:B$836)</f>
        <v>Blake Shelton</v>
      </c>
      <c r="C695" s="1" t="s">
        <v>735</v>
      </c>
      <c r="D695" s="2" t="n">
        <v>210720</v>
      </c>
      <c r="E695" s="2" t="n">
        <f aca="false">D695/1000</f>
        <v>210.72</v>
      </c>
      <c r="F695" s="10" t="b">
        <f aca="false">FALSE()</f>
        <v>0</v>
      </c>
      <c r="G695" s="0" t="n">
        <v>14</v>
      </c>
      <c r="H695" s="0" t="n">
        <f aca="false">_xlfn.xlookup(G695, years!A$2:A$836, years!B$2:B$836)</f>
        <v>2011</v>
      </c>
      <c r="I695" s="2" t="n">
        <v>50</v>
      </c>
      <c r="J695" s="0" t="n">
        <v>0.481</v>
      </c>
      <c r="K695" s="0" t="n">
        <v>0.849</v>
      </c>
      <c r="L695" s="3" t="str">
        <f aca="false">IF(K695&gt;0.66,"High",IF(K695&gt;0.33&amp;K695&lt;=0.66,"Medium","Low"))</f>
        <v>High</v>
      </c>
      <c r="M695" s="0" t="n">
        <v>-5.131</v>
      </c>
      <c r="N695" s="3" t="n">
        <v>0.0385</v>
      </c>
      <c r="O695" s="3" t="n">
        <v>0.00167</v>
      </c>
      <c r="P695" s="4" t="n">
        <v>1.49E-006</v>
      </c>
      <c r="Q695" s="3" t="n">
        <v>0.121</v>
      </c>
      <c r="R695" s="3" t="n">
        <v>0.723</v>
      </c>
      <c r="S695" s="3" t="str">
        <f aca="false">IF(R695 &gt;= 0.5, "Positive", "Negative")</f>
        <v>Positive</v>
      </c>
      <c r="T695" s="2" t="n">
        <v>205.57</v>
      </c>
      <c r="U695" s="0" t="s">
        <v>150</v>
      </c>
    </row>
    <row r="696" customFormat="false" ht="14.25" hidden="false" customHeight="false" outlineLevel="0" collapsed="false">
      <c r="A696" s="0" t="n">
        <v>473</v>
      </c>
      <c r="B696" s="0" t="str">
        <f aca="false">_xlfn.xlookup(A696, artists!A$2:A$836, artists!B$2:B$836)</f>
        <v>INNA</v>
      </c>
      <c r="C696" s="1" t="s">
        <v>736</v>
      </c>
      <c r="D696" s="2" t="n">
        <v>217036</v>
      </c>
      <c r="E696" s="2" t="n">
        <f aca="false">D696/1000</f>
        <v>217.036</v>
      </c>
      <c r="F696" s="10" t="b">
        <f aca="false">FALSE()</f>
        <v>0</v>
      </c>
      <c r="G696" s="0" t="n">
        <v>13</v>
      </c>
      <c r="H696" s="0" t="n">
        <f aca="false">_xlfn.xlookup(G696, years!A$2:A$836, years!B$2:B$836)</f>
        <v>2010</v>
      </c>
      <c r="I696" s="2" t="n">
        <v>42</v>
      </c>
      <c r="J696" s="0" t="n">
        <v>0.817</v>
      </c>
      <c r="K696" s="0" t="n">
        <v>0.939</v>
      </c>
      <c r="L696" s="3" t="str">
        <f aca="false">IF(K696&gt;0.66,"High",IF(K696&gt;0.33&amp;K696&lt;=0.66,"Medium","Low"))</f>
        <v>High</v>
      </c>
      <c r="M696" s="0" t="n">
        <v>-6.079</v>
      </c>
      <c r="N696" s="3" t="n">
        <v>0.28</v>
      </c>
      <c r="O696" s="3" t="n">
        <v>0.0798</v>
      </c>
      <c r="P696" s="4" t="n">
        <v>0.441</v>
      </c>
      <c r="Q696" s="3" t="n">
        <v>0.431</v>
      </c>
      <c r="R696" s="3" t="n">
        <v>0.599</v>
      </c>
      <c r="S696" s="3" t="str">
        <f aca="false">IF(R696 &gt;= 0.5, "Positive", "Negative")</f>
        <v>Positive</v>
      </c>
      <c r="T696" s="2" t="n">
        <v>128</v>
      </c>
      <c r="U696" s="0" t="s">
        <v>39</v>
      </c>
    </row>
    <row r="697" customFormat="false" ht="14.25" hidden="false" customHeight="false" outlineLevel="0" collapsed="false">
      <c r="A697" s="0" t="n">
        <v>41</v>
      </c>
      <c r="B697" s="0" t="str">
        <f aca="false">_xlfn.xlookup(A697, artists!A$2:A$836, artists!B$2:B$836)</f>
        <v>Missy Elliott</v>
      </c>
      <c r="C697" s="1" t="s">
        <v>737</v>
      </c>
      <c r="D697" s="2" t="n">
        <v>215466</v>
      </c>
      <c r="E697" s="2" t="n">
        <f aca="false">D697/1000</f>
        <v>215.466</v>
      </c>
      <c r="F697" s="10" t="b">
        <f aca="false">TRUE()</f>
        <v>1</v>
      </c>
      <c r="G697" s="0" t="n">
        <v>1</v>
      </c>
      <c r="H697" s="0" t="n">
        <f aca="false">_xlfn.xlookup(G697, years!A$2:A$836, years!B$2:B$836)</f>
        <v>1998</v>
      </c>
      <c r="I697" s="2" t="n">
        <v>49</v>
      </c>
      <c r="J697" s="0" t="n">
        <v>0.727</v>
      </c>
      <c r="K697" s="0" t="n">
        <v>0.445</v>
      </c>
      <c r="L697" s="3" t="str">
        <f aca="false">IF(K697&gt;0.66,"High",IF(K697&gt;0.33&amp;K697&lt;=0.66,"Medium","Low"))</f>
        <v>Low</v>
      </c>
      <c r="M697" s="0" t="n">
        <v>-11.241</v>
      </c>
      <c r="N697" s="3" t="n">
        <v>0.291</v>
      </c>
      <c r="O697" s="3" t="n">
        <v>0.339</v>
      </c>
      <c r="P697" s="4" t="n">
        <v>0</v>
      </c>
      <c r="Q697" s="3" t="n">
        <v>0.18</v>
      </c>
      <c r="R697" s="3" t="n">
        <v>0.527</v>
      </c>
      <c r="S697" s="3" t="str">
        <f aca="false">IF(R697 &gt;= 0.5, "Positive", "Negative")</f>
        <v>Positive</v>
      </c>
      <c r="T697" s="2" t="n">
        <v>81.125</v>
      </c>
      <c r="U697" s="0" t="s">
        <v>31</v>
      </c>
    </row>
    <row r="698" customFormat="false" ht="14.25" hidden="false" customHeight="false" outlineLevel="0" collapsed="false">
      <c r="A698" s="0" t="n">
        <v>828</v>
      </c>
      <c r="B698" s="0" t="str">
        <f aca="false">_xlfn.xlookup(A698, artists!A$2:A$836, artists!B$2:B$836)</f>
        <v>Megan Thee Stallion</v>
      </c>
      <c r="C698" s="1" t="s">
        <v>738</v>
      </c>
      <c r="D698" s="2" t="n">
        <v>199427</v>
      </c>
      <c r="E698" s="2" t="n">
        <f aca="false">D698/1000</f>
        <v>199.427</v>
      </c>
      <c r="F698" s="10" t="b">
        <f aca="false">TRUE()</f>
        <v>1</v>
      </c>
      <c r="G698" s="0" t="n">
        <v>22</v>
      </c>
      <c r="H698" s="0" t="n">
        <f aca="false">_xlfn.xlookup(G698, years!A$2:A$836, years!B$2:B$836)</f>
        <v>2019</v>
      </c>
      <c r="I698" s="2" t="n">
        <v>69</v>
      </c>
      <c r="J698" s="0" t="n">
        <v>0.872</v>
      </c>
      <c r="K698" s="0" t="n">
        <v>0.814</v>
      </c>
      <c r="L698" s="3" t="str">
        <f aca="false">IF(K698&gt;0.66,"High",IF(K698&gt;0.33&amp;K698&lt;=0.66,"Medium","Low"))</f>
        <v>High</v>
      </c>
      <c r="M698" s="0" t="n">
        <v>-4.568</v>
      </c>
      <c r="N698" s="3" t="n">
        <v>0.155</v>
      </c>
      <c r="O698" s="3" t="n">
        <v>0.00485</v>
      </c>
      <c r="P698" s="4" t="n">
        <v>1.96E-006</v>
      </c>
      <c r="Q698" s="3" t="n">
        <v>0.214</v>
      </c>
      <c r="R698" s="3" t="n">
        <v>0.57</v>
      </c>
      <c r="S698" s="3" t="str">
        <f aca="false">IF(R698 &gt;= 0.5, "Positive", "Negative")</f>
        <v>Positive</v>
      </c>
      <c r="T698" s="2" t="n">
        <v>98.985</v>
      </c>
      <c r="U698" s="0" t="s">
        <v>31</v>
      </c>
    </row>
    <row r="699" customFormat="false" ht="14.25" hidden="false" customHeight="false" outlineLevel="0" collapsed="false">
      <c r="A699" s="0" t="n">
        <v>81</v>
      </c>
      <c r="B699" s="0" t="str">
        <f aca="false">_xlfn.xlookup(A699, artists!A$2:A$836, artists!B$2:B$836)</f>
        <v>Nelly</v>
      </c>
      <c r="C699" s="1" t="s">
        <v>739</v>
      </c>
      <c r="D699" s="2" t="n">
        <v>228240</v>
      </c>
      <c r="E699" s="2" t="n">
        <f aca="false">D699/1000</f>
        <v>228.24</v>
      </c>
      <c r="F699" s="10" t="b">
        <f aca="false">TRUE()</f>
        <v>1</v>
      </c>
      <c r="G699" s="0" t="n">
        <v>5</v>
      </c>
      <c r="H699" s="0" t="n">
        <f aca="false">_xlfn.xlookup(G699, years!A$2:A$836, years!B$2:B$836)</f>
        <v>2002</v>
      </c>
      <c r="I699" s="2" t="n">
        <v>75</v>
      </c>
      <c r="J699" s="0" t="n">
        <v>0.956</v>
      </c>
      <c r="K699" s="0" t="n">
        <v>0.745</v>
      </c>
      <c r="L699" s="3" t="str">
        <f aca="false">IF(K699&gt;0.66,"High",IF(K699&gt;0.33&amp;K699&lt;=0.66,"Medium","Low"))</f>
        <v>High</v>
      </c>
      <c r="M699" s="0" t="n">
        <v>-4.753</v>
      </c>
      <c r="N699" s="3" t="n">
        <v>0.12</v>
      </c>
      <c r="O699" s="3" t="n">
        <v>0.206</v>
      </c>
      <c r="P699" s="4" t="n">
        <v>0</v>
      </c>
      <c r="Q699" s="3" t="n">
        <v>0.0615</v>
      </c>
      <c r="R699" s="3" t="n">
        <v>0.912</v>
      </c>
      <c r="S699" s="3" t="str">
        <f aca="false">IF(R699 &gt;= 0.5, "Positive", "Negative")</f>
        <v>Positive</v>
      </c>
      <c r="T699" s="2" t="n">
        <v>107.075</v>
      </c>
      <c r="U699" s="0" t="s">
        <v>31</v>
      </c>
    </row>
    <row r="700" customFormat="false" ht="14.25" hidden="false" customHeight="false" outlineLevel="0" collapsed="false">
      <c r="A700" s="0" t="n">
        <v>398</v>
      </c>
      <c r="B700" s="0" t="str">
        <f aca="false">_xlfn.xlookup(A700, artists!A$2:A$836, artists!B$2:B$836)</f>
        <v>Katy Perry</v>
      </c>
      <c r="C700" s="1" t="s">
        <v>740</v>
      </c>
      <c r="D700" s="2" t="n">
        <v>220226</v>
      </c>
      <c r="E700" s="2" t="n">
        <f aca="false">D700/1000</f>
        <v>220.226</v>
      </c>
      <c r="F700" s="10" t="b">
        <f aca="false">FALSE()</f>
        <v>0</v>
      </c>
      <c r="G700" s="0" t="n">
        <v>11</v>
      </c>
      <c r="H700" s="0" t="n">
        <f aca="false">_xlfn.xlookup(G700, years!A$2:A$836, years!B$2:B$836)</f>
        <v>2008</v>
      </c>
      <c r="I700" s="2" t="n">
        <v>73</v>
      </c>
      <c r="J700" s="0" t="n">
        <v>0.706</v>
      </c>
      <c r="K700" s="0" t="n">
        <v>0.841</v>
      </c>
      <c r="L700" s="3" t="str">
        <f aca="false">IF(K700&gt;0.66,"High",IF(K700&gt;0.33&amp;K700&lt;=0.66,"Medium","Low"))</f>
        <v>High</v>
      </c>
      <c r="M700" s="0" t="n">
        <v>-3.956</v>
      </c>
      <c r="N700" s="3" t="n">
        <v>0.0418</v>
      </c>
      <c r="O700" s="3" t="n">
        <v>7.95E-005</v>
      </c>
      <c r="P700" s="4" t="n">
        <v>0</v>
      </c>
      <c r="Q700" s="3" t="n">
        <v>0.0688</v>
      </c>
      <c r="R700" s="3" t="n">
        <v>0.861</v>
      </c>
      <c r="S700" s="3" t="str">
        <f aca="false">IF(R700 &gt;= 0.5, "Positive", "Negative")</f>
        <v>Positive</v>
      </c>
      <c r="T700" s="2" t="n">
        <v>132.032</v>
      </c>
      <c r="U700" s="0" t="s">
        <v>39</v>
      </c>
    </row>
    <row r="701" customFormat="false" ht="14.25" hidden="false" customHeight="false" outlineLevel="0" collapsed="false">
      <c r="A701" s="0" t="n">
        <v>615</v>
      </c>
      <c r="B701" s="0" t="str">
        <f aca="false">_xlfn.xlookup(A701, artists!A$2:A$836, artists!B$2:B$836)</f>
        <v>Bobby Shmurda</v>
      </c>
      <c r="C701" s="1" t="s">
        <v>741</v>
      </c>
      <c r="D701" s="2" t="n">
        <v>194561</v>
      </c>
      <c r="E701" s="2" t="n">
        <f aca="false">D701/1000</f>
        <v>194.561</v>
      </c>
      <c r="F701" s="10" t="b">
        <f aca="false">TRUE()</f>
        <v>1</v>
      </c>
      <c r="G701" s="0" t="n">
        <v>17</v>
      </c>
      <c r="H701" s="0" t="n">
        <f aca="false">_xlfn.xlookup(G701, years!A$2:A$836, years!B$2:B$836)</f>
        <v>2014</v>
      </c>
      <c r="I701" s="2" t="n">
        <v>73</v>
      </c>
      <c r="J701" s="0" t="n">
        <v>0.794</v>
      </c>
      <c r="K701" s="0" t="n">
        <v>0.51</v>
      </c>
      <c r="L701" s="3" t="str">
        <f aca="false">IF(K701&gt;0.66,"High",IF(K701&gt;0.33&amp;K701&lt;=0.66,"Medium","Low"))</f>
        <v>Low</v>
      </c>
      <c r="M701" s="0" t="n">
        <v>-7.314</v>
      </c>
      <c r="N701" s="3" t="n">
        <v>0.42</v>
      </c>
      <c r="O701" s="3" t="n">
        <v>0.0505</v>
      </c>
      <c r="P701" s="4" t="n">
        <v>1.81E-006</v>
      </c>
      <c r="Q701" s="3" t="n">
        <v>0.0562</v>
      </c>
      <c r="R701" s="3" t="n">
        <v>0.18</v>
      </c>
      <c r="S701" s="3" t="str">
        <f aca="false">IF(R701 &gt;= 0.5, "Positive", "Negative")</f>
        <v>Negative</v>
      </c>
      <c r="T701" s="2" t="n">
        <v>167.879</v>
      </c>
      <c r="U701" s="0" t="s">
        <v>24</v>
      </c>
    </row>
    <row r="702" customFormat="false" ht="14.25" hidden="false" customHeight="false" outlineLevel="0" collapsed="false">
      <c r="A702" s="0" t="n">
        <v>477</v>
      </c>
      <c r="B702" s="0" t="str">
        <f aca="false">_xlfn.xlookup(A702, artists!A$2:A$836, artists!B$2:B$836)</f>
        <v>DJ Fresh</v>
      </c>
      <c r="C702" s="1" t="s">
        <v>742</v>
      </c>
      <c r="D702" s="2" t="n">
        <v>182333</v>
      </c>
      <c r="E702" s="2" t="n">
        <f aca="false">D702/1000</f>
        <v>182.333</v>
      </c>
      <c r="F702" s="10" t="b">
        <f aca="false">FALSE()</f>
        <v>0</v>
      </c>
      <c r="G702" s="0" t="n">
        <v>15</v>
      </c>
      <c r="H702" s="0" t="n">
        <f aca="false">_xlfn.xlookup(G702, years!A$2:A$836, years!B$2:B$836)</f>
        <v>2012</v>
      </c>
      <c r="I702" s="2" t="n">
        <v>58</v>
      </c>
      <c r="J702" s="0" t="n">
        <v>0.524</v>
      </c>
      <c r="K702" s="0" t="n">
        <v>0.972</v>
      </c>
      <c r="L702" s="3" t="str">
        <f aca="false">IF(K702&gt;0.66,"High",IF(K702&gt;0.33&amp;K702&lt;=0.66,"Medium","Low"))</f>
        <v>High</v>
      </c>
      <c r="M702" s="0" t="n">
        <v>-1.569</v>
      </c>
      <c r="N702" s="3" t="n">
        <v>0.0431</v>
      </c>
      <c r="O702" s="3" t="n">
        <v>0.00656</v>
      </c>
      <c r="P702" s="4" t="n">
        <v>0.00058</v>
      </c>
      <c r="Q702" s="3" t="n">
        <v>0.224</v>
      </c>
      <c r="R702" s="3" t="n">
        <v>0.476</v>
      </c>
      <c r="S702" s="3" t="str">
        <f aca="false">IF(R702 &gt;= 0.5, "Positive", "Negative")</f>
        <v>Negative</v>
      </c>
      <c r="T702" s="2" t="n">
        <v>175.017</v>
      </c>
      <c r="U702" s="0" t="s">
        <v>22</v>
      </c>
    </row>
    <row r="703" customFormat="false" ht="14.25" hidden="false" customHeight="false" outlineLevel="0" collapsed="false">
      <c r="A703" s="0" t="n">
        <v>440</v>
      </c>
      <c r="B703" s="0" t="str">
        <f aca="false">_xlfn.xlookup(A703, artists!A$2:A$836, artists!B$2:B$836)</f>
        <v>Pitbull</v>
      </c>
      <c r="C703" s="1" t="s">
        <v>743</v>
      </c>
      <c r="D703" s="2" t="n">
        <v>238506</v>
      </c>
      <c r="E703" s="2" t="n">
        <f aca="false">D703/1000</f>
        <v>238.506</v>
      </c>
      <c r="F703" s="10" t="b">
        <f aca="false">FALSE()</f>
        <v>0</v>
      </c>
      <c r="G703" s="0" t="n">
        <v>12</v>
      </c>
      <c r="H703" s="0" t="n">
        <f aca="false">_xlfn.xlookup(G703, years!A$2:A$836, years!B$2:B$836)</f>
        <v>2009</v>
      </c>
      <c r="I703" s="2" t="n">
        <v>63</v>
      </c>
      <c r="J703" s="0" t="n">
        <v>0.849</v>
      </c>
      <c r="K703" s="0" t="n">
        <v>0.599</v>
      </c>
      <c r="L703" s="3" t="str">
        <f aca="false">IF(K703&gt;0.66,"High",IF(K703&gt;0.33&amp;K703&lt;=0.66,"Medium","Low"))</f>
        <v>Low</v>
      </c>
      <c r="M703" s="0" t="n">
        <v>-8.164</v>
      </c>
      <c r="N703" s="3" t="n">
        <v>0.227</v>
      </c>
      <c r="O703" s="3" t="n">
        <v>0.00301</v>
      </c>
      <c r="P703" s="4" t="n">
        <v>0.000249</v>
      </c>
      <c r="Q703" s="3" t="n">
        <v>0.0763</v>
      </c>
      <c r="R703" s="3" t="n">
        <v>0.761</v>
      </c>
      <c r="S703" s="3" t="str">
        <f aca="false">IF(R703 &gt;= 0.5, "Positive", "Negative")</f>
        <v>Positive</v>
      </c>
      <c r="T703" s="2" t="n">
        <v>126.003</v>
      </c>
      <c r="U703" s="0" t="s">
        <v>483</v>
      </c>
    </row>
    <row r="704" customFormat="false" ht="14.25" hidden="false" customHeight="false" outlineLevel="0" collapsed="false">
      <c r="A704" s="0" t="n">
        <v>455</v>
      </c>
      <c r="B704" s="0" t="str">
        <f aca="false">_xlfn.xlookup(A704, artists!A$2:A$836, artists!B$2:B$836)</f>
        <v>Drake</v>
      </c>
      <c r="C704" s="1" t="s">
        <v>744</v>
      </c>
      <c r="D704" s="2" t="n">
        <v>267066</v>
      </c>
      <c r="E704" s="2" t="n">
        <f aca="false">D704/1000</f>
        <v>267.066</v>
      </c>
      <c r="F704" s="10" t="b">
        <f aca="false">FALSE()</f>
        <v>0</v>
      </c>
      <c r="G704" s="0" t="n">
        <v>19</v>
      </c>
      <c r="H704" s="0" t="n">
        <f aca="false">_xlfn.xlookup(G704, years!A$2:A$836, years!B$2:B$836)</f>
        <v>2016</v>
      </c>
      <c r="I704" s="2" t="n">
        <v>77</v>
      </c>
      <c r="J704" s="0" t="n">
        <v>0.891</v>
      </c>
      <c r="K704" s="0" t="n">
        <v>0.628</v>
      </c>
      <c r="L704" s="3" t="str">
        <f aca="false">IF(K704&gt;0.66,"High",IF(K704&gt;0.33&amp;K704&lt;=0.66,"Medium","Low"))</f>
        <v>Low</v>
      </c>
      <c r="M704" s="0" t="n">
        <v>-7.863</v>
      </c>
      <c r="N704" s="3" t="n">
        <v>0.0551</v>
      </c>
      <c r="O704" s="3" t="n">
        <v>0.00258</v>
      </c>
      <c r="P704" s="4" t="n">
        <v>0.00019</v>
      </c>
      <c r="Q704" s="3" t="n">
        <v>0.0504</v>
      </c>
      <c r="R704" s="3" t="n">
        <v>0.552</v>
      </c>
      <c r="S704" s="3" t="str">
        <f aca="false">IF(R704 &gt;= 0.5, "Positive", "Negative")</f>
        <v>Positive</v>
      </c>
      <c r="T704" s="2" t="n">
        <v>134.966</v>
      </c>
      <c r="U704" s="0" t="s">
        <v>31</v>
      </c>
    </row>
    <row r="705" customFormat="false" ht="14.25" hidden="false" customHeight="false" outlineLevel="0" collapsed="false">
      <c r="A705" s="0" t="n">
        <v>455</v>
      </c>
      <c r="B705" s="0" t="str">
        <f aca="false">_xlfn.xlookup(A705, artists!A$2:A$836, artists!B$2:B$836)</f>
        <v>Drake</v>
      </c>
      <c r="C705" s="1" t="s">
        <v>744</v>
      </c>
      <c r="D705" s="2" t="n">
        <v>267066</v>
      </c>
      <c r="E705" s="2" t="n">
        <f aca="false">D705/1000</f>
        <v>267.066</v>
      </c>
      <c r="F705" s="10" t="b">
        <f aca="false">FALSE()</f>
        <v>0</v>
      </c>
      <c r="G705" s="0" t="n">
        <v>19</v>
      </c>
      <c r="H705" s="0" t="n">
        <f aca="false">_xlfn.xlookup(G705, years!A$2:A$836, years!B$2:B$836)</f>
        <v>2016</v>
      </c>
      <c r="I705" s="2" t="n">
        <v>0</v>
      </c>
      <c r="J705" s="0" t="n">
        <v>0.903</v>
      </c>
      <c r="K705" s="0" t="n">
        <v>0.62</v>
      </c>
      <c r="L705" s="3" t="str">
        <f aca="false">IF(K705&gt;0.66,"High",IF(K705&gt;0.33&amp;K705&lt;=0.66,"Medium","Low"))</f>
        <v>Low</v>
      </c>
      <c r="M705" s="0" t="n">
        <v>-8.094</v>
      </c>
      <c r="N705" s="3" t="n">
        <v>0.0587</v>
      </c>
      <c r="O705" s="3" t="n">
        <v>0.00347</v>
      </c>
      <c r="P705" s="4" t="n">
        <v>0.000119</v>
      </c>
      <c r="Q705" s="3" t="n">
        <v>0.0504</v>
      </c>
      <c r="R705" s="3" t="n">
        <v>0.539</v>
      </c>
      <c r="S705" s="3" t="str">
        <f aca="false">IF(R705 &gt;= 0.5, "Positive", "Negative")</f>
        <v>Positive</v>
      </c>
      <c r="T705" s="2" t="n">
        <v>134.96</v>
      </c>
      <c r="U705" s="0" t="s">
        <v>31</v>
      </c>
    </row>
    <row r="706" customFormat="false" ht="14.25" hidden="false" customHeight="false" outlineLevel="0" collapsed="false">
      <c r="A706" s="0" t="n">
        <v>693</v>
      </c>
      <c r="B706" s="0" t="str">
        <f aca="false">_xlfn.xlookup(A706, artists!A$2:A$836, artists!B$2:B$836)</f>
        <v>Dua Lipa</v>
      </c>
      <c r="C706" s="1" t="s">
        <v>745</v>
      </c>
      <c r="D706" s="2" t="n">
        <v>187957</v>
      </c>
      <c r="E706" s="2" t="n">
        <f aca="false">D706/1000</f>
        <v>187.957</v>
      </c>
      <c r="F706" s="10" t="b">
        <f aca="false">FALSE()</f>
        <v>0</v>
      </c>
      <c r="G706" s="0" t="n">
        <v>20</v>
      </c>
      <c r="H706" s="0" t="n">
        <f aca="false">_xlfn.xlookup(G706, years!A$2:A$836, years!B$2:B$836)</f>
        <v>2017</v>
      </c>
      <c r="I706" s="2" t="n">
        <v>65</v>
      </c>
      <c r="J706" s="0" t="n">
        <v>0.532</v>
      </c>
      <c r="K706" s="0" t="n">
        <v>0.868</v>
      </c>
      <c r="L706" s="3" t="str">
        <f aca="false">IF(K706&gt;0.66,"High",IF(K706&gt;0.33&amp;K706&lt;=0.66,"Medium","Low"))</f>
        <v>High</v>
      </c>
      <c r="M706" s="0" t="n">
        <v>-4.23</v>
      </c>
      <c r="N706" s="3" t="n">
        <v>0.0908</v>
      </c>
      <c r="O706" s="3" t="n">
        <v>0.011</v>
      </c>
      <c r="P706" s="4" t="n">
        <v>0</v>
      </c>
      <c r="Q706" s="3" t="n">
        <v>0.0584</v>
      </c>
      <c r="R706" s="3" t="n">
        <v>0.529</v>
      </c>
      <c r="S706" s="3" t="str">
        <f aca="false">IF(R706 &gt;= 0.5, "Positive", "Negative")</f>
        <v>Positive</v>
      </c>
      <c r="T706" s="2" t="n">
        <v>110.127</v>
      </c>
      <c r="U706" s="0" t="s">
        <v>39</v>
      </c>
    </row>
    <row r="707" customFormat="false" ht="14.25" hidden="false" customHeight="false" outlineLevel="0" collapsed="false">
      <c r="A707" s="0" t="n">
        <v>119</v>
      </c>
      <c r="B707" s="0" t="str">
        <f aca="false">_xlfn.xlookup(A707, artists!A$2:A$836, artists!B$2:B$836)</f>
        <v>D12</v>
      </c>
      <c r="C707" s="1" t="s">
        <v>746</v>
      </c>
      <c r="D707" s="2" t="n">
        <v>249533</v>
      </c>
      <c r="E707" s="2" t="n">
        <f aca="false">D707/1000</f>
        <v>249.533</v>
      </c>
      <c r="F707" s="10" t="b">
        <f aca="false">TRUE()</f>
        <v>1</v>
      </c>
      <c r="G707" s="0" t="n">
        <v>7</v>
      </c>
      <c r="H707" s="0" t="n">
        <f aca="false">_xlfn.xlookup(G707, years!A$2:A$836, years!B$2:B$836)</f>
        <v>2004</v>
      </c>
      <c r="I707" s="2" t="n">
        <v>57</v>
      </c>
      <c r="J707" s="0" t="n">
        <v>0.745</v>
      </c>
      <c r="K707" s="0" t="n">
        <v>0.858</v>
      </c>
      <c r="L707" s="3" t="str">
        <f aca="false">IF(K707&gt;0.66,"High",IF(K707&gt;0.33&amp;K707&lt;=0.66,"Medium","Low"))</f>
        <v>High</v>
      </c>
      <c r="M707" s="0" t="n">
        <v>-2.221</v>
      </c>
      <c r="N707" s="3" t="n">
        <v>0.237</v>
      </c>
      <c r="O707" s="3" t="n">
        <v>0.28</v>
      </c>
      <c r="P707" s="4" t="n">
        <v>0</v>
      </c>
      <c r="Q707" s="3" t="n">
        <v>0.188</v>
      </c>
      <c r="R707" s="3" t="n">
        <v>0.547</v>
      </c>
      <c r="S707" s="3" t="str">
        <f aca="false">IF(R707 &gt;= 0.5, "Positive", "Negative")</f>
        <v>Positive</v>
      </c>
      <c r="T707" s="2" t="n">
        <v>89.983</v>
      </c>
      <c r="U707" s="0" t="s">
        <v>493</v>
      </c>
    </row>
    <row r="708" customFormat="false" ht="14.25" hidden="false" customHeight="false" outlineLevel="0" collapsed="false">
      <c r="A708" s="0" t="n">
        <v>696</v>
      </c>
      <c r="B708" s="0" t="str">
        <f aca="false">_xlfn.xlookup(A708, artists!A$2:A$836, artists!B$2:B$836)</f>
        <v>Marshmello</v>
      </c>
      <c r="C708" s="1" t="s">
        <v>747</v>
      </c>
      <c r="D708" s="2" t="n">
        <v>273802</v>
      </c>
      <c r="E708" s="2" t="n">
        <f aca="false">D708/1000</f>
        <v>273.802</v>
      </c>
      <c r="F708" s="10" t="b">
        <f aca="false">FALSE()</f>
        <v>0</v>
      </c>
      <c r="G708" s="0" t="n">
        <v>19</v>
      </c>
      <c r="H708" s="0" t="n">
        <f aca="false">_xlfn.xlookup(G708, years!A$2:A$836, years!B$2:B$836)</f>
        <v>2016</v>
      </c>
      <c r="I708" s="2" t="n">
        <v>71</v>
      </c>
      <c r="J708" s="0" t="n">
        <v>0.631</v>
      </c>
      <c r="K708" s="0" t="n">
        <v>0.953</v>
      </c>
      <c r="L708" s="3" t="str">
        <f aca="false">IF(K708&gt;0.66,"High",IF(K708&gt;0.33&amp;K708&lt;=0.66,"Medium","Low"))</f>
        <v>High</v>
      </c>
      <c r="M708" s="0" t="n">
        <v>-3.739</v>
      </c>
      <c r="N708" s="3" t="n">
        <v>0.0343</v>
      </c>
      <c r="O708" s="3" t="n">
        <v>0.0241</v>
      </c>
      <c r="P708" s="4" t="n">
        <v>0.0155</v>
      </c>
      <c r="Q708" s="3" t="n">
        <v>0.108</v>
      </c>
      <c r="R708" s="3" t="n">
        <v>0.422</v>
      </c>
      <c r="S708" s="3" t="str">
        <f aca="false">IF(R708 &gt;= 0.5, "Positive", "Negative")</f>
        <v>Negative</v>
      </c>
      <c r="T708" s="2" t="n">
        <v>141.99</v>
      </c>
      <c r="U708" s="0" t="s">
        <v>22</v>
      </c>
    </row>
    <row r="709" customFormat="false" ht="14.25" hidden="false" customHeight="false" outlineLevel="0" collapsed="false">
      <c r="A709" s="0" t="n">
        <v>603</v>
      </c>
      <c r="B709" s="0" t="str">
        <f aca="false">_xlfn.xlookup(A709, artists!A$2:A$836, artists!B$2:B$836)</f>
        <v>Sam Smith</v>
      </c>
      <c r="C709" s="1" t="s">
        <v>748</v>
      </c>
      <c r="D709" s="2" t="n">
        <v>202204</v>
      </c>
      <c r="E709" s="2" t="n">
        <f aca="false">D709/1000</f>
        <v>202.204</v>
      </c>
      <c r="F709" s="10" t="b">
        <f aca="false">FALSE()</f>
        <v>0</v>
      </c>
      <c r="G709" s="0" t="n">
        <v>22</v>
      </c>
      <c r="H709" s="0" t="n">
        <f aca="false">_xlfn.xlookup(G709, years!A$2:A$836, years!B$2:B$836)</f>
        <v>2019</v>
      </c>
      <c r="I709" s="2" t="n">
        <v>73</v>
      </c>
      <c r="J709" s="0" t="n">
        <v>0.477</v>
      </c>
      <c r="K709" s="0" t="n">
        <v>0.682</v>
      </c>
      <c r="L709" s="3" t="str">
        <f aca="false">IF(K709&gt;0.66,"High",IF(K709&gt;0.33&amp;K709&lt;=0.66,"Medium","Low"))</f>
        <v>High</v>
      </c>
      <c r="M709" s="0" t="n">
        <v>-4.931</v>
      </c>
      <c r="N709" s="3" t="n">
        <v>0.0925</v>
      </c>
      <c r="O709" s="3" t="n">
        <v>0.153</v>
      </c>
      <c r="P709" s="4" t="n">
        <v>0</v>
      </c>
      <c r="Q709" s="3" t="n">
        <v>0.0763</v>
      </c>
      <c r="R709" s="3" t="n">
        <v>0.345</v>
      </c>
      <c r="S709" s="3" t="str">
        <f aca="false">IF(R709 &gt;= 0.5, "Positive", "Negative")</f>
        <v>Negative</v>
      </c>
      <c r="T709" s="2" t="n">
        <v>110.567</v>
      </c>
      <c r="U709" s="0" t="s">
        <v>39</v>
      </c>
    </row>
    <row r="710" customFormat="false" ht="14.25" hidden="false" customHeight="false" outlineLevel="0" collapsed="false">
      <c r="A710" s="0" t="n">
        <v>699</v>
      </c>
      <c r="B710" s="0" t="str">
        <f aca="false">_xlfn.xlookup(A710, artists!A$2:A$836, artists!B$2:B$836)</f>
        <v>Charlie Puth</v>
      </c>
      <c r="C710" s="1" t="s">
        <v>749</v>
      </c>
      <c r="D710" s="2" t="n">
        <v>200853</v>
      </c>
      <c r="E710" s="2" t="n">
        <f aca="false">D710/1000</f>
        <v>200.853</v>
      </c>
      <c r="F710" s="10" t="b">
        <f aca="false">FALSE()</f>
        <v>0</v>
      </c>
      <c r="G710" s="0" t="n">
        <v>21</v>
      </c>
      <c r="H710" s="0" t="n">
        <f aca="false">_xlfn.xlookup(G710, years!A$2:A$836, years!B$2:B$836)</f>
        <v>2018</v>
      </c>
      <c r="I710" s="2" t="n">
        <v>72</v>
      </c>
      <c r="J710" s="0" t="n">
        <v>0.845</v>
      </c>
      <c r="K710" s="0" t="n">
        <v>0.561</v>
      </c>
      <c r="L710" s="3" t="str">
        <f aca="false">IF(K710&gt;0.66,"High",IF(K710&gt;0.33&amp;K710&lt;=0.66,"Medium","Low"))</f>
        <v>Low</v>
      </c>
      <c r="M710" s="0" t="n">
        <v>-5.253</v>
      </c>
      <c r="N710" s="3" t="n">
        <v>0.0778</v>
      </c>
      <c r="O710" s="3" t="n">
        <v>0.211</v>
      </c>
      <c r="P710" s="4" t="n">
        <v>3.49E-006</v>
      </c>
      <c r="Q710" s="3" t="n">
        <v>0.0383</v>
      </c>
      <c r="R710" s="3" t="n">
        <v>0.811</v>
      </c>
      <c r="S710" s="3" t="str">
        <f aca="false">IF(R710 &gt;= 0.5, "Positive", "Negative")</f>
        <v>Positive</v>
      </c>
      <c r="T710" s="2" t="n">
        <v>109.974</v>
      </c>
      <c r="U710" s="0" t="s">
        <v>39</v>
      </c>
    </row>
    <row r="711" customFormat="false" ht="14.25" hidden="false" customHeight="false" outlineLevel="0" collapsed="false">
      <c r="A711" s="0" t="n">
        <v>137</v>
      </c>
      <c r="B711" s="0" t="str">
        <f aca="false">_xlfn.xlookup(A711, artists!A$2:A$836, artists!B$2:B$836)</f>
        <v>Ludacris</v>
      </c>
      <c r="C711" s="1" t="s">
        <v>750</v>
      </c>
      <c r="D711" s="2" t="n">
        <v>201586</v>
      </c>
      <c r="E711" s="2" t="n">
        <f aca="false">D711/1000</f>
        <v>201.586</v>
      </c>
      <c r="F711" s="10" t="b">
        <f aca="false">TRUE()</f>
        <v>1</v>
      </c>
      <c r="G711" s="0" t="n">
        <v>13</v>
      </c>
      <c r="H711" s="0" t="n">
        <f aca="false">_xlfn.xlookup(G711, years!A$2:A$836, years!B$2:B$836)</f>
        <v>2010</v>
      </c>
      <c r="I711" s="2" t="n">
        <v>63</v>
      </c>
      <c r="J711" s="0" t="n">
        <v>0.785</v>
      </c>
      <c r="K711" s="0" t="n">
        <v>0.498</v>
      </c>
      <c r="L711" s="3" t="str">
        <f aca="false">IF(K711&gt;0.66,"High",IF(K711&gt;0.33&amp;K711&lt;=0.66,"Medium","Low"))</f>
        <v>Low</v>
      </c>
      <c r="M711" s="0" t="n">
        <v>-6.977</v>
      </c>
      <c r="N711" s="3" t="n">
        <v>0.0533</v>
      </c>
      <c r="O711" s="3" t="n">
        <v>0.00248</v>
      </c>
      <c r="P711" s="4" t="n">
        <v>1.23E-006</v>
      </c>
      <c r="Q711" s="3" t="n">
        <v>0.224</v>
      </c>
      <c r="R711" s="3" t="n">
        <v>0.418</v>
      </c>
      <c r="S711" s="3" t="str">
        <f aca="false">IF(R711 &gt;= 0.5, "Positive", "Negative")</f>
        <v>Negative</v>
      </c>
      <c r="T711" s="2" t="n">
        <v>143.96</v>
      </c>
      <c r="U711" s="0" t="s">
        <v>24</v>
      </c>
    </row>
    <row r="712" customFormat="false" ht="14.25" hidden="false" customHeight="false" outlineLevel="0" collapsed="false">
      <c r="A712" s="0" t="n">
        <v>540</v>
      </c>
      <c r="B712" s="0" t="str">
        <f aca="false">_xlfn.xlookup(A712, artists!A$2:A$836, artists!B$2:B$836)</f>
        <v>MARINA</v>
      </c>
      <c r="C712" s="1" t="s">
        <v>751</v>
      </c>
      <c r="D712" s="2" t="n">
        <v>221493</v>
      </c>
      <c r="E712" s="2" t="n">
        <f aca="false">D712/1000</f>
        <v>221.493</v>
      </c>
      <c r="F712" s="10" t="b">
        <f aca="false">FALSE()</f>
        <v>0</v>
      </c>
      <c r="G712" s="0" t="n">
        <v>15</v>
      </c>
      <c r="H712" s="0" t="n">
        <f aca="false">_xlfn.xlookup(G712, years!A$2:A$836, years!B$2:B$836)</f>
        <v>2012</v>
      </c>
      <c r="I712" s="2" t="n">
        <v>50</v>
      </c>
      <c r="J712" s="0" t="n">
        <v>0.69</v>
      </c>
      <c r="K712" s="0" t="n">
        <v>0.897</v>
      </c>
      <c r="L712" s="3" t="str">
        <f aca="false">IF(K712&gt;0.66,"High",IF(K712&gt;0.33&amp;K712&lt;=0.66,"Medium","Low"))</f>
        <v>High</v>
      </c>
      <c r="M712" s="0" t="n">
        <v>-4.696</v>
      </c>
      <c r="N712" s="3" t="n">
        <v>0.0506</v>
      </c>
      <c r="O712" s="3" t="n">
        <v>0.0142</v>
      </c>
      <c r="P712" s="4" t="n">
        <v>0</v>
      </c>
      <c r="Q712" s="3" t="n">
        <v>0.108</v>
      </c>
      <c r="R712" s="3" t="n">
        <v>0.849</v>
      </c>
      <c r="S712" s="3" t="str">
        <f aca="false">IF(R712 &gt;= 0.5, "Positive", "Negative")</f>
        <v>Positive</v>
      </c>
      <c r="T712" s="2" t="n">
        <v>140.05</v>
      </c>
      <c r="U712" s="0" t="s">
        <v>22</v>
      </c>
    </row>
    <row r="713" customFormat="false" ht="14.25" hidden="false" customHeight="false" outlineLevel="0" collapsed="false">
      <c r="A713" s="0" t="n">
        <v>402</v>
      </c>
      <c r="B713" s="0" t="str">
        <f aca="false">_xlfn.xlookup(A713, artists!A$2:A$836, artists!B$2:B$836)</f>
        <v>Lil Wayne</v>
      </c>
      <c r="C713" s="1" t="s">
        <v>752</v>
      </c>
      <c r="D713" s="2" t="n">
        <v>240306</v>
      </c>
      <c r="E713" s="2" t="n">
        <f aca="false">D713/1000</f>
        <v>240.306</v>
      </c>
      <c r="F713" s="10" t="b">
        <f aca="false">FALSE()</f>
        <v>0</v>
      </c>
      <c r="G713" s="0" t="n">
        <v>14</v>
      </c>
      <c r="H713" s="0" t="n">
        <f aca="false">_xlfn.xlookup(G713, years!A$2:A$836, years!B$2:B$836)</f>
        <v>2011</v>
      </c>
      <c r="I713" s="2" t="n">
        <v>0</v>
      </c>
      <c r="J713" s="0" t="n">
        <v>0.644</v>
      </c>
      <c r="K713" s="0" t="n">
        <v>0.661</v>
      </c>
      <c r="L713" s="3" t="str">
        <f aca="false">IF(K713&gt;0.66,"High",IF(K713&gt;0.33&amp;K713&lt;=0.66,"Medium","Low"))</f>
        <v>High</v>
      </c>
      <c r="M713" s="0" t="n">
        <v>-6.093</v>
      </c>
      <c r="N713" s="3" t="n">
        <v>0.0418</v>
      </c>
      <c r="O713" s="3" t="n">
        <v>0.000177</v>
      </c>
      <c r="P713" s="4" t="n">
        <v>5.23E-006</v>
      </c>
      <c r="Q713" s="3" t="n">
        <v>0.108</v>
      </c>
      <c r="R713" s="3" t="n">
        <v>0.272</v>
      </c>
      <c r="S713" s="3" t="str">
        <f aca="false">IF(R713 &gt;= 0.5, "Positive", "Negative")</f>
        <v>Negative</v>
      </c>
      <c r="T713" s="2" t="n">
        <v>153.992</v>
      </c>
      <c r="U713" s="0" t="s">
        <v>24</v>
      </c>
    </row>
    <row r="714" customFormat="false" ht="14.25" hidden="false" customHeight="false" outlineLevel="0" collapsed="false">
      <c r="A714" s="0" t="n">
        <v>355</v>
      </c>
      <c r="B714" s="0" t="str">
        <f aca="false">_xlfn.xlookup(A714, artists!A$2:A$836, artists!B$2:B$836)</f>
        <v>The Fray</v>
      </c>
      <c r="C714" s="1" t="s">
        <v>753</v>
      </c>
      <c r="D714" s="2" t="n">
        <v>262533</v>
      </c>
      <c r="E714" s="2" t="n">
        <f aca="false">D714/1000</f>
        <v>262.533</v>
      </c>
      <c r="F714" s="10" t="b">
        <f aca="false">FALSE()</f>
        <v>0</v>
      </c>
      <c r="G714" s="0" t="n">
        <v>8</v>
      </c>
      <c r="H714" s="0" t="n">
        <f aca="false">_xlfn.xlookup(G714, years!A$2:A$836, years!B$2:B$836)</f>
        <v>2005</v>
      </c>
      <c r="I714" s="2" t="n">
        <v>79</v>
      </c>
      <c r="J714" s="0" t="n">
        <v>0.64</v>
      </c>
      <c r="K714" s="0" t="n">
        <v>0.743</v>
      </c>
      <c r="L714" s="3" t="str">
        <f aca="false">IF(K714&gt;0.66,"High",IF(K714&gt;0.33&amp;K714&lt;=0.66,"Medium","Low"))</f>
        <v>High</v>
      </c>
      <c r="M714" s="0" t="n">
        <v>-4.08</v>
      </c>
      <c r="N714" s="3" t="n">
        <v>0.0379</v>
      </c>
      <c r="O714" s="3" t="n">
        <v>0.269</v>
      </c>
      <c r="P714" s="4" t="n">
        <v>0</v>
      </c>
      <c r="Q714" s="3" t="n">
        <v>0.101</v>
      </c>
      <c r="R714" s="3" t="n">
        <v>0.361</v>
      </c>
      <c r="S714" s="3" t="str">
        <f aca="false">IF(R714 &gt;= 0.5, "Positive", "Negative")</f>
        <v>Negative</v>
      </c>
      <c r="T714" s="2" t="n">
        <v>122.035</v>
      </c>
      <c r="U714" s="0" t="s">
        <v>39</v>
      </c>
    </row>
    <row r="715" customFormat="false" ht="14.25" hidden="false" customHeight="false" outlineLevel="0" collapsed="false">
      <c r="A715" s="0" t="n">
        <v>290</v>
      </c>
      <c r="B715" s="0" t="str">
        <f aca="false">_xlfn.xlookup(A715, artists!A$2:A$836, artists!B$2:B$836)</f>
        <v>The Game</v>
      </c>
      <c r="C715" s="1" t="s">
        <v>754</v>
      </c>
      <c r="D715" s="2" t="n">
        <v>235533</v>
      </c>
      <c r="E715" s="2" t="n">
        <f aca="false">D715/1000</f>
        <v>235.533</v>
      </c>
      <c r="F715" s="10" t="b">
        <f aca="false">TRUE()</f>
        <v>1</v>
      </c>
      <c r="G715" s="0" t="n">
        <v>8</v>
      </c>
      <c r="H715" s="0" t="n">
        <f aca="false">_xlfn.xlookup(G715, years!A$2:A$836, years!B$2:B$836)</f>
        <v>2005</v>
      </c>
      <c r="I715" s="2" t="n">
        <v>74</v>
      </c>
      <c r="J715" s="0" t="n">
        <v>0.862</v>
      </c>
      <c r="K715" s="0" t="n">
        <v>0.648</v>
      </c>
      <c r="L715" s="3" t="str">
        <f aca="false">IF(K715&gt;0.66,"High",IF(K715&gt;0.33&amp;K715&lt;=0.66,"Medium","Low"))</f>
        <v>Low</v>
      </c>
      <c r="M715" s="0" t="n">
        <v>-7.401</v>
      </c>
      <c r="N715" s="3" t="n">
        <v>0.251</v>
      </c>
      <c r="O715" s="3" t="n">
        <v>0.0455</v>
      </c>
      <c r="P715" s="4" t="n">
        <v>0</v>
      </c>
      <c r="Q715" s="3" t="n">
        <v>0.0332</v>
      </c>
      <c r="R715" s="3" t="n">
        <v>0.637</v>
      </c>
      <c r="S715" s="3" t="str">
        <f aca="false">IF(R715 &gt;= 0.5, "Positive", "Negative")</f>
        <v>Positive</v>
      </c>
      <c r="T715" s="2" t="n">
        <v>98.012</v>
      </c>
      <c r="U715" s="0" t="s">
        <v>24</v>
      </c>
    </row>
    <row r="716" customFormat="false" ht="14.25" hidden="false" customHeight="false" outlineLevel="0" collapsed="false">
      <c r="A716" s="0" t="n">
        <v>555</v>
      </c>
      <c r="B716" s="0" t="str">
        <f aca="false">_xlfn.xlookup(A716, artists!A$2:A$836, artists!B$2:B$836)</f>
        <v>Rita Ora</v>
      </c>
      <c r="C716" s="1" t="s">
        <v>755</v>
      </c>
      <c r="D716" s="2" t="n">
        <v>247026</v>
      </c>
      <c r="E716" s="2" t="n">
        <f aca="false">D716/1000</f>
        <v>247.026</v>
      </c>
      <c r="F716" s="10" t="b">
        <f aca="false">TRUE()</f>
        <v>1</v>
      </c>
      <c r="G716" s="0" t="n">
        <v>15</v>
      </c>
      <c r="H716" s="0" t="n">
        <f aca="false">_xlfn.xlookup(G716, years!A$2:A$836, years!B$2:B$836)</f>
        <v>2012</v>
      </c>
      <c r="I716" s="2" t="n">
        <v>48</v>
      </c>
      <c r="J716" s="0" t="n">
        <v>0.738</v>
      </c>
      <c r="K716" s="0" t="n">
        <v>0.922</v>
      </c>
      <c r="L716" s="3" t="str">
        <f aca="false">IF(K716&gt;0.66,"High",IF(K716&gt;0.33&amp;K716&lt;=0.66,"Medium","Low"))</f>
        <v>High</v>
      </c>
      <c r="M716" s="0" t="n">
        <v>-3.94</v>
      </c>
      <c r="N716" s="3" t="n">
        <v>0.0833</v>
      </c>
      <c r="O716" s="3" t="n">
        <v>0.0034</v>
      </c>
      <c r="P716" s="4" t="n">
        <v>0</v>
      </c>
      <c r="Q716" s="3" t="n">
        <v>0.0986</v>
      </c>
      <c r="R716" s="3" t="n">
        <v>0.689</v>
      </c>
      <c r="S716" s="3" t="str">
        <f aca="false">IF(R716 &gt;= 0.5, "Positive", "Negative")</f>
        <v>Positive</v>
      </c>
      <c r="T716" s="2" t="n">
        <v>116.024</v>
      </c>
      <c r="U716" s="0" t="s">
        <v>53</v>
      </c>
    </row>
    <row r="717" customFormat="false" ht="14.25" hidden="false" customHeight="false" outlineLevel="0" collapsed="false">
      <c r="A717" s="0" t="n">
        <v>221</v>
      </c>
      <c r="B717" s="0" t="str">
        <f aca="false">_xlfn.xlookup(A717, artists!A$2:A$836, artists!B$2:B$836)</f>
        <v>Tyrese</v>
      </c>
      <c r="C717" s="1" t="s">
        <v>756</v>
      </c>
      <c r="D717" s="2" t="n">
        <v>294693</v>
      </c>
      <c r="E717" s="2" t="n">
        <f aca="false">D717/1000</f>
        <v>294.693</v>
      </c>
      <c r="F717" s="10" t="b">
        <f aca="false">FALSE()</f>
        <v>0</v>
      </c>
      <c r="G717" s="0" t="n">
        <v>5</v>
      </c>
      <c r="H717" s="0" t="n">
        <f aca="false">_xlfn.xlookup(G717, years!A$2:A$836, years!B$2:B$836)</f>
        <v>2002</v>
      </c>
      <c r="I717" s="2" t="n">
        <v>60</v>
      </c>
      <c r="J717" s="0" t="n">
        <v>0.733</v>
      </c>
      <c r="K717" s="0" t="n">
        <v>0.521</v>
      </c>
      <c r="L717" s="3" t="str">
        <f aca="false">IF(K717&gt;0.66,"High",IF(K717&gt;0.33&amp;K717&lt;=0.66,"Medium","Low"))</f>
        <v>Low</v>
      </c>
      <c r="M717" s="0" t="n">
        <v>-3.657</v>
      </c>
      <c r="N717" s="3" t="n">
        <v>0.0457</v>
      </c>
      <c r="O717" s="3" t="n">
        <v>0.107</v>
      </c>
      <c r="P717" s="4" t="n">
        <v>0</v>
      </c>
      <c r="Q717" s="3" t="n">
        <v>0.0692</v>
      </c>
      <c r="R717" s="3" t="n">
        <v>0.525</v>
      </c>
      <c r="S717" s="3" t="str">
        <f aca="false">IF(R717 &gt;= 0.5, "Positive", "Negative")</f>
        <v>Positive</v>
      </c>
      <c r="T717" s="2" t="n">
        <v>112.913</v>
      </c>
      <c r="U717" s="0" t="s">
        <v>31</v>
      </c>
    </row>
    <row r="718" customFormat="false" ht="14.25" hidden="false" customHeight="false" outlineLevel="0" collapsed="false">
      <c r="A718" s="0" t="n">
        <v>102</v>
      </c>
      <c r="B718" s="0" t="str">
        <f aca="false">_xlfn.xlookup(A718, artists!A$2:A$836, artists!B$2:B$836)</f>
        <v>Nickelback</v>
      </c>
      <c r="C718" s="1" t="s">
        <v>757</v>
      </c>
      <c r="D718" s="2" t="n">
        <v>223840</v>
      </c>
      <c r="E718" s="2" t="n">
        <f aca="false">D718/1000</f>
        <v>223.84</v>
      </c>
      <c r="F718" s="10" t="b">
        <f aca="false">FALSE()</f>
        <v>0</v>
      </c>
      <c r="G718" s="0" t="n">
        <v>4</v>
      </c>
      <c r="H718" s="0" t="n">
        <f aca="false">_xlfn.xlookup(G718, years!A$2:A$836, years!B$2:B$836)</f>
        <v>2001</v>
      </c>
      <c r="I718" s="2" t="n">
        <v>78</v>
      </c>
      <c r="J718" s="0" t="n">
        <v>0.446</v>
      </c>
      <c r="K718" s="0" t="n">
        <v>0.764</v>
      </c>
      <c r="L718" s="3" t="str">
        <f aca="false">IF(K718&gt;0.66,"High",IF(K718&gt;0.33&amp;K718&lt;=0.66,"Medium","Low"))</f>
        <v>High</v>
      </c>
      <c r="M718" s="0" t="n">
        <v>-5.042</v>
      </c>
      <c r="N718" s="3" t="n">
        <v>0.033</v>
      </c>
      <c r="O718" s="3" t="n">
        <v>0.00135</v>
      </c>
      <c r="P718" s="4" t="n">
        <v>0</v>
      </c>
      <c r="Q718" s="3" t="n">
        <v>0.099</v>
      </c>
      <c r="R718" s="3" t="n">
        <v>0.543</v>
      </c>
      <c r="S718" s="3" t="str">
        <f aca="false">IF(R718 &gt;= 0.5, "Positive", "Negative")</f>
        <v>Positive</v>
      </c>
      <c r="T718" s="2" t="n">
        <v>172.094</v>
      </c>
      <c r="U718" s="0" t="s">
        <v>81</v>
      </c>
    </row>
    <row r="719" customFormat="false" ht="14.25" hidden="false" customHeight="false" outlineLevel="0" collapsed="false">
      <c r="A719" s="0" t="n">
        <v>533</v>
      </c>
      <c r="B719" s="0" t="str">
        <f aca="false">_xlfn.xlookup(A719, artists!A$2:A$836, artists!B$2:B$836)</f>
        <v>Christina Perri</v>
      </c>
      <c r="C719" s="1" t="s">
        <v>758</v>
      </c>
      <c r="D719" s="2" t="n">
        <v>250706</v>
      </c>
      <c r="E719" s="2" t="n">
        <f aca="false">D719/1000</f>
        <v>250.706</v>
      </c>
      <c r="F719" s="10" t="b">
        <f aca="false">FALSE()</f>
        <v>0</v>
      </c>
      <c r="G719" s="0" t="n">
        <v>16</v>
      </c>
      <c r="H719" s="0" t="n">
        <f aca="false">_xlfn.xlookup(G719, years!A$2:A$836, years!B$2:B$836)</f>
        <v>2013</v>
      </c>
      <c r="I719" s="2" t="n">
        <v>59</v>
      </c>
      <c r="J719" s="0" t="n">
        <v>0.439</v>
      </c>
      <c r="K719" s="0" t="n">
        <v>0.489</v>
      </c>
      <c r="L719" s="3" t="str">
        <f aca="false">IF(K719&gt;0.66,"High",IF(K719&gt;0.33&amp;K719&lt;=0.66,"Medium","Low"))</f>
        <v>Low</v>
      </c>
      <c r="M719" s="0" t="n">
        <v>-6.286</v>
      </c>
      <c r="N719" s="3" t="n">
        <v>0.0368</v>
      </c>
      <c r="O719" s="3" t="n">
        <v>0.132</v>
      </c>
      <c r="P719" s="4" t="n">
        <v>0.000643</v>
      </c>
      <c r="Q719" s="3" t="n">
        <v>0.114</v>
      </c>
      <c r="R719" s="3" t="n">
        <v>0.253</v>
      </c>
      <c r="S719" s="3" t="str">
        <f aca="false">IF(R719 &gt;= 0.5, "Positive", "Negative")</f>
        <v>Negative</v>
      </c>
      <c r="T719" s="2" t="n">
        <v>143.808</v>
      </c>
      <c r="U719" s="0" t="s">
        <v>39</v>
      </c>
    </row>
    <row r="720" customFormat="false" ht="14.25" hidden="false" customHeight="false" outlineLevel="0" collapsed="false">
      <c r="A720" s="0" t="n">
        <v>684</v>
      </c>
      <c r="B720" s="0" t="str">
        <f aca="false">_xlfn.xlookup(A720, artists!A$2:A$836, artists!B$2:B$836)</f>
        <v>Desiigner</v>
      </c>
      <c r="C720" s="1" t="s">
        <v>759</v>
      </c>
      <c r="D720" s="2" t="n">
        <v>246761</v>
      </c>
      <c r="E720" s="2" t="n">
        <f aca="false">D720/1000</f>
        <v>246.761</v>
      </c>
      <c r="F720" s="10" t="b">
        <f aca="false">TRUE()</f>
        <v>1</v>
      </c>
      <c r="G720" s="0" t="n">
        <v>19</v>
      </c>
      <c r="H720" s="0" t="n">
        <f aca="false">_xlfn.xlookup(G720, years!A$2:A$836, years!B$2:B$836)</f>
        <v>2016</v>
      </c>
      <c r="I720" s="2" t="n">
        <v>70</v>
      </c>
      <c r="J720" s="0" t="n">
        <v>0.576</v>
      </c>
      <c r="K720" s="0" t="n">
        <v>0.766</v>
      </c>
      <c r="L720" s="3" t="str">
        <f aca="false">IF(K720&gt;0.66,"High",IF(K720&gt;0.33&amp;K720&lt;=0.66,"Medium","Low"))</f>
        <v>High</v>
      </c>
      <c r="M720" s="0" t="n">
        <v>-4.943</v>
      </c>
      <c r="N720" s="3" t="n">
        <v>0.449</v>
      </c>
      <c r="O720" s="3" t="n">
        <v>0.028</v>
      </c>
      <c r="P720" s="4" t="n">
        <v>1.68E-006</v>
      </c>
      <c r="Q720" s="3" t="n">
        <v>0.366</v>
      </c>
      <c r="R720" s="3" t="n">
        <v>0.236</v>
      </c>
      <c r="S720" s="3" t="str">
        <f aca="false">IF(R720 &gt;= 0.5, "Positive", "Negative")</f>
        <v>Negative</v>
      </c>
      <c r="T720" s="2" t="n">
        <v>144.833</v>
      </c>
      <c r="U720" s="0" t="s">
        <v>24</v>
      </c>
    </row>
    <row r="721" customFormat="false" ht="14.25" hidden="false" customHeight="false" outlineLevel="0" collapsed="false">
      <c r="A721" s="0" t="n">
        <v>539</v>
      </c>
      <c r="B721" s="0" t="str">
        <f aca="false">_xlfn.xlookup(A721, artists!A$2:A$836, artists!B$2:B$836)</f>
        <v>Kendrick Lamar</v>
      </c>
      <c r="C721" s="1" t="s">
        <v>760</v>
      </c>
      <c r="D721" s="2" t="n">
        <v>177000</v>
      </c>
      <c r="E721" s="2" t="n">
        <f aca="false">D721/1000</f>
        <v>177</v>
      </c>
      <c r="F721" s="10" t="b">
        <f aca="false">TRUE()</f>
        <v>1</v>
      </c>
      <c r="G721" s="0" t="n">
        <v>20</v>
      </c>
      <c r="H721" s="0" t="n">
        <f aca="false">_xlfn.xlookup(G721, years!A$2:A$836, years!B$2:B$836)</f>
        <v>2017</v>
      </c>
      <c r="I721" s="2" t="n">
        <v>0</v>
      </c>
      <c r="J721" s="0" t="n">
        <v>0.906</v>
      </c>
      <c r="K721" s="0" t="n">
        <v>0.625</v>
      </c>
      <c r="L721" s="3" t="str">
        <f aca="false">IF(K721&gt;0.66,"High",IF(K721&gt;0.33&amp;K721&lt;=0.66,"Medium","Low"))</f>
        <v>Low</v>
      </c>
      <c r="M721" s="0" t="n">
        <v>-6.779</v>
      </c>
      <c r="N721" s="3" t="n">
        <v>0.0903</v>
      </c>
      <c r="O721" s="3" t="n">
        <v>0.000243</v>
      </c>
      <c r="P721" s="4" t="n">
        <v>3.23E-005</v>
      </c>
      <c r="Q721" s="3" t="n">
        <v>0.0975</v>
      </c>
      <c r="R721" s="3" t="n">
        <v>0.423</v>
      </c>
      <c r="S721" s="3" t="str">
        <f aca="false">IF(R721 &gt;= 0.5, "Positive", "Negative")</f>
        <v>Negative</v>
      </c>
      <c r="T721" s="2" t="n">
        <v>150.018</v>
      </c>
      <c r="U721" s="0" t="s">
        <v>29</v>
      </c>
    </row>
    <row r="722" customFormat="false" ht="14.25" hidden="false" customHeight="false" outlineLevel="0" collapsed="false">
      <c r="A722" s="0" t="n">
        <v>31</v>
      </c>
      <c r="B722" s="0" t="str">
        <f aca="false">_xlfn.xlookup(A722, artists!A$2:A$836, artists!B$2:B$836)</f>
        <v>Madonna</v>
      </c>
      <c r="C722" s="1" t="s">
        <v>761</v>
      </c>
      <c r="D722" s="2" t="n">
        <v>337733</v>
      </c>
      <c r="E722" s="2" t="n">
        <f aca="false">D722/1000</f>
        <v>337.733</v>
      </c>
      <c r="F722" s="10" t="b">
        <f aca="false">FALSE()</f>
        <v>0</v>
      </c>
      <c r="G722" s="0" t="n">
        <v>8</v>
      </c>
      <c r="H722" s="0" t="n">
        <f aca="false">_xlfn.xlookup(G722, years!A$2:A$836, years!B$2:B$836)</f>
        <v>2005</v>
      </c>
      <c r="I722" s="2" t="n">
        <v>74</v>
      </c>
      <c r="J722" s="0" t="n">
        <v>0.649</v>
      </c>
      <c r="K722" s="0" t="n">
        <v>0.647</v>
      </c>
      <c r="L722" s="3" t="str">
        <f aca="false">IF(K722&gt;0.66,"High",IF(K722&gt;0.33&amp;K722&lt;=0.66,"Medium","Low"))</f>
        <v>Low</v>
      </c>
      <c r="M722" s="0" t="n">
        <v>-7.695</v>
      </c>
      <c r="N722" s="3" t="n">
        <v>0.0452</v>
      </c>
      <c r="O722" s="3" t="n">
        <v>0.0039</v>
      </c>
      <c r="P722" s="4" t="n">
        <v>0.161</v>
      </c>
      <c r="Q722" s="3" t="n">
        <v>0.0686</v>
      </c>
      <c r="R722" s="3" t="n">
        <v>0.405</v>
      </c>
      <c r="S722" s="3" t="str">
        <f aca="false">IF(R722 &gt;= 0.5, "Positive", "Negative")</f>
        <v>Negative</v>
      </c>
      <c r="T722" s="2" t="n">
        <v>125.02</v>
      </c>
      <c r="U722" s="0" t="s">
        <v>39</v>
      </c>
    </row>
    <row r="723" customFormat="false" ht="14.25" hidden="false" customHeight="false" outlineLevel="0" collapsed="false">
      <c r="A723" s="0" t="n">
        <v>688</v>
      </c>
      <c r="B723" s="0" t="str">
        <f aca="false">_xlfn.xlookup(A723, artists!A$2:A$836, artists!B$2:B$836)</f>
        <v>Astrid S</v>
      </c>
      <c r="C723" s="1" t="s">
        <v>762</v>
      </c>
      <c r="D723" s="2" t="n">
        <v>208728</v>
      </c>
      <c r="E723" s="2" t="n">
        <f aca="false">D723/1000</f>
        <v>208.728</v>
      </c>
      <c r="F723" s="10" t="b">
        <f aca="false">FALSE()</f>
        <v>0</v>
      </c>
      <c r="G723" s="0" t="n">
        <v>19</v>
      </c>
      <c r="H723" s="0" t="n">
        <f aca="false">_xlfn.xlookup(G723, years!A$2:A$836, years!B$2:B$836)</f>
        <v>2016</v>
      </c>
      <c r="I723" s="2" t="n">
        <v>0</v>
      </c>
      <c r="J723" s="0" t="n">
        <v>0.672</v>
      </c>
      <c r="K723" s="0" t="n">
        <v>0.589</v>
      </c>
      <c r="L723" s="3" t="str">
        <f aca="false">IF(K723&gt;0.66,"High",IF(K723&gt;0.33&amp;K723&lt;=0.66,"Medium","Low"))</f>
        <v>Low</v>
      </c>
      <c r="M723" s="0" t="n">
        <v>-5.008</v>
      </c>
      <c r="N723" s="3" t="n">
        <v>0.049</v>
      </c>
      <c r="O723" s="3" t="n">
        <v>0.082</v>
      </c>
      <c r="P723" s="4" t="n">
        <v>0</v>
      </c>
      <c r="Q723" s="3" t="n">
        <v>0.0962</v>
      </c>
      <c r="R723" s="3" t="n">
        <v>0.379</v>
      </c>
      <c r="S723" s="3" t="str">
        <f aca="false">IF(R723 &gt;= 0.5, "Positive", "Negative")</f>
        <v>Negative</v>
      </c>
      <c r="T723" s="2" t="n">
        <v>120.036</v>
      </c>
      <c r="U723" s="0" t="s">
        <v>632</v>
      </c>
    </row>
    <row r="724" customFormat="false" ht="14.25" hidden="false" customHeight="false" outlineLevel="0" collapsed="false">
      <c r="A724" s="0" t="n">
        <v>695</v>
      </c>
      <c r="B724" s="0" t="str">
        <f aca="false">_xlfn.xlookup(A724, artists!A$2:A$836, artists!B$2:B$836)</f>
        <v>Kevin Gates</v>
      </c>
      <c r="C724" s="1" t="s">
        <v>763</v>
      </c>
      <c r="D724" s="2" t="n">
        <v>240000</v>
      </c>
      <c r="E724" s="2" t="n">
        <f aca="false">D724/1000</f>
        <v>240</v>
      </c>
      <c r="F724" s="10" t="b">
        <f aca="false">TRUE()</f>
        <v>1</v>
      </c>
      <c r="G724" s="0" t="n">
        <v>19</v>
      </c>
      <c r="H724" s="0" t="n">
        <f aca="false">_xlfn.xlookup(G724, years!A$2:A$836, years!B$2:B$836)</f>
        <v>2016</v>
      </c>
      <c r="I724" s="2" t="n">
        <v>69</v>
      </c>
      <c r="J724" s="0" t="n">
        <v>0.895</v>
      </c>
      <c r="K724" s="0" t="n">
        <v>0.681</v>
      </c>
      <c r="L724" s="3" t="str">
        <f aca="false">IF(K724&gt;0.66,"High",IF(K724&gt;0.33&amp;K724&lt;=0.66,"Medium","Low"))</f>
        <v>High</v>
      </c>
      <c r="M724" s="0" t="n">
        <v>-5.267</v>
      </c>
      <c r="N724" s="3" t="n">
        <v>0.358</v>
      </c>
      <c r="O724" s="3" t="n">
        <v>0.157</v>
      </c>
      <c r="P724" s="4" t="n">
        <v>0</v>
      </c>
      <c r="Q724" s="3" t="n">
        <v>0.189</v>
      </c>
      <c r="R724" s="3" t="n">
        <v>0.554</v>
      </c>
      <c r="S724" s="3" t="str">
        <f aca="false">IF(R724 &gt;= 0.5, "Positive", "Negative")</f>
        <v>Positive</v>
      </c>
      <c r="T724" s="2" t="n">
        <v>121.918</v>
      </c>
      <c r="U724" s="0" t="s">
        <v>24</v>
      </c>
    </row>
    <row r="725" customFormat="false" ht="14.25" hidden="false" customHeight="false" outlineLevel="0" collapsed="false">
      <c r="A725" s="0" t="n">
        <v>383</v>
      </c>
      <c r="B725" s="0" t="str">
        <f aca="false">_xlfn.xlookup(A725, artists!A$2:A$836, artists!B$2:B$836)</f>
        <v>Plies</v>
      </c>
      <c r="C725" s="1" t="s">
        <v>764</v>
      </c>
      <c r="D725" s="2" t="n">
        <v>188493</v>
      </c>
      <c r="E725" s="2" t="n">
        <f aca="false">D725/1000</f>
        <v>188.493</v>
      </c>
      <c r="F725" s="10" t="b">
        <f aca="false">TRUE()</f>
        <v>1</v>
      </c>
      <c r="G725" s="0" t="n">
        <v>10</v>
      </c>
      <c r="H725" s="0" t="n">
        <f aca="false">_xlfn.xlookup(G725, years!A$2:A$836, years!B$2:B$836)</f>
        <v>2007</v>
      </c>
      <c r="I725" s="2" t="n">
        <v>66</v>
      </c>
      <c r="J725" s="0" t="n">
        <v>0.84</v>
      </c>
      <c r="K725" s="0" t="n">
        <v>0.571</v>
      </c>
      <c r="L725" s="3" t="str">
        <f aca="false">IF(K725&gt;0.66,"High",IF(K725&gt;0.33&amp;K725&lt;=0.66,"Medium","Low"))</f>
        <v>Low</v>
      </c>
      <c r="M725" s="0" t="n">
        <v>-7.421</v>
      </c>
      <c r="N725" s="3" t="n">
        <v>0.0797</v>
      </c>
      <c r="O725" s="3" t="n">
        <v>0.16</v>
      </c>
      <c r="P725" s="4" t="n">
        <v>0</v>
      </c>
      <c r="Q725" s="3" t="n">
        <v>0.406</v>
      </c>
      <c r="R725" s="3" t="n">
        <v>0.617</v>
      </c>
      <c r="S725" s="3" t="str">
        <f aca="false">IF(R725 &gt;= 0.5, "Positive", "Negative")</f>
        <v>Positive</v>
      </c>
      <c r="T725" s="2" t="n">
        <v>116.59</v>
      </c>
      <c r="U725" s="0" t="s">
        <v>31</v>
      </c>
    </row>
    <row r="726" customFormat="false" ht="14.25" hidden="false" customHeight="false" outlineLevel="0" collapsed="false">
      <c r="A726" s="0" t="n">
        <v>34</v>
      </c>
      <c r="B726" s="0" t="str">
        <f aca="false">_xlfn.xlookup(A726, artists!A$2:A$836, artists!B$2:B$836)</f>
        <v>Kylie Minogue</v>
      </c>
      <c r="C726" s="1" t="s">
        <v>765</v>
      </c>
      <c r="D726" s="2" t="n">
        <v>200973</v>
      </c>
      <c r="E726" s="2" t="n">
        <f aca="false">D726/1000</f>
        <v>200.973</v>
      </c>
      <c r="F726" s="10" t="b">
        <f aca="false">FALSE()</f>
        <v>0</v>
      </c>
      <c r="G726" s="0" t="n">
        <v>7</v>
      </c>
      <c r="H726" s="0" t="n">
        <f aca="false">_xlfn.xlookup(G726, years!A$2:A$836, years!B$2:B$836)</f>
        <v>2004</v>
      </c>
      <c r="I726" s="2" t="n">
        <v>47</v>
      </c>
      <c r="J726" s="0" t="n">
        <v>0.548</v>
      </c>
      <c r="K726" s="0" t="n">
        <v>0.785</v>
      </c>
      <c r="L726" s="3" t="str">
        <f aca="false">IF(K726&gt;0.66,"High",IF(K726&gt;0.33&amp;K726&lt;=0.66,"Medium","Low"))</f>
        <v>High</v>
      </c>
      <c r="M726" s="0" t="n">
        <v>-5.087</v>
      </c>
      <c r="N726" s="3" t="n">
        <v>0.0704</v>
      </c>
      <c r="O726" s="3" t="n">
        <v>0.00277</v>
      </c>
      <c r="P726" s="4" t="n">
        <v>0.048</v>
      </c>
      <c r="Q726" s="3" t="n">
        <v>0.329</v>
      </c>
      <c r="R726" s="3" t="n">
        <v>0.418</v>
      </c>
      <c r="S726" s="3" t="str">
        <f aca="false">IF(R726 &gt;= 0.5, "Positive", "Negative")</f>
        <v>Negative</v>
      </c>
      <c r="T726" s="2" t="n">
        <v>120.939</v>
      </c>
      <c r="U726" s="0" t="s">
        <v>22</v>
      </c>
    </row>
    <row r="727" customFormat="false" ht="14.25" hidden="false" customHeight="false" outlineLevel="0" collapsed="false">
      <c r="A727" s="0" t="n">
        <v>308</v>
      </c>
      <c r="B727" s="0" t="str">
        <f aca="false">_xlfn.xlookup(A727, artists!A$2:A$836, artists!B$2:B$836)</f>
        <v>Arctic Monkeys</v>
      </c>
      <c r="C727" s="1" t="s">
        <v>766</v>
      </c>
      <c r="D727" s="2" t="n">
        <v>173680</v>
      </c>
      <c r="E727" s="2" t="n">
        <f aca="false">D727/1000</f>
        <v>173.68</v>
      </c>
      <c r="F727" s="10" t="b">
        <f aca="false">FALSE()</f>
        <v>0</v>
      </c>
      <c r="G727" s="0" t="n">
        <v>9</v>
      </c>
      <c r="H727" s="0" t="n">
        <f aca="false">_xlfn.xlookup(G727, years!A$2:A$836, years!B$2:B$836)</f>
        <v>2006</v>
      </c>
      <c r="I727" s="2" t="n">
        <v>71</v>
      </c>
      <c r="J727" s="0" t="n">
        <v>0.535</v>
      </c>
      <c r="K727" s="0" t="n">
        <v>0.948</v>
      </c>
      <c r="L727" s="3" t="str">
        <f aca="false">IF(K727&gt;0.66,"High",IF(K727&gt;0.33&amp;K727&lt;=0.66,"Medium","Low"))</f>
        <v>High</v>
      </c>
      <c r="M727" s="0" t="n">
        <v>-4.19</v>
      </c>
      <c r="N727" s="3" t="n">
        <v>0.0356</v>
      </c>
      <c r="O727" s="3" t="n">
        <v>0.00225</v>
      </c>
      <c r="P727" s="4" t="n">
        <v>0</v>
      </c>
      <c r="Q727" s="3" t="n">
        <v>0.376</v>
      </c>
      <c r="R727" s="3" t="n">
        <v>0.778</v>
      </c>
      <c r="S727" s="3" t="str">
        <f aca="false">IF(R727 &gt;= 0.5, "Positive", "Negative")</f>
        <v>Positive</v>
      </c>
      <c r="T727" s="2" t="n">
        <v>103.183</v>
      </c>
      <c r="U727" s="0" t="s">
        <v>43</v>
      </c>
    </row>
    <row r="728" customFormat="false" ht="14.25" hidden="false" customHeight="false" outlineLevel="0" collapsed="false">
      <c r="A728" s="0" t="n">
        <v>220</v>
      </c>
      <c r="B728" s="0" t="str">
        <f aca="false">_xlfn.xlookup(A728, artists!A$2:A$836, artists!B$2:B$836)</f>
        <v>Nas</v>
      </c>
      <c r="C728" s="1" t="s">
        <v>767</v>
      </c>
      <c r="D728" s="2" t="n">
        <v>253720</v>
      </c>
      <c r="E728" s="2" t="n">
        <f aca="false">D728/1000</f>
        <v>253.72</v>
      </c>
      <c r="F728" s="10" t="b">
        <f aca="false">FALSE()</f>
        <v>0</v>
      </c>
      <c r="G728" s="0" t="n">
        <v>5</v>
      </c>
      <c r="H728" s="0" t="n">
        <f aca="false">_xlfn.xlookup(G728, years!A$2:A$836, years!B$2:B$836)</f>
        <v>2002</v>
      </c>
      <c r="I728" s="2" t="n">
        <v>58</v>
      </c>
      <c r="J728" s="0" t="n">
        <v>0.837</v>
      </c>
      <c r="K728" s="0" t="n">
        <v>0.885</v>
      </c>
      <c r="L728" s="3" t="str">
        <f aca="false">IF(K728&gt;0.66,"High",IF(K728&gt;0.33&amp;K728&lt;=0.66,"Medium","Low"))</f>
        <v>High</v>
      </c>
      <c r="M728" s="0" t="n">
        <v>-3.914</v>
      </c>
      <c r="N728" s="3" t="n">
        <v>0.182</v>
      </c>
      <c r="O728" s="3" t="n">
        <v>0.103</v>
      </c>
      <c r="P728" s="4" t="n">
        <v>0</v>
      </c>
      <c r="Q728" s="3" t="n">
        <v>0.0666</v>
      </c>
      <c r="R728" s="3" t="n">
        <v>0.694</v>
      </c>
      <c r="S728" s="3" t="str">
        <f aca="false">IF(R728 &gt;= 0.5, "Positive", "Negative")</f>
        <v>Positive</v>
      </c>
      <c r="T728" s="2" t="n">
        <v>95.313</v>
      </c>
      <c r="U728" s="0" t="s">
        <v>29</v>
      </c>
    </row>
    <row r="729" customFormat="false" ht="14.25" hidden="false" customHeight="false" outlineLevel="0" collapsed="false">
      <c r="A729" s="0" t="n">
        <v>542</v>
      </c>
      <c r="B729" s="0" t="str">
        <f aca="false">_xlfn.xlookup(A729, artists!A$2:A$836, artists!B$2:B$836)</f>
        <v>Avicii</v>
      </c>
      <c r="C729" s="1" t="s">
        <v>768</v>
      </c>
      <c r="D729" s="2" t="n">
        <v>208316</v>
      </c>
      <c r="E729" s="2" t="n">
        <f aca="false">D729/1000</f>
        <v>208.316</v>
      </c>
      <c r="F729" s="10" t="b">
        <f aca="false">FALSE()</f>
        <v>0</v>
      </c>
      <c r="G729" s="0" t="n">
        <v>15</v>
      </c>
      <c r="H729" s="0" t="n">
        <f aca="false">_xlfn.xlookup(G729, years!A$2:A$836, years!B$2:B$836)</f>
        <v>2012</v>
      </c>
      <c r="I729" s="2" t="n">
        <v>68</v>
      </c>
      <c r="J729" s="0" t="n">
        <v>0.509</v>
      </c>
      <c r="K729" s="0" t="n">
        <v>0.79</v>
      </c>
      <c r="L729" s="3" t="str">
        <f aca="false">IF(K729&gt;0.66,"High",IF(K729&gt;0.33&amp;K729&lt;=0.66,"Medium","Low"))</f>
        <v>High</v>
      </c>
      <c r="M729" s="0" t="n">
        <v>-3.782</v>
      </c>
      <c r="N729" s="3" t="n">
        <v>0.0374</v>
      </c>
      <c r="O729" s="3" t="n">
        <v>0.332</v>
      </c>
      <c r="P729" s="4" t="n">
        <v>6.67E-005</v>
      </c>
      <c r="Q729" s="3" t="n">
        <v>0.316</v>
      </c>
      <c r="R729" s="3" t="n">
        <v>0.638</v>
      </c>
      <c r="S729" s="3" t="str">
        <f aca="false">IF(R729 &gt;= 0.5, "Positive", "Negative")</f>
        <v>Positive</v>
      </c>
      <c r="T729" s="2" t="n">
        <v>127.946</v>
      </c>
      <c r="U729" s="0" t="s">
        <v>22</v>
      </c>
    </row>
    <row r="730" customFormat="false" ht="14.25" hidden="false" customHeight="false" outlineLevel="0" collapsed="false">
      <c r="A730" s="0" t="n">
        <v>397</v>
      </c>
      <c r="B730" s="0" t="str">
        <f aca="false">_xlfn.xlookup(A730, artists!A$2:A$836, artists!B$2:B$836)</f>
        <v>Flo Rida</v>
      </c>
      <c r="C730" s="1" t="s">
        <v>769</v>
      </c>
      <c r="D730" s="2" t="n">
        <v>223800</v>
      </c>
      <c r="E730" s="2" t="n">
        <f aca="false">D730/1000</f>
        <v>223.8</v>
      </c>
      <c r="F730" s="10" t="b">
        <f aca="false">FALSE()</f>
        <v>0</v>
      </c>
      <c r="G730" s="0" t="n">
        <v>15</v>
      </c>
      <c r="H730" s="0" t="n">
        <f aca="false">_xlfn.xlookup(G730, years!A$2:A$836, years!B$2:B$836)</f>
        <v>2012</v>
      </c>
      <c r="I730" s="2" t="n">
        <v>60</v>
      </c>
      <c r="J730" s="0" t="n">
        <v>0.693</v>
      </c>
      <c r="K730" s="0" t="n">
        <v>0.822</v>
      </c>
      <c r="L730" s="3" t="str">
        <f aca="false">IF(K730&gt;0.66,"High",IF(K730&gt;0.33&amp;K730&lt;=0.66,"Medium","Low"))</f>
        <v>High</v>
      </c>
      <c r="M730" s="0" t="n">
        <v>-5.441</v>
      </c>
      <c r="N730" s="3" t="n">
        <v>0.0439</v>
      </c>
      <c r="O730" s="3" t="n">
        <v>0.00616</v>
      </c>
      <c r="P730" s="4" t="n">
        <v>1.79E-006</v>
      </c>
      <c r="Q730" s="3" t="n">
        <v>0.315</v>
      </c>
      <c r="R730" s="3" t="n">
        <v>0.763</v>
      </c>
      <c r="S730" s="3" t="str">
        <f aca="false">IF(R730 &gt;= 0.5, "Positive", "Negative")</f>
        <v>Positive</v>
      </c>
      <c r="T730" s="2" t="n">
        <v>126.035</v>
      </c>
      <c r="U730" s="0" t="s">
        <v>24</v>
      </c>
    </row>
    <row r="731" customFormat="false" ht="14.25" hidden="false" customHeight="false" outlineLevel="0" collapsed="false">
      <c r="A731" s="0" t="n">
        <v>709</v>
      </c>
      <c r="B731" s="0" t="str">
        <f aca="false">_xlfn.xlookup(A731, artists!A$2:A$836, artists!B$2:B$836)</f>
        <v>ZAYN</v>
      </c>
      <c r="C731" s="1" t="s">
        <v>770</v>
      </c>
      <c r="D731" s="2" t="n">
        <v>245200</v>
      </c>
      <c r="E731" s="2" t="n">
        <f aca="false">D731/1000</f>
        <v>245.2</v>
      </c>
      <c r="F731" s="10" t="b">
        <f aca="false">FALSE()</f>
        <v>0</v>
      </c>
      <c r="G731" s="0" t="n">
        <v>19</v>
      </c>
      <c r="H731" s="0" t="n">
        <f aca="false">_xlfn.xlookup(G731, years!A$2:A$836, years!B$2:B$836)</f>
        <v>2016</v>
      </c>
      <c r="I731" s="2" t="n">
        <v>0</v>
      </c>
      <c r="J731" s="0" t="n">
        <v>0.735</v>
      </c>
      <c r="K731" s="0" t="n">
        <v>0.451</v>
      </c>
      <c r="L731" s="3" t="str">
        <f aca="false">IF(K731&gt;0.66,"High",IF(K731&gt;0.33&amp;K731&lt;=0.66,"Medium","Low"))</f>
        <v>Low</v>
      </c>
      <c r="M731" s="0" t="n">
        <v>-8.374</v>
      </c>
      <c r="N731" s="3" t="n">
        <v>0.0585</v>
      </c>
      <c r="O731" s="3" t="n">
        <v>0.0631</v>
      </c>
      <c r="P731" s="4" t="n">
        <v>1.3E-005</v>
      </c>
      <c r="Q731" s="3" t="n">
        <v>0.325</v>
      </c>
      <c r="R731" s="3" t="n">
        <v>0.0862</v>
      </c>
      <c r="S731" s="3" t="str">
        <f aca="false">IF(R731 &gt;= 0.5, "Positive", "Negative")</f>
        <v>Negative</v>
      </c>
      <c r="T731" s="2" t="n">
        <v>117.973</v>
      </c>
      <c r="U731" s="0" t="s">
        <v>22</v>
      </c>
    </row>
    <row r="732" customFormat="false" ht="14.25" hidden="false" customHeight="false" outlineLevel="0" collapsed="false">
      <c r="A732" s="0" t="n">
        <v>272</v>
      </c>
      <c r="B732" s="0" t="str">
        <f aca="false">_xlfn.xlookup(A732, artists!A$2:A$836, artists!B$2:B$836)</f>
        <v>Scissor Sisters</v>
      </c>
      <c r="C732" s="1" t="s">
        <v>771</v>
      </c>
      <c r="D732" s="2" t="n">
        <v>288360</v>
      </c>
      <c r="E732" s="2" t="n">
        <f aca="false">D732/1000</f>
        <v>288.36</v>
      </c>
      <c r="F732" s="10" t="b">
        <f aca="false">FALSE()</f>
        <v>0</v>
      </c>
      <c r="G732" s="0" t="n">
        <v>9</v>
      </c>
      <c r="H732" s="0" t="n">
        <f aca="false">_xlfn.xlookup(G732, years!A$2:A$836, years!B$2:B$836)</f>
        <v>2006</v>
      </c>
      <c r="I732" s="2" t="n">
        <v>63</v>
      </c>
      <c r="J732" s="0" t="n">
        <v>0.707</v>
      </c>
      <c r="K732" s="0" t="n">
        <v>0.923</v>
      </c>
      <c r="L732" s="3" t="str">
        <f aca="false">IF(K732&gt;0.66,"High",IF(K732&gt;0.33&amp;K732&lt;=0.66,"Medium","Low"))</f>
        <v>High</v>
      </c>
      <c r="M732" s="0" t="n">
        <v>-3.409</v>
      </c>
      <c r="N732" s="3" t="n">
        <v>0.0276</v>
      </c>
      <c r="O732" s="3" t="n">
        <v>0.0195</v>
      </c>
      <c r="P732" s="4" t="n">
        <v>0</v>
      </c>
      <c r="Q732" s="3" t="n">
        <v>0.342</v>
      </c>
      <c r="R732" s="3" t="n">
        <v>0.845</v>
      </c>
      <c r="S732" s="3" t="str">
        <f aca="false">IF(R732 &gt;= 0.5, "Positive", "Negative")</f>
        <v>Positive</v>
      </c>
      <c r="T732" s="2" t="n">
        <v>108.023</v>
      </c>
      <c r="U732" s="0" t="s">
        <v>292</v>
      </c>
    </row>
    <row r="733" customFormat="false" ht="14.25" hidden="false" customHeight="false" outlineLevel="0" collapsed="false">
      <c r="A733" s="0" t="n">
        <v>55</v>
      </c>
      <c r="B733" s="0" t="str">
        <f aca="false">_xlfn.xlookup(A733, artists!A$2:A$836, artists!B$2:B$836)</f>
        <v>P!nk</v>
      </c>
      <c r="C733" s="1" t="s">
        <v>772</v>
      </c>
      <c r="D733" s="2" t="n">
        <v>215413</v>
      </c>
      <c r="E733" s="2" t="n">
        <f aca="false">D733/1000</f>
        <v>215.413</v>
      </c>
      <c r="F733" s="10" t="b">
        <f aca="false">FALSE()</f>
        <v>0</v>
      </c>
      <c r="G733" s="0" t="n">
        <v>19</v>
      </c>
      <c r="H733" s="0" t="n">
        <f aca="false">_xlfn.xlookup(G733, years!A$2:A$836, years!B$2:B$836)</f>
        <v>2016</v>
      </c>
      <c r="I733" s="2" t="n">
        <v>68</v>
      </c>
      <c r="J733" s="0" t="n">
        <v>0.632</v>
      </c>
      <c r="K733" s="0" t="n">
        <v>0.702</v>
      </c>
      <c r="L733" s="3" t="str">
        <f aca="false">IF(K733&gt;0.66,"High",IF(K733&gt;0.33&amp;K733&lt;=0.66,"Medium","Low"))</f>
        <v>High</v>
      </c>
      <c r="M733" s="0" t="n">
        <v>-5.92</v>
      </c>
      <c r="N733" s="3" t="n">
        <v>0.148</v>
      </c>
      <c r="O733" s="3" t="n">
        <v>0.0114</v>
      </c>
      <c r="P733" s="4" t="n">
        <v>0</v>
      </c>
      <c r="Q733" s="3" t="n">
        <v>0.108</v>
      </c>
      <c r="R733" s="3" t="n">
        <v>0.523</v>
      </c>
      <c r="S733" s="3" t="str">
        <f aca="false">IF(R733 &gt;= 0.5, "Positive", "Negative")</f>
        <v>Positive</v>
      </c>
      <c r="T733" s="2" t="n">
        <v>162.958</v>
      </c>
      <c r="U733" s="0" t="s">
        <v>39</v>
      </c>
    </row>
    <row r="734" customFormat="false" ht="14.25" hidden="false" customHeight="false" outlineLevel="0" collapsed="false">
      <c r="A734" s="0" t="n">
        <v>605</v>
      </c>
      <c r="B734" s="0" t="str">
        <f aca="false">_xlfn.xlookup(A734, artists!A$2:A$836, artists!B$2:B$836)</f>
        <v>Sia</v>
      </c>
      <c r="C734" s="1" t="s">
        <v>773</v>
      </c>
      <c r="D734" s="2" t="n">
        <v>210226</v>
      </c>
      <c r="E734" s="2" t="n">
        <f aca="false">D734/1000</f>
        <v>210.226</v>
      </c>
      <c r="F734" s="10" t="b">
        <f aca="false">FALSE()</f>
        <v>0</v>
      </c>
      <c r="G734" s="0" t="n">
        <v>19</v>
      </c>
      <c r="H734" s="0" t="n">
        <f aca="false">_xlfn.xlookup(G734, years!A$2:A$836, years!B$2:B$836)</f>
        <v>2016</v>
      </c>
      <c r="I734" s="2" t="n">
        <v>68</v>
      </c>
      <c r="J734" s="0" t="n">
        <v>0.668</v>
      </c>
      <c r="K734" s="0" t="n">
        <v>0.725</v>
      </c>
      <c r="L734" s="3" t="str">
        <f aca="false">IF(K734&gt;0.66,"High",IF(K734&gt;0.33&amp;K734&lt;=0.66,"Medium","Low"))</f>
        <v>High</v>
      </c>
      <c r="M734" s="0" t="n">
        <v>-6.127</v>
      </c>
      <c r="N734" s="3" t="n">
        <v>0.266</v>
      </c>
      <c r="O734" s="3" t="n">
        <v>0.0102</v>
      </c>
      <c r="P734" s="4" t="n">
        <v>0.000479</v>
      </c>
      <c r="Q734" s="3" t="n">
        <v>0.0561</v>
      </c>
      <c r="R734" s="3" t="n">
        <v>0.729</v>
      </c>
      <c r="S734" s="3" t="str">
        <f aca="false">IF(R734 &gt;= 0.5, "Positive", "Negative")</f>
        <v>Positive</v>
      </c>
      <c r="T734" s="2" t="n">
        <v>191.944</v>
      </c>
      <c r="U734" s="0" t="s">
        <v>39</v>
      </c>
    </row>
    <row r="735" customFormat="false" ht="14.25" hidden="false" customHeight="false" outlineLevel="0" collapsed="false">
      <c r="A735" s="0" t="n">
        <v>247</v>
      </c>
      <c r="B735" s="0" t="str">
        <f aca="false">_xlfn.xlookup(A735, artists!A$2:A$836, artists!B$2:B$836)</f>
        <v>Mario Winans</v>
      </c>
      <c r="C735" s="1" t="s">
        <v>774</v>
      </c>
      <c r="D735" s="2" t="n">
        <v>257333</v>
      </c>
      <c r="E735" s="2" t="n">
        <f aca="false">D735/1000</f>
        <v>257.333</v>
      </c>
      <c r="F735" s="10" t="b">
        <f aca="false">FALSE()</f>
        <v>0</v>
      </c>
      <c r="G735" s="0" t="n">
        <v>19</v>
      </c>
      <c r="H735" s="0" t="n">
        <f aca="false">_xlfn.xlookup(G735, years!A$2:A$836, years!B$2:B$836)</f>
        <v>2016</v>
      </c>
      <c r="I735" s="2" t="n">
        <v>66</v>
      </c>
      <c r="J735" s="0" t="n">
        <v>0.833</v>
      </c>
      <c r="K735" s="0" t="n">
        <v>0.515</v>
      </c>
      <c r="L735" s="3" t="str">
        <f aca="false">IF(K735&gt;0.66,"High",IF(K735&gt;0.33&amp;K735&lt;=0.66,"Medium","Low"))</f>
        <v>Low</v>
      </c>
      <c r="M735" s="0" t="n">
        <v>-5</v>
      </c>
      <c r="N735" s="3" t="n">
        <v>0.0462</v>
      </c>
      <c r="O735" s="3" t="n">
        <v>0.347</v>
      </c>
      <c r="P735" s="4" t="n">
        <v>0.00156</v>
      </c>
      <c r="Q735" s="3" t="n">
        <v>0.116</v>
      </c>
      <c r="R735" s="3" t="n">
        <v>0.4</v>
      </c>
      <c r="S735" s="3" t="str">
        <f aca="false">IF(R735 &gt;= 0.5, "Positive", "Negative")</f>
        <v>Negative</v>
      </c>
      <c r="T735" s="2" t="n">
        <v>97.007</v>
      </c>
      <c r="U735" s="0" t="s">
        <v>39</v>
      </c>
    </row>
    <row r="736" customFormat="false" ht="14.25" hidden="false" customHeight="false" outlineLevel="0" collapsed="false">
      <c r="A736" s="0" t="n">
        <v>438</v>
      </c>
      <c r="B736" s="0" t="str">
        <f aca="false">_xlfn.xlookup(A736, artists!A$2:A$836, artists!B$2:B$836)</f>
        <v>David Guetta</v>
      </c>
      <c r="C736" s="1" t="s">
        <v>775</v>
      </c>
      <c r="D736" s="2" t="n">
        <v>207272</v>
      </c>
      <c r="E736" s="2" t="n">
        <f aca="false">D736/1000</f>
        <v>207.272</v>
      </c>
      <c r="F736" s="10" t="b">
        <f aca="false">FALSE()</f>
        <v>0</v>
      </c>
      <c r="G736" s="0" t="n">
        <v>19</v>
      </c>
      <c r="H736" s="0" t="n">
        <f aca="false">_xlfn.xlookup(G736, years!A$2:A$836, years!B$2:B$836)</f>
        <v>2016</v>
      </c>
      <c r="I736" s="2" t="n">
        <v>68</v>
      </c>
      <c r="J736" s="0" t="n">
        <v>0.367</v>
      </c>
      <c r="K736" s="0" t="n">
        <v>0.915</v>
      </c>
      <c r="L736" s="3" t="str">
        <f aca="false">IF(K736&gt;0.66,"High",IF(K736&gt;0.33&amp;K736&lt;=0.66,"Medium","Low"))</f>
        <v>High</v>
      </c>
      <c r="M736" s="0" t="n">
        <v>-3.456</v>
      </c>
      <c r="N736" s="3" t="n">
        <v>0.0488</v>
      </c>
      <c r="O736" s="3" t="n">
        <v>0.0022</v>
      </c>
      <c r="P736" s="4" t="n">
        <v>5.81E-005</v>
      </c>
      <c r="Q736" s="3" t="n">
        <v>0.0905</v>
      </c>
      <c r="R736" s="3" t="n">
        <v>0.365</v>
      </c>
      <c r="S736" s="3" t="str">
        <f aca="false">IF(R736 &gt;= 0.5, "Positive", "Negative")</f>
        <v>Negative</v>
      </c>
      <c r="T736" s="2" t="n">
        <v>110.169</v>
      </c>
      <c r="U736" s="0" t="s">
        <v>53</v>
      </c>
    </row>
    <row r="737" customFormat="false" ht="14.25" hidden="false" customHeight="false" outlineLevel="0" collapsed="false">
      <c r="A737" s="0" t="n">
        <v>511</v>
      </c>
      <c r="B737" s="0" t="str">
        <f aca="false">_xlfn.xlookup(A737, artists!A$2:A$836, artists!B$2:B$836)</f>
        <v>Lykke Li</v>
      </c>
      <c r="C737" s="1" t="s">
        <v>776</v>
      </c>
      <c r="D737" s="2" t="n">
        <v>281106</v>
      </c>
      <c r="E737" s="2" t="n">
        <f aca="false">D737/1000</f>
        <v>281.106</v>
      </c>
      <c r="F737" s="10" t="b">
        <f aca="false">FALSE()</f>
        <v>0</v>
      </c>
      <c r="G737" s="0" t="n">
        <v>14</v>
      </c>
      <c r="H737" s="0" t="n">
        <f aca="false">_xlfn.xlookup(G737, years!A$2:A$836, years!B$2:B$836)</f>
        <v>2011</v>
      </c>
      <c r="I737" s="2" t="n">
        <v>51</v>
      </c>
      <c r="J737" s="0" t="n">
        <v>0.786</v>
      </c>
      <c r="K737" s="0" t="n">
        <v>0.709</v>
      </c>
      <c r="L737" s="3" t="str">
        <f aca="false">IF(K737&gt;0.66,"High",IF(K737&gt;0.33&amp;K737&lt;=0.66,"Medium","Low"))</f>
        <v>High</v>
      </c>
      <c r="M737" s="0" t="n">
        <v>-5.737</v>
      </c>
      <c r="N737" s="3" t="n">
        <v>0.0395</v>
      </c>
      <c r="O737" s="3" t="n">
        <v>0.0192</v>
      </c>
      <c r="P737" s="4" t="n">
        <v>0.00118</v>
      </c>
      <c r="Q737" s="3" t="n">
        <v>0.0845</v>
      </c>
      <c r="R737" s="3" t="n">
        <v>0.285</v>
      </c>
      <c r="S737" s="3" t="str">
        <f aca="false">IF(R737 &gt;= 0.5, "Positive", "Negative")</f>
        <v>Negative</v>
      </c>
      <c r="T737" s="2" t="n">
        <v>122.019</v>
      </c>
      <c r="U737" s="0" t="s">
        <v>22</v>
      </c>
    </row>
    <row r="738" customFormat="false" ht="14.25" hidden="false" customHeight="false" outlineLevel="0" collapsed="false">
      <c r="A738" s="0" t="n">
        <v>588</v>
      </c>
      <c r="B738" s="0" t="str">
        <f aca="false">_xlfn.xlookup(A738, artists!A$2:A$836, artists!B$2:B$836)</f>
        <v>Duke Dumont</v>
      </c>
      <c r="C738" s="1" t="s">
        <v>777</v>
      </c>
      <c r="D738" s="2" t="n">
        <v>285596</v>
      </c>
      <c r="E738" s="2" t="n">
        <f aca="false">D738/1000</f>
        <v>285.596</v>
      </c>
      <c r="F738" s="10" t="b">
        <f aca="false">FALSE()</f>
        <v>0</v>
      </c>
      <c r="G738" s="0" t="n">
        <v>17</v>
      </c>
      <c r="H738" s="0" t="n">
        <f aca="false">_xlfn.xlookup(G738, years!A$2:A$836, years!B$2:B$836)</f>
        <v>2014</v>
      </c>
      <c r="I738" s="2" t="n">
        <v>67</v>
      </c>
      <c r="J738" s="0" t="n">
        <v>0.636</v>
      </c>
      <c r="K738" s="0" t="n">
        <v>0.761</v>
      </c>
      <c r="L738" s="3" t="str">
        <f aca="false">IF(K738&gt;0.66,"High",IF(K738&gt;0.33&amp;K738&lt;=0.66,"Medium","Low"))</f>
        <v>High</v>
      </c>
      <c r="M738" s="0" t="n">
        <v>-7.752</v>
      </c>
      <c r="N738" s="3" t="n">
        <v>0.035</v>
      </c>
      <c r="O738" s="3" t="n">
        <v>0.00377</v>
      </c>
      <c r="P738" s="4" t="n">
        <v>0.00784</v>
      </c>
      <c r="Q738" s="3" t="n">
        <v>0.0851</v>
      </c>
      <c r="R738" s="3" t="n">
        <v>0.463</v>
      </c>
      <c r="S738" s="3" t="str">
        <f aca="false">IF(R738 &gt;= 0.5, "Positive", "Negative")</f>
        <v>Negative</v>
      </c>
      <c r="T738" s="2" t="n">
        <v>120.837</v>
      </c>
      <c r="U738" s="0" t="s">
        <v>22</v>
      </c>
    </row>
    <row r="739" customFormat="false" ht="14.25" hidden="false" customHeight="false" outlineLevel="0" collapsed="false">
      <c r="A739" s="0" t="n">
        <v>492</v>
      </c>
      <c r="B739" s="0" t="str">
        <f aca="false">_xlfn.xlookup(A739, artists!A$2:A$836, artists!B$2:B$836)</f>
        <v>B.o.B</v>
      </c>
      <c r="C739" s="1" t="s">
        <v>778</v>
      </c>
      <c r="D739" s="2" t="n">
        <v>268320</v>
      </c>
      <c r="E739" s="2" t="n">
        <f aca="false">D739/1000</f>
        <v>268.32</v>
      </c>
      <c r="F739" s="10" t="b">
        <f aca="false">FALSE()</f>
        <v>0</v>
      </c>
      <c r="G739" s="0" t="n">
        <v>13</v>
      </c>
      <c r="H739" s="0" t="n">
        <f aca="false">_xlfn.xlookup(G739, years!A$2:A$836, years!B$2:B$836)</f>
        <v>2010</v>
      </c>
      <c r="I739" s="2" t="n">
        <v>74</v>
      </c>
      <c r="J739" s="0" t="n">
        <v>0.688</v>
      </c>
      <c r="K739" s="0" t="n">
        <v>0.853</v>
      </c>
      <c r="L739" s="3" t="str">
        <f aca="false">IF(K739&gt;0.66,"High",IF(K739&gt;0.33&amp;K739&lt;=0.66,"Medium","Low"))</f>
        <v>High</v>
      </c>
      <c r="M739" s="0" t="n">
        <v>-5.814</v>
      </c>
      <c r="N739" s="3" t="n">
        <v>0.0493</v>
      </c>
      <c r="O739" s="3" t="n">
        <v>0.386</v>
      </c>
      <c r="P739" s="4" t="n">
        <v>0</v>
      </c>
      <c r="Q739" s="3" t="n">
        <v>0.0862</v>
      </c>
      <c r="R739" s="3" t="n">
        <v>0.743</v>
      </c>
      <c r="S739" s="3" t="str">
        <f aca="false">IF(R739 &gt;= 0.5, "Positive", "Negative")</f>
        <v>Positive</v>
      </c>
      <c r="T739" s="2" t="n">
        <v>103.993</v>
      </c>
      <c r="U739" s="0" t="s">
        <v>24</v>
      </c>
    </row>
    <row r="740" customFormat="false" ht="14.25" hidden="false" customHeight="false" outlineLevel="0" collapsed="false">
      <c r="A740" s="0" t="n">
        <v>200</v>
      </c>
      <c r="B740" s="0" t="str">
        <f aca="false">_xlfn.xlookup(A740, artists!A$2:A$836, artists!B$2:B$836)</f>
        <v>Three Days Grace</v>
      </c>
      <c r="C740" s="1" t="s">
        <v>779</v>
      </c>
      <c r="D740" s="2" t="n">
        <v>231480</v>
      </c>
      <c r="E740" s="2" t="n">
        <f aca="false">D740/1000</f>
        <v>231.48</v>
      </c>
      <c r="F740" s="10" t="b">
        <f aca="false">FALSE()</f>
        <v>0</v>
      </c>
      <c r="G740" s="0" t="n">
        <v>6</v>
      </c>
      <c r="H740" s="0" t="n">
        <f aca="false">_xlfn.xlookup(G740, years!A$2:A$836, years!B$2:B$836)</f>
        <v>2003</v>
      </c>
      <c r="I740" s="2" t="n">
        <v>72</v>
      </c>
      <c r="J740" s="0" t="n">
        <v>0.498</v>
      </c>
      <c r="K740" s="0" t="n">
        <v>0.83</v>
      </c>
      <c r="L740" s="3" t="str">
        <f aca="false">IF(K740&gt;0.66,"High",IF(K740&gt;0.33&amp;K740&lt;=0.66,"Medium","Low"))</f>
        <v>High</v>
      </c>
      <c r="M740" s="0" t="n">
        <v>-5.157</v>
      </c>
      <c r="N740" s="3" t="n">
        <v>0.0421</v>
      </c>
      <c r="O740" s="3" t="n">
        <v>0.00461</v>
      </c>
      <c r="P740" s="4" t="n">
        <v>0</v>
      </c>
      <c r="Q740" s="3" t="n">
        <v>0.139</v>
      </c>
      <c r="R740" s="3" t="n">
        <v>0.453</v>
      </c>
      <c r="S740" s="3" t="str">
        <f aca="false">IF(R740 &gt;= 0.5, "Positive", "Negative")</f>
        <v>Negative</v>
      </c>
      <c r="T740" s="2" t="n">
        <v>89.342</v>
      </c>
      <c r="U740" s="0" t="s">
        <v>81</v>
      </c>
    </row>
    <row r="741" customFormat="false" ht="14.25" hidden="false" customHeight="false" outlineLevel="0" collapsed="false">
      <c r="A741" s="0" t="n">
        <v>285</v>
      </c>
      <c r="B741" s="0" t="str">
        <f aca="false">_xlfn.xlookup(A741, artists!A$2:A$836, artists!B$2:B$836)</f>
        <v>The Pussycat Dolls</v>
      </c>
      <c r="C741" s="1" t="s">
        <v>780</v>
      </c>
      <c r="D741" s="2" t="n">
        <v>218400</v>
      </c>
      <c r="E741" s="2" t="n">
        <f aca="false">D741/1000</f>
        <v>218.4</v>
      </c>
      <c r="F741" s="10" t="b">
        <f aca="false">FALSE()</f>
        <v>0</v>
      </c>
      <c r="G741" s="0" t="n">
        <v>11</v>
      </c>
      <c r="H741" s="0" t="n">
        <f aca="false">_xlfn.xlookup(G741, years!A$2:A$836, years!B$2:B$836)</f>
        <v>2008</v>
      </c>
      <c r="I741" s="2" t="n">
        <v>64</v>
      </c>
      <c r="J741" s="0" t="n">
        <v>0.756</v>
      </c>
      <c r="K741" s="0" t="n">
        <v>0.612</v>
      </c>
      <c r="L741" s="3" t="str">
        <f aca="false">IF(K741&gt;0.66,"High",IF(K741&gt;0.33&amp;K741&lt;=0.66,"Medium","Low"))</f>
        <v>Low</v>
      </c>
      <c r="M741" s="0" t="n">
        <v>-4.371</v>
      </c>
      <c r="N741" s="3" t="n">
        <v>0.0317</v>
      </c>
      <c r="O741" s="3" t="n">
        <v>0.0659</v>
      </c>
      <c r="P741" s="4" t="n">
        <v>0</v>
      </c>
      <c r="Q741" s="3" t="n">
        <v>0.274</v>
      </c>
      <c r="R741" s="3" t="n">
        <v>0.452</v>
      </c>
      <c r="S741" s="3" t="str">
        <f aca="false">IF(R741 &gt;= 0.5, "Positive", "Negative")</f>
        <v>Negative</v>
      </c>
      <c r="T741" s="2" t="n">
        <v>111.572</v>
      </c>
      <c r="U741" s="0" t="s">
        <v>33</v>
      </c>
    </row>
    <row r="742" customFormat="false" ht="14.25" hidden="false" customHeight="false" outlineLevel="0" collapsed="false">
      <c r="A742" s="0" t="n">
        <v>713</v>
      </c>
      <c r="B742" s="0" t="str">
        <f aca="false">_xlfn.xlookup(A742, artists!A$2:A$836, artists!B$2:B$836)</f>
        <v>Garrett Nash</v>
      </c>
      <c r="C742" s="1" t="s">
        <v>781</v>
      </c>
      <c r="D742" s="2" t="n">
        <v>251033</v>
      </c>
      <c r="E742" s="2" t="n">
        <f aca="false">D742/1000</f>
        <v>251.033</v>
      </c>
      <c r="F742" s="10" t="b">
        <f aca="false">TRUE()</f>
        <v>1</v>
      </c>
      <c r="G742" s="0" t="n">
        <v>19</v>
      </c>
      <c r="H742" s="0" t="n">
        <f aca="false">_xlfn.xlookup(G742, years!A$2:A$836, years!B$2:B$836)</f>
        <v>2016</v>
      </c>
      <c r="I742" s="2" t="n">
        <v>77</v>
      </c>
      <c r="J742" s="0" t="n">
        <v>0.492</v>
      </c>
      <c r="K742" s="0" t="n">
        <v>0.275</v>
      </c>
      <c r="L742" s="3" t="str">
        <f aca="false">IF(K742&gt;0.66,"High",IF(K742&gt;0.33&amp;K742&lt;=0.66,"Medium","Low"))</f>
        <v>Low</v>
      </c>
      <c r="M742" s="0" t="n">
        <v>-13.4</v>
      </c>
      <c r="N742" s="3" t="n">
        <v>0.3</v>
      </c>
      <c r="O742" s="3" t="n">
        <v>0.687</v>
      </c>
      <c r="P742" s="4" t="n">
        <v>0</v>
      </c>
      <c r="Q742" s="3" t="n">
        <v>0.101</v>
      </c>
      <c r="R742" s="3" t="n">
        <v>0.18</v>
      </c>
      <c r="S742" s="3" t="str">
        <f aca="false">IF(R742 &gt;= 0.5, "Positive", "Negative")</f>
        <v>Negative</v>
      </c>
      <c r="T742" s="2" t="n">
        <v>92.6</v>
      </c>
      <c r="U742" s="0" t="s">
        <v>24</v>
      </c>
    </row>
    <row r="743" customFormat="false" ht="14.25" hidden="false" customHeight="false" outlineLevel="0" collapsed="false">
      <c r="A743" s="0" t="n">
        <v>35</v>
      </c>
      <c r="B743" s="0" t="str">
        <f aca="false">_xlfn.xlookup(A743, artists!A$2:A$836, artists!B$2:B$836)</f>
        <v>JAY-Z</v>
      </c>
      <c r="C743" s="1" t="s">
        <v>782</v>
      </c>
      <c r="D743" s="2" t="n">
        <v>227866</v>
      </c>
      <c r="E743" s="2" t="n">
        <f aca="false">D743/1000</f>
        <v>227.866</v>
      </c>
      <c r="F743" s="10" t="b">
        <f aca="false">TRUE()</f>
        <v>1</v>
      </c>
      <c r="G743" s="0" t="n">
        <v>3</v>
      </c>
      <c r="H743" s="0" t="n">
        <f aca="false">_xlfn.xlookup(G743, years!A$2:A$836, years!B$2:B$836)</f>
        <v>2000</v>
      </c>
      <c r="I743" s="2" t="n">
        <v>59</v>
      </c>
      <c r="J743" s="0" t="n">
        <v>0.8</v>
      </c>
      <c r="K743" s="0" t="n">
        <v>0.922</v>
      </c>
      <c r="L743" s="3" t="str">
        <f aca="false">IF(K743&gt;0.66,"High",IF(K743&gt;0.33&amp;K743&lt;=0.66,"Medium","Low"))</f>
        <v>High</v>
      </c>
      <c r="M743" s="0" t="n">
        <v>-5.125</v>
      </c>
      <c r="N743" s="3" t="n">
        <v>0.24</v>
      </c>
      <c r="O743" s="3" t="n">
        <v>0.301</v>
      </c>
      <c r="P743" s="4" t="n">
        <v>9.31E-006</v>
      </c>
      <c r="Q743" s="3" t="n">
        <v>0.0352</v>
      </c>
      <c r="R743" s="3" t="n">
        <v>0.801</v>
      </c>
      <c r="S743" s="3" t="str">
        <f aca="false">IF(R743 &gt;= 0.5, "Positive", "Negative")</f>
        <v>Positive</v>
      </c>
      <c r="T743" s="2" t="n">
        <v>98.631</v>
      </c>
      <c r="U743" s="0" t="s">
        <v>29</v>
      </c>
    </row>
    <row r="744" customFormat="false" ht="14.25" hidden="false" customHeight="false" outlineLevel="0" collapsed="false">
      <c r="A744" s="0" t="n">
        <v>398</v>
      </c>
      <c r="B744" s="0" t="str">
        <f aca="false">_xlfn.xlookup(A744, artists!A$2:A$836, artists!B$2:B$836)</f>
        <v>Katy Perry</v>
      </c>
      <c r="C744" s="1" t="s">
        <v>783</v>
      </c>
      <c r="D744" s="2" t="n">
        <v>179640</v>
      </c>
      <c r="E744" s="2" t="n">
        <f aca="false">D744/1000</f>
        <v>179.64</v>
      </c>
      <c r="F744" s="10" t="b">
        <f aca="false">FALSE()</f>
        <v>0</v>
      </c>
      <c r="G744" s="0" t="n">
        <v>11</v>
      </c>
      <c r="H744" s="0" t="n">
        <f aca="false">_xlfn.xlookup(G744, years!A$2:A$836, years!B$2:B$836)</f>
        <v>2008</v>
      </c>
      <c r="I744" s="2" t="n">
        <v>73</v>
      </c>
      <c r="J744" s="0" t="n">
        <v>0.699</v>
      </c>
      <c r="K744" s="0" t="n">
        <v>0.76</v>
      </c>
      <c r="L744" s="3" t="str">
        <f aca="false">IF(K744&gt;0.66,"High",IF(K744&gt;0.33&amp;K744&lt;=0.66,"Medium","Low"))</f>
        <v>High</v>
      </c>
      <c r="M744" s="0" t="n">
        <v>-3.173</v>
      </c>
      <c r="N744" s="3" t="n">
        <v>0.0677</v>
      </c>
      <c r="O744" s="3" t="n">
        <v>0.00223</v>
      </c>
      <c r="P744" s="4" t="n">
        <v>0</v>
      </c>
      <c r="Q744" s="3" t="n">
        <v>0.132</v>
      </c>
      <c r="R744" s="3" t="n">
        <v>0.696</v>
      </c>
      <c r="S744" s="3" t="str">
        <f aca="false">IF(R744 &gt;= 0.5, "Positive", "Negative")</f>
        <v>Positive</v>
      </c>
      <c r="T744" s="2" t="n">
        <v>129.996</v>
      </c>
      <c r="U744" s="0" t="s">
        <v>39</v>
      </c>
    </row>
    <row r="745" customFormat="false" ht="14.25" hidden="false" customHeight="false" outlineLevel="0" collapsed="false">
      <c r="A745" s="0" t="n">
        <v>439</v>
      </c>
      <c r="B745" s="0" t="str">
        <f aca="false">_xlfn.xlookup(A745, artists!A$2:A$836, artists!B$2:B$836)</f>
        <v>Taylor Swift</v>
      </c>
      <c r="C745" s="1" t="s">
        <v>784</v>
      </c>
      <c r="D745" s="2" t="n">
        <v>219720</v>
      </c>
      <c r="E745" s="2" t="n">
        <f aca="false">D745/1000</f>
        <v>219.72</v>
      </c>
      <c r="F745" s="10" t="b">
        <f aca="false">FALSE()</f>
        <v>0</v>
      </c>
      <c r="G745" s="0" t="n">
        <v>15</v>
      </c>
      <c r="H745" s="0" t="n">
        <f aca="false">_xlfn.xlookup(G745, years!A$2:A$836, years!B$2:B$836)</f>
        <v>2012</v>
      </c>
      <c r="I745" s="2" t="n">
        <v>59</v>
      </c>
      <c r="J745" s="0" t="n">
        <v>0.622</v>
      </c>
      <c r="K745" s="0" t="n">
        <v>0.469</v>
      </c>
      <c r="L745" s="3" t="str">
        <f aca="false">IF(K745&gt;0.66,"High",IF(K745&gt;0.33&amp;K745&lt;=0.66,"Medium","Low"))</f>
        <v>Low</v>
      </c>
      <c r="M745" s="0" t="n">
        <v>-6.798</v>
      </c>
      <c r="N745" s="3" t="n">
        <v>0.0363</v>
      </c>
      <c r="O745" s="3" t="n">
        <v>0.00454</v>
      </c>
      <c r="P745" s="4" t="n">
        <v>2.25E-006</v>
      </c>
      <c r="Q745" s="3" t="n">
        <v>0.0335</v>
      </c>
      <c r="R745" s="3" t="n">
        <v>0.679</v>
      </c>
      <c r="S745" s="3" t="str">
        <f aca="false">IF(R745 &gt;= 0.5, "Positive", "Negative")</f>
        <v>Positive</v>
      </c>
      <c r="T745" s="2" t="n">
        <v>77.019</v>
      </c>
      <c r="U745" s="0" t="s">
        <v>39</v>
      </c>
    </row>
    <row r="746" customFormat="false" ht="14.25" hidden="false" customHeight="false" outlineLevel="0" collapsed="false">
      <c r="A746" s="0" t="n">
        <v>439</v>
      </c>
      <c r="B746" s="0" t="str">
        <f aca="false">_xlfn.xlookup(A746, artists!A$2:A$836, artists!B$2:B$836)</f>
        <v>Taylor Swift</v>
      </c>
      <c r="C746" s="1" t="s">
        <v>784</v>
      </c>
      <c r="D746" s="2" t="n">
        <v>219720</v>
      </c>
      <c r="E746" s="2" t="n">
        <f aca="false">D746/1000</f>
        <v>219.72</v>
      </c>
      <c r="F746" s="10" t="b">
        <f aca="false">FALSE()</f>
        <v>0</v>
      </c>
      <c r="G746" s="0" t="n">
        <v>15</v>
      </c>
      <c r="H746" s="0" t="n">
        <f aca="false">_xlfn.xlookup(G746, years!A$2:A$836, years!B$2:B$836)</f>
        <v>2012</v>
      </c>
      <c r="I746" s="2" t="n">
        <v>76</v>
      </c>
      <c r="J746" s="0" t="n">
        <v>0.622</v>
      </c>
      <c r="K746" s="0" t="n">
        <v>0.469</v>
      </c>
      <c r="L746" s="3" t="str">
        <f aca="false">IF(K746&gt;0.66,"High",IF(K746&gt;0.33&amp;K746&lt;=0.66,"Medium","Low"))</f>
        <v>Low</v>
      </c>
      <c r="M746" s="0" t="n">
        <v>-6.798</v>
      </c>
      <c r="N746" s="3" t="n">
        <v>0.0363</v>
      </c>
      <c r="O746" s="3" t="n">
        <v>0.00454</v>
      </c>
      <c r="P746" s="4" t="n">
        <v>2.25E-006</v>
      </c>
      <c r="Q746" s="3" t="n">
        <v>0.0335</v>
      </c>
      <c r="R746" s="3" t="n">
        <v>0.679</v>
      </c>
      <c r="S746" s="3" t="str">
        <f aca="false">IF(R746 &gt;= 0.5, "Positive", "Negative")</f>
        <v>Positive</v>
      </c>
      <c r="T746" s="2" t="n">
        <v>77.019</v>
      </c>
      <c r="U746" s="0" t="s">
        <v>39</v>
      </c>
    </row>
    <row r="747" customFormat="false" ht="14.25" hidden="false" customHeight="false" outlineLevel="0" collapsed="false">
      <c r="A747" s="0" t="n">
        <v>605</v>
      </c>
      <c r="B747" s="0" t="str">
        <f aca="false">_xlfn.xlookup(A747, artists!A$2:A$836, artists!B$2:B$836)</f>
        <v>Sia</v>
      </c>
      <c r="C747" s="1" t="s">
        <v>785</v>
      </c>
      <c r="D747" s="2" t="n">
        <v>224813</v>
      </c>
      <c r="E747" s="2" t="n">
        <f aca="false">D747/1000</f>
        <v>224.813</v>
      </c>
      <c r="F747" s="10" t="b">
        <f aca="false">FALSE()</f>
        <v>0</v>
      </c>
      <c r="G747" s="0" t="n">
        <v>19</v>
      </c>
      <c r="H747" s="0" t="n">
        <f aca="false">_xlfn.xlookup(G747, years!A$2:A$836, years!B$2:B$836)</f>
        <v>2016</v>
      </c>
      <c r="I747" s="2" t="n">
        <v>67</v>
      </c>
      <c r="J747" s="0" t="n">
        <v>0.592</v>
      </c>
      <c r="K747" s="0" t="n">
        <v>0.8</v>
      </c>
      <c r="L747" s="3" t="str">
        <f aca="false">IF(K747&gt;0.66,"High",IF(K747&gt;0.33&amp;K747&lt;=0.66,"Medium","Low"))</f>
        <v>High</v>
      </c>
      <c r="M747" s="0" t="n">
        <v>-4.931</v>
      </c>
      <c r="N747" s="3" t="n">
        <v>0.215</v>
      </c>
      <c r="O747" s="3" t="n">
        <v>0.0561</v>
      </c>
      <c r="P747" s="4" t="n">
        <v>2.01E-006</v>
      </c>
      <c r="Q747" s="3" t="n">
        <v>0.0775</v>
      </c>
      <c r="R747" s="3" t="n">
        <v>0.728</v>
      </c>
      <c r="S747" s="3" t="str">
        <f aca="false">IF(R747 &gt;= 0.5, "Positive", "Negative")</f>
        <v>Positive</v>
      </c>
      <c r="T747" s="2" t="n">
        <v>89.972</v>
      </c>
      <c r="U747" s="0" t="s">
        <v>39</v>
      </c>
    </row>
    <row r="748" customFormat="false" ht="14.25" hidden="false" customHeight="false" outlineLevel="0" collapsed="false">
      <c r="A748" s="0" t="n">
        <v>13</v>
      </c>
      <c r="B748" s="0" t="str">
        <f aca="false">_xlfn.xlookup(A748, artists!A$2:A$836, artists!B$2:B$836)</f>
        <v>Bomfunk MC's</v>
      </c>
      <c r="C748" s="1" t="s">
        <v>786</v>
      </c>
      <c r="D748" s="2" t="n">
        <v>306333</v>
      </c>
      <c r="E748" s="2" t="n">
        <f aca="false">D748/1000</f>
        <v>306.333</v>
      </c>
      <c r="F748" s="10" t="b">
        <f aca="false">FALSE()</f>
        <v>0</v>
      </c>
      <c r="G748" s="0" t="n">
        <v>3</v>
      </c>
      <c r="H748" s="0" t="n">
        <f aca="false">_xlfn.xlookup(G748, years!A$2:A$836, years!B$2:B$836)</f>
        <v>2000</v>
      </c>
      <c r="I748" s="2" t="n">
        <v>55</v>
      </c>
      <c r="J748" s="0" t="n">
        <v>0.822</v>
      </c>
      <c r="K748" s="0" t="n">
        <v>0.922</v>
      </c>
      <c r="L748" s="3" t="str">
        <f aca="false">IF(K748&gt;0.66,"High",IF(K748&gt;0.33&amp;K748&lt;=0.66,"Medium","Low"))</f>
        <v>High</v>
      </c>
      <c r="M748" s="0" t="n">
        <v>-5.798</v>
      </c>
      <c r="N748" s="3" t="n">
        <v>0.0989</v>
      </c>
      <c r="O748" s="3" t="n">
        <v>0.0291</v>
      </c>
      <c r="P748" s="4" t="n">
        <v>0.325</v>
      </c>
      <c r="Q748" s="3" t="n">
        <v>0.252</v>
      </c>
      <c r="R748" s="3" t="n">
        <v>0.568</v>
      </c>
      <c r="S748" s="3" t="str">
        <f aca="false">IF(R748 &gt;= 0.5, "Positive", "Negative")</f>
        <v>Positive</v>
      </c>
      <c r="T748" s="2" t="n">
        <v>163.826</v>
      </c>
      <c r="U748" s="0" t="s">
        <v>39</v>
      </c>
    </row>
    <row r="749" customFormat="false" ht="14.25" hidden="false" customHeight="false" outlineLevel="0" collapsed="false">
      <c r="A749" s="0" t="n">
        <v>319</v>
      </c>
      <c r="B749" s="0" t="str">
        <f aca="false">_xlfn.xlookup(A749, artists!A$2:A$836, artists!B$2:B$836)</f>
        <v>Bob Sinclar</v>
      </c>
      <c r="C749" s="1" t="s">
        <v>787</v>
      </c>
      <c r="D749" s="2" t="n">
        <v>207613</v>
      </c>
      <c r="E749" s="2" t="n">
        <f aca="false">D749/1000</f>
        <v>207.613</v>
      </c>
      <c r="F749" s="10" t="b">
        <f aca="false">FALSE()</f>
        <v>0</v>
      </c>
      <c r="G749" s="0" t="n">
        <v>8</v>
      </c>
      <c r="H749" s="0" t="n">
        <f aca="false">_xlfn.xlookup(G749, years!A$2:A$836, years!B$2:B$836)</f>
        <v>2005</v>
      </c>
      <c r="I749" s="2" t="n">
        <v>49</v>
      </c>
      <c r="J749" s="0" t="n">
        <v>0.715</v>
      </c>
      <c r="K749" s="0" t="n">
        <v>0.812</v>
      </c>
      <c r="L749" s="3" t="str">
        <f aca="false">IF(K749&gt;0.66,"High",IF(K749&gt;0.33&amp;K749&lt;=0.66,"Medium","Low"))</f>
        <v>High</v>
      </c>
      <c r="M749" s="0" t="n">
        <v>-5.758</v>
      </c>
      <c r="N749" s="3" t="n">
        <v>0.062</v>
      </c>
      <c r="O749" s="3" t="n">
        <v>0.175</v>
      </c>
      <c r="P749" s="4" t="n">
        <v>0.000134</v>
      </c>
      <c r="Q749" s="3" t="n">
        <v>0.044</v>
      </c>
      <c r="R749" s="3" t="n">
        <v>0.554</v>
      </c>
      <c r="S749" s="3" t="str">
        <f aca="false">IF(R749 &gt;= 0.5, "Positive", "Negative")</f>
        <v>Positive</v>
      </c>
      <c r="T749" s="2" t="n">
        <v>128.04</v>
      </c>
      <c r="U749" s="0" t="s">
        <v>22</v>
      </c>
    </row>
    <row r="750" customFormat="false" ht="14.25" hidden="false" customHeight="false" outlineLevel="0" collapsed="false">
      <c r="A750" s="0" t="n">
        <v>440</v>
      </c>
      <c r="B750" s="0" t="str">
        <f aca="false">_xlfn.xlookup(A750, artists!A$2:A$836, artists!B$2:B$836)</f>
        <v>Pitbull</v>
      </c>
      <c r="C750" s="1" t="s">
        <v>788</v>
      </c>
      <c r="D750" s="2" t="n">
        <v>237120</v>
      </c>
      <c r="E750" s="2" t="n">
        <f aca="false">D750/1000</f>
        <v>237.12</v>
      </c>
      <c r="F750" s="10" t="b">
        <f aca="false">FALSE()</f>
        <v>0</v>
      </c>
      <c r="G750" s="0" t="n">
        <v>12</v>
      </c>
      <c r="H750" s="0" t="n">
        <f aca="false">_xlfn.xlookup(G750, years!A$2:A$836, years!B$2:B$836)</f>
        <v>2009</v>
      </c>
      <c r="I750" s="2" t="n">
        <v>59</v>
      </c>
      <c r="J750" s="0" t="n">
        <v>0.825</v>
      </c>
      <c r="K750" s="0" t="n">
        <v>0.743</v>
      </c>
      <c r="L750" s="3" t="str">
        <f aca="false">IF(K750&gt;0.66,"High",IF(K750&gt;0.33&amp;K750&lt;=0.66,"Medium","Low"))</f>
        <v>High</v>
      </c>
      <c r="M750" s="0" t="n">
        <v>-5.995</v>
      </c>
      <c r="N750" s="3" t="n">
        <v>0.149</v>
      </c>
      <c r="O750" s="3" t="n">
        <v>0.0142</v>
      </c>
      <c r="P750" s="4" t="n">
        <v>2.12E-005</v>
      </c>
      <c r="Q750" s="3" t="n">
        <v>0.237</v>
      </c>
      <c r="R750" s="3" t="n">
        <v>0.8</v>
      </c>
      <c r="S750" s="3" t="str">
        <f aca="false">IF(R750 &gt;= 0.5, "Positive", "Negative")</f>
        <v>Positive</v>
      </c>
      <c r="T750" s="2" t="n">
        <v>127.045</v>
      </c>
      <c r="U750" s="0" t="s">
        <v>483</v>
      </c>
    </row>
    <row r="751" customFormat="false" ht="14.25" hidden="false" customHeight="false" outlineLevel="0" collapsed="false">
      <c r="A751" s="0" t="n">
        <v>59</v>
      </c>
      <c r="B751" s="0" t="str">
        <f aca="false">_xlfn.xlookup(A751, artists!A$2:A$836, artists!B$2:B$836)</f>
        <v>Sammie</v>
      </c>
      <c r="C751" s="1" t="s">
        <v>789</v>
      </c>
      <c r="D751" s="2" t="n">
        <v>251040</v>
      </c>
      <c r="E751" s="2" t="n">
        <f aca="false">D751/1000</f>
        <v>251.04</v>
      </c>
      <c r="F751" s="10" t="b">
        <f aca="false">FALSE()</f>
        <v>0</v>
      </c>
      <c r="G751" s="0" t="n">
        <v>3</v>
      </c>
      <c r="H751" s="0" t="n">
        <f aca="false">_xlfn.xlookup(G751, years!A$2:A$836, years!B$2:B$836)</f>
        <v>2000</v>
      </c>
      <c r="I751" s="2" t="n">
        <v>55</v>
      </c>
      <c r="J751" s="0" t="n">
        <v>0.826</v>
      </c>
      <c r="K751" s="0" t="n">
        <v>0.656</v>
      </c>
      <c r="L751" s="3" t="str">
        <f aca="false">IF(K751&gt;0.66,"High",IF(K751&gt;0.33&amp;K751&lt;=0.66,"Medium","Low"))</f>
        <v>Low</v>
      </c>
      <c r="M751" s="0" t="n">
        <v>-8.529</v>
      </c>
      <c r="N751" s="3" t="n">
        <v>0.0617</v>
      </c>
      <c r="O751" s="3" t="n">
        <v>0.0101</v>
      </c>
      <c r="P751" s="4" t="n">
        <v>0.000113</v>
      </c>
      <c r="Q751" s="3" t="n">
        <v>0.0272</v>
      </c>
      <c r="R751" s="3" t="n">
        <v>0.852</v>
      </c>
      <c r="S751" s="3" t="str">
        <f aca="false">IF(R751 &gt;= 0.5, "Positive", "Negative")</f>
        <v>Positive</v>
      </c>
      <c r="T751" s="2" t="n">
        <v>129.963</v>
      </c>
      <c r="U751" s="0" t="s">
        <v>31</v>
      </c>
    </row>
    <row r="752" customFormat="false" ht="14.25" hidden="false" customHeight="false" outlineLevel="0" collapsed="false">
      <c r="A752" s="0" t="n">
        <v>38</v>
      </c>
      <c r="B752" s="0" t="str">
        <f aca="false">_xlfn.xlookup(A752, artists!A$2:A$836, artists!B$2:B$836)</f>
        <v>Enrique Iglesias</v>
      </c>
      <c r="C752" s="1" t="s">
        <v>789</v>
      </c>
      <c r="D752" s="2" t="n">
        <v>231373</v>
      </c>
      <c r="E752" s="2" t="n">
        <f aca="false">D752/1000</f>
        <v>231.373</v>
      </c>
      <c r="F752" s="10" t="b">
        <f aca="false">FALSE()</f>
        <v>0</v>
      </c>
      <c r="G752" s="0" t="n">
        <v>13</v>
      </c>
      <c r="H752" s="0" t="n">
        <f aca="false">_xlfn.xlookup(G752, years!A$2:A$836, years!B$2:B$836)</f>
        <v>2010</v>
      </c>
      <c r="I752" s="2" t="n">
        <v>63</v>
      </c>
      <c r="J752" s="0" t="n">
        <v>0.648</v>
      </c>
      <c r="K752" s="0" t="n">
        <v>0.942</v>
      </c>
      <c r="L752" s="3" t="str">
        <f aca="false">IF(K752&gt;0.66,"High",IF(K752&gt;0.33&amp;K752&lt;=0.66,"Medium","Low"))</f>
        <v>High</v>
      </c>
      <c r="M752" s="0" t="n">
        <v>-2.881</v>
      </c>
      <c r="N752" s="3" t="n">
        <v>0.0878</v>
      </c>
      <c r="O752" s="3" t="n">
        <v>0.021</v>
      </c>
      <c r="P752" s="4" t="n">
        <v>0</v>
      </c>
      <c r="Q752" s="3" t="n">
        <v>0.0594</v>
      </c>
      <c r="R752" s="3" t="n">
        <v>0.73</v>
      </c>
      <c r="S752" s="3" t="str">
        <f aca="false">IF(R752 &gt;= 0.5, "Positive", "Negative")</f>
        <v>Positive</v>
      </c>
      <c r="T752" s="2" t="n">
        <v>129.007</v>
      </c>
      <c r="U752" s="0" t="s">
        <v>75</v>
      </c>
    </row>
    <row r="753" customFormat="false" ht="14.25" hidden="false" customHeight="false" outlineLevel="0" collapsed="false">
      <c r="A753" s="0" t="n">
        <v>684</v>
      </c>
      <c r="B753" s="0" t="str">
        <f aca="false">_xlfn.xlookup(A753, artists!A$2:A$836, artists!B$2:B$836)</f>
        <v>Desiigner</v>
      </c>
      <c r="C753" s="1" t="s">
        <v>790</v>
      </c>
      <c r="D753" s="2" t="n">
        <v>239853</v>
      </c>
      <c r="E753" s="2" t="n">
        <f aca="false">D753/1000</f>
        <v>239.853</v>
      </c>
      <c r="F753" s="10" t="b">
        <f aca="false">TRUE()</f>
        <v>1</v>
      </c>
      <c r="G753" s="0" t="n">
        <v>19</v>
      </c>
      <c r="H753" s="0" t="n">
        <f aca="false">_xlfn.xlookup(G753, years!A$2:A$836, years!B$2:B$836)</f>
        <v>2016</v>
      </c>
      <c r="I753" s="2" t="n">
        <v>67</v>
      </c>
      <c r="J753" s="0" t="n">
        <v>0.603</v>
      </c>
      <c r="K753" s="0" t="n">
        <v>0.725</v>
      </c>
      <c r="L753" s="3" t="str">
        <f aca="false">IF(K753&gt;0.66,"High",IF(K753&gt;0.33&amp;K753&lt;=0.66,"Medium","Low"))</f>
        <v>High</v>
      </c>
      <c r="M753" s="0" t="n">
        <v>-3.054</v>
      </c>
      <c r="N753" s="3" t="n">
        <v>0.0393</v>
      </c>
      <c r="O753" s="3" t="n">
        <v>0.174</v>
      </c>
      <c r="P753" s="4" t="n">
        <v>0</v>
      </c>
      <c r="Q753" s="3" t="n">
        <v>0.0786</v>
      </c>
      <c r="R753" s="3" t="n">
        <v>0.304</v>
      </c>
      <c r="S753" s="3" t="str">
        <f aca="false">IF(R753 &gt;= 0.5, "Positive", "Negative")</f>
        <v>Negative</v>
      </c>
      <c r="T753" s="2" t="n">
        <v>122.803</v>
      </c>
      <c r="U753" s="0" t="s">
        <v>24</v>
      </c>
    </row>
    <row r="754" customFormat="false" ht="14.25" hidden="false" customHeight="false" outlineLevel="0" collapsed="false">
      <c r="A754" s="0" t="n">
        <v>791</v>
      </c>
      <c r="B754" s="0" t="str">
        <f aca="false">_xlfn.xlookup(A754, artists!A$2:A$836, artists!B$2:B$836)</f>
        <v>Lauv</v>
      </c>
      <c r="C754" s="1" t="s">
        <v>791</v>
      </c>
      <c r="D754" s="2" t="n">
        <v>197436</v>
      </c>
      <c r="E754" s="2" t="n">
        <f aca="false">D754/1000</f>
        <v>197.436</v>
      </c>
      <c r="F754" s="10" t="b">
        <f aca="false">FALSE()</f>
        <v>0</v>
      </c>
      <c r="G754" s="0" t="n">
        <v>21</v>
      </c>
      <c r="H754" s="0" t="n">
        <f aca="false">_xlfn.xlookup(G754, years!A$2:A$836, years!B$2:B$836)</f>
        <v>2018</v>
      </c>
      <c r="I754" s="2" t="n">
        <v>81</v>
      </c>
      <c r="J754" s="0" t="n">
        <v>0.752</v>
      </c>
      <c r="K754" s="0" t="n">
        <v>0.505</v>
      </c>
      <c r="L754" s="3" t="str">
        <f aca="false">IF(K754&gt;0.66,"High",IF(K754&gt;0.33&amp;K754&lt;=0.66,"Medium","Low"))</f>
        <v>Low</v>
      </c>
      <c r="M754" s="0" t="n">
        <v>-7.621</v>
      </c>
      <c r="N754" s="3" t="n">
        <v>0.253</v>
      </c>
      <c r="O754" s="3" t="n">
        <v>0.535</v>
      </c>
      <c r="P754" s="4" t="n">
        <v>2.55E-006</v>
      </c>
      <c r="Q754" s="3" t="n">
        <v>0.104</v>
      </c>
      <c r="R754" s="3" t="n">
        <v>0.419</v>
      </c>
      <c r="S754" s="3" t="str">
        <f aca="false">IF(R754 &gt;= 0.5, "Positive", "Negative")</f>
        <v>Negative</v>
      </c>
      <c r="T754" s="2" t="n">
        <v>91.97</v>
      </c>
      <c r="U754" s="0" t="s">
        <v>22</v>
      </c>
    </row>
    <row r="755" customFormat="false" ht="14.25" hidden="false" customHeight="false" outlineLevel="0" collapsed="false">
      <c r="A755" s="0" t="n">
        <v>243</v>
      </c>
      <c r="B755" s="0" t="str">
        <f aca="false">_xlfn.xlookup(A755, artists!A$2:A$836, artists!B$2:B$836)</f>
        <v>Houston</v>
      </c>
      <c r="C755" s="1" t="s">
        <v>792</v>
      </c>
      <c r="D755" s="2" t="n">
        <v>236520</v>
      </c>
      <c r="E755" s="2" t="n">
        <f aca="false">D755/1000</f>
        <v>236.52</v>
      </c>
      <c r="F755" s="10" t="b">
        <f aca="false">FALSE()</f>
        <v>0</v>
      </c>
      <c r="G755" s="0" t="n">
        <v>7</v>
      </c>
      <c r="H755" s="0" t="n">
        <f aca="false">_xlfn.xlookup(G755, years!A$2:A$836, years!B$2:B$836)</f>
        <v>2004</v>
      </c>
      <c r="I755" s="2" t="n">
        <v>59</v>
      </c>
      <c r="J755" s="0" t="n">
        <v>0.797</v>
      </c>
      <c r="K755" s="0" t="n">
        <v>0.502</v>
      </c>
      <c r="L755" s="3" t="str">
        <f aca="false">IF(K755&gt;0.66,"High",IF(K755&gt;0.33&amp;K755&lt;=0.66,"Medium","Low"))</f>
        <v>Low</v>
      </c>
      <c r="M755" s="0" t="n">
        <v>-3.925</v>
      </c>
      <c r="N755" s="3" t="n">
        <v>0.0968</v>
      </c>
      <c r="O755" s="3" t="n">
        <v>0.0154</v>
      </c>
      <c r="P755" s="4" t="n">
        <v>0</v>
      </c>
      <c r="Q755" s="3" t="n">
        <v>0.1</v>
      </c>
      <c r="R755" s="3" t="n">
        <v>0.385</v>
      </c>
      <c r="S755" s="3" t="str">
        <f aca="false">IF(R755 &gt;= 0.5, "Positive", "Negative")</f>
        <v>Negative</v>
      </c>
      <c r="T755" s="2" t="n">
        <v>106.997</v>
      </c>
      <c r="U755" s="0" t="s">
        <v>24</v>
      </c>
    </row>
    <row r="756" customFormat="false" ht="14.25" hidden="false" customHeight="false" outlineLevel="0" collapsed="false">
      <c r="A756" s="0" t="n">
        <v>292</v>
      </c>
      <c r="B756" s="0" t="str">
        <f aca="false">_xlfn.xlookup(A756, artists!A$2:A$836, artists!B$2:B$836)</f>
        <v>Bodyrockers</v>
      </c>
      <c r="C756" s="1" t="s">
        <v>793</v>
      </c>
      <c r="D756" s="2" t="n">
        <v>200053</v>
      </c>
      <c r="E756" s="2" t="n">
        <f aca="false">D756/1000</f>
        <v>200.053</v>
      </c>
      <c r="F756" s="10" t="b">
        <f aca="false">FALSE()</f>
        <v>0</v>
      </c>
      <c r="G756" s="0" t="n">
        <v>8</v>
      </c>
      <c r="H756" s="0" t="n">
        <f aca="false">_xlfn.xlookup(G756, years!A$2:A$836, years!B$2:B$836)</f>
        <v>2005</v>
      </c>
      <c r="I756" s="2" t="n">
        <v>54</v>
      </c>
      <c r="J756" s="0" t="n">
        <v>0.642</v>
      </c>
      <c r="K756" s="0" t="n">
        <v>0.851</v>
      </c>
      <c r="L756" s="3" t="str">
        <f aca="false">IF(K756&gt;0.66,"High",IF(K756&gt;0.33&amp;K756&lt;=0.66,"Medium","Low"))</f>
        <v>High</v>
      </c>
      <c r="M756" s="0" t="n">
        <v>-3.638</v>
      </c>
      <c r="N756" s="3" t="n">
        <v>0.0431</v>
      </c>
      <c r="O756" s="3" t="n">
        <v>0.0248</v>
      </c>
      <c r="P756" s="4" t="n">
        <v>0.0146</v>
      </c>
      <c r="Q756" s="3" t="n">
        <v>0.084</v>
      </c>
      <c r="R756" s="3" t="n">
        <v>0.777</v>
      </c>
      <c r="S756" s="3" t="str">
        <f aca="false">IF(R756 &gt;= 0.5, "Positive", "Negative")</f>
        <v>Positive</v>
      </c>
      <c r="T756" s="2" t="n">
        <v>127.988</v>
      </c>
      <c r="U756" s="0" t="s">
        <v>794</v>
      </c>
    </row>
    <row r="757" customFormat="false" ht="14.25" hidden="false" customHeight="false" outlineLevel="0" collapsed="false">
      <c r="A757" s="0" t="n">
        <v>467</v>
      </c>
      <c r="B757" s="0" t="str">
        <f aca="false">_xlfn.xlookup(A757, artists!A$2:A$836, artists!B$2:B$836)</f>
        <v>Asher Roth</v>
      </c>
      <c r="C757" s="1" t="s">
        <v>795</v>
      </c>
      <c r="D757" s="2" t="n">
        <v>241933</v>
      </c>
      <c r="E757" s="2" t="n">
        <f aca="false">D757/1000</f>
        <v>241.933</v>
      </c>
      <c r="F757" s="10" t="b">
        <f aca="false">TRUE()</f>
        <v>1</v>
      </c>
      <c r="G757" s="0" t="n">
        <v>12</v>
      </c>
      <c r="H757" s="0" t="n">
        <f aca="false">_xlfn.xlookup(G757, years!A$2:A$836, years!B$2:B$836)</f>
        <v>2009</v>
      </c>
      <c r="I757" s="2" t="n">
        <v>62</v>
      </c>
      <c r="J757" s="0" t="n">
        <v>0.713</v>
      </c>
      <c r="K757" s="0" t="n">
        <v>0.826</v>
      </c>
      <c r="L757" s="3" t="str">
        <f aca="false">IF(K757&gt;0.66,"High",IF(K757&gt;0.33&amp;K757&lt;=0.66,"Medium","Low"))</f>
        <v>High</v>
      </c>
      <c r="M757" s="0" t="n">
        <v>-4.075</v>
      </c>
      <c r="N757" s="3" t="n">
        <v>0.243</v>
      </c>
      <c r="O757" s="3" t="n">
        <v>0.0897</v>
      </c>
      <c r="P757" s="4" t="n">
        <v>0</v>
      </c>
      <c r="Q757" s="3" t="n">
        <v>0.421</v>
      </c>
      <c r="R757" s="3" t="n">
        <v>0.664</v>
      </c>
      <c r="S757" s="3" t="str">
        <f aca="false">IF(R757 &gt;= 0.5, "Positive", "Negative")</f>
        <v>Positive</v>
      </c>
      <c r="T757" s="2" t="n">
        <v>86.444</v>
      </c>
      <c r="U757" s="0" t="s">
        <v>24</v>
      </c>
    </row>
    <row r="758" customFormat="false" ht="14.25" hidden="false" customHeight="false" outlineLevel="0" collapsed="false">
      <c r="A758" s="0" t="n">
        <v>549</v>
      </c>
      <c r="B758" s="0" t="str">
        <f aca="false">_xlfn.xlookup(A758, artists!A$2:A$836, artists!B$2:B$836)</f>
        <v>Icona Pop</v>
      </c>
      <c r="C758" s="1" t="s">
        <v>796</v>
      </c>
      <c r="D758" s="2" t="n">
        <v>156773</v>
      </c>
      <c r="E758" s="2" t="n">
        <f aca="false">D758/1000</f>
        <v>156.773</v>
      </c>
      <c r="F758" s="10" t="b">
        <f aca="false">TRUE()</f>
        <v>1</v>
      </c>
      <c r="G758" s="0" t="n">
        <v>15</v>
      </c>
      <c r="H758" s="0" t="n">
        <f aca="false">_xlfn.xlookup(G758, years!A$2:A$836, years!B$2:B$836)</f>
        <v>2012</v>
      </c>
      <c r="I758" s="2" t="n">
        <v>51</v>
      </c>
      <c r="J758" s="0" t="n">
        <v>0.71</v>
      </c>
      <c r="K758" s="0" t="n">
        <v>0.901</v>
      </c>
      <c r="L758" s="3" t="str">
        <f aca="false">IF(K758&gt;0.66,"High",IF(K758&gt;0.33&amp;K758&lt;=0.66,"Medium","Low"))</f>
        <v>High</v>
      </c>
      <c r="M758" s="0" t="n">
        <v>-2.686</v>
      </c>
      <c r="N758" s="3" t="n">
        <v>0.0296</v>
      </c>
      <c r="O758" s="3" t="n">
        <v>0.00828</v>
      </c>
      <c r="P758" s="4" t="n">
        <v>1.34E-005</v>
      </c>
      <c r="Q758" s="3" t="n">
        <v>0.172</v>
      </c>
      <c r="R758" s="3" t="n">
        <v>0.86</v>
      </c>
      <c r="S758" s="3" t="str">
        <f aca="false">IF(R758 &gt;= 0.5, "Positive", "Negative")</f>
        <v>Positive</v>
      </c>
      <c r="T758" s="2" t="n">
        <v>125.953</v>
      </c>
      <c r="U758" s="0" t="s">
        <v>22</v>
      </c>
    </row>
    <row r="759" customFormat="false" ht="14.25" hidden="false" customHeight="false" outlineLevel="0" collapsed="false">
      <c r="A759" s="0" t="n">
        <v>549</v>
      </c>
      <c r="B759" s="0" t="str">
        <f aca="false">_xlfn.xlookup(A759, artists!A$2:A$836, artists!B$2:B$836)</f>
        <v>Icona Pop</v>
      </c>
      <c r="C759" s="1" t="s">
        <v>797</v>
      </c>
      <c r="D759" s="2" t="n">
        <v>157152</v>
      </c>
      <c r="E759" s="2" t="n">
        <f aca="false">D759/1000</f>
        <v>157.152</v>
      </c>
      <c r="F759" s="10" t="b">
        <f aca="false">TRUE()</f>
        <v>1</v>
      </c>
      <c r="G759" s="0" t="n">
        <v>16</v>
      </c>
      <c r="H759" s="0" t="n">
        <f aca="false">_xlfn.xlookup(G759, years!A$2:A$836, years!B$2:B$836)</f>
        <v>2013</v>
      </c>
      <c r="I759" s="2" t="n">
        <v>68</v>
      </c>
      <c r="J759" s="0" t="n">
        <v>0.711</v>
      </c>
      <c r="K759" s="0" t="n">
        <v>0.906</v>
      </c>
      <c r="L759" s="3" t="str">
        <f aca="false">IF(K759&gt;0.66,"High",IF(K759&gt;0.33&amp;K759&lt;=0.66,"Medium","Low"))</f>
        <v>High</v>
      </c>
      <c r="M759" s="0" t="n">
        <v>-2.671</v>
      </c>
      <c r="N759" s="3" t="n">
        <v>0.0284</v>
      </c>
      <c r="O759" s="3" t="n">
        <v>0.00952</v>
      </c>
      <c r="P759" s="4" t="n">
        <v>1.64E-005</v>
      </c>
      <c r="Q759" s="3" t="n">
        <v>0.153</v>
      </c>
      <c r="R759" s="3" t="n">
        <v>0.824</v>
      </c>
      <c r="S759" s="3" t="str">
        <f aca="false">IF(R759 &gt;= 0.5, "Positive", "Negative")</f>
        <v>Positive</v>
      </c>
      <c r="T759" s="2" t="n">
        <v>125.916</v>
      </c>
      <c r="U759" s="0" t="s">
        <v>22</v>
      </c>
    </row>
    <row r="760" customFormat="false" ht="14.25" hidden="false" customHeight="false" outlineLevel="0" collapsed="false">
      <c r="A760" s="0" t="n">
        <v>170</v>
      </c>
      <c r="B760" s="0" t="str">
        <f aca="false">_xlfn.xlookup(A760, artists!A$2:A$836, artists!B$2:B$836)</f>
        <v>Faith Evans</v>
      </c>
      <c r="C760" s="1" t="s">
        <v>798</v>
      </c>
      <c r="D760" s="2" t="n">
        <v>267160</v>
      </c>
      <c r="E760" s="2" t="n">
        <f aca="false">D760/1000</f>
        <v>267.16</v>
      </c>
      <c r="F760" s="10" t="b">
        <f aca="false">FALSE()</f>
        <v>0</v>
      </c>
      <c r="G760" s="0" t="n">
        <v>4</v>
      </c>
      <c r="H760" s="0" t="n">
        <f aca="false">_xlfn.xlookup(G760, years!A$2:A$836, years!B$2:B$836)</f>
        <v>2001</v>
      </c>
      <c r="I760" s="2" t="n">
        <v>53</v>
      </c>
      <c r="J760" s="0" t="n">
        <v>0.489</v>
      </c>
      <c r="K760" s="0" t="n">
        <v>0.757</v>
      </c>
      <c r="L760" s="3" t="str">
        <f aca="false">IF(K760&gt;0.66,"High",IF(K760&gt;0.33&amp;K760&lt;=0.66,"Medium","Low"))</f>
        <v>High</v>
      </c>
      <c r="M760" s="0" t="n">
        <v>-4.062</v>
      </c>
      <c r="N760" s="3" t="n">
        <v>0.0926</v>
      </c>
      <c r="O760" s="3" t="n">
        <v>0.00981</v>
      </c>
      <c r="P760" s="4" t="n">
        <v>0</v>
      </c>
      <c r="Q760" s="3" t="n">
        <v>0.234</v>
      </c>
      <c r="R760" s="3" t="n">
        <v>0.567</v>
      </c>
      <c r="S760" s="3" t="str">
        <f aca="false">IF(R760 &gt;= 0.5, "Positive", "Negative")</f>
        <v>Positive</v>
      </c>
      <c r="T760" s="2" t="n">
        <v>168.004</v>
      </c>
      <c r="U760" s="0" t="s">
        <v>31</v>
      </c>
    </row>
    <row r="761" customFormat="false" ht="14.25" hidden="false" customHeight="false" outlineLevel="0" collapsed="false">
      <c r="A761" s="0" t="n">
        <v>419</v>
      </c>
      <c r="B761" s="0" t="str">
        <f aca="false">_xlfn.xlookup(A761, artists!A$2:A$836, artists!B$2:B$836)</f>
        <v>The-Dream</v>
      </c>
      <c r="C761" s="1" t="s">
        <v>799</v>
      </c>
      <c r="D761" s="2" t="n">
        <v>267866</v>
      </c>
      <c r="E761" s="2" t="n">
        <f aca="false">D761/1000</f>
        <v>267.866</v>
      </c>
      <c r="F761" s="10" t="b">
        <f aca="false">TRUE()</f>
        <v>1</v>
      </c>
      <c r="G761" s="0" t="n">
        <v>10</v>
      </c>
      <c r="H761" s="0" t="n">
        <f aca="false">_xlfn.xlookup(G761, years!A$2:A$836, years!B$2:B$836)</f>
        <v>2007</v>
      </c>
      <c r="I761" s="2" t="n">
        <v>62</v>
      </c>
      <c r="J761" s="0" t="n">
        <v>0.723</v>
      </c>
      <c r="K761" s="0" t="n">
        <v>0.322</v>
      </c>
      <c r="L761" s="3" t="str">
        <f aca="false">IF(K761&gt;0.66,"High",IF(K761&gt;0.33&amp;K761&lt;=0.66,"Medium","Low"))</f>
        <v>Low</v>
      </c>
      <c r="M761" s="0" t="n">
        <v>-9.702</v>
      </c>
      <c r="N761" s="3" t="n">
        <v>0.0341</v>
      </c>
      <c r="O761" s="3" t="n">
        <v>0.014</v>
      </c>
      <c r="P761" s="4" t="n">
        <v>0</v>
      </c>
      <c r="Q761" s="3" t="n">
        <v>0.119</v>
      </c>
      <c r="R761" s="3" t="n">
        <v>0.0406</v>
      </c>
      <c r="S761" s="3" t="str">
        <f aca="false">IF(R761 &gt;= 0.5, "Positive", "Negative")</f>
        <v>Negative</v>
      </c>
      <c r="T761" s="2" t="n">
        <v>90.063</v>
      </c>
      <c r="U761" s="0" t="s">
        <v>31</v>
      </c>
    </row>
    <row r="762" customFormat="false" ht="14.25" hidden="false" customHeight="false" outlineLevel="0" collapsed="false">
      <c r="A762" s="0" t="n">
        <v>19</v>
      </c>
      <c r="B762" s="0" t="str">
        <f aca="false">_xlfn.xlookup(A762, artists!A$2:A$836, artists!B$2:B$836)</f>
        <v>Dr. Dre</v>
      </c>
      <c r="C762" s="1" t="s">
        <v>800</v>
      </c>
      <c r="D762" s="2" t="n">
        <v>283733</v>
      </c>
      <c r="E762" s="2" t="n">
        <f aca="false">D762/1000</f>
        <v>283.733</v>
      </c>
      <c r="F762" s="10" t="b">
        <f aca="false">TRUE()</f>
        <v>1</v>
      </c>
      <c r="G762" s="0" t="n">
        <v>14</v>
      </c>
      <c r="H762" s="0" t="n">
        <f aca="false">_xlfn.xlookup(G762, years!A$2:A$836, years!B$2:B$836)</f>
        <v>2011</v>
      </c>
      <c r="I762" s="2" t="n">
        <v>71</v>
      </c>
      <c r="J762" s="0" t="n">
        <v>0.594</v>
      </c>
      <c r="K762" s="0" t="n">
        <v>0.946</v>
      </c>
      <c r="L762" s="3" t="str">
        <f aca="false">IF(K762&gt;0.66,"High",IF(K762&gt;0.33&amp;K762&lt;=0.66,"Medium","Low"))</f>
        <v>High</v>
      </c>
      <c r="M762" s="0" t="n">
        <v>-4.521</v>
      </c>
      <c r="N762" s="3" t="n">
        <v>0.452</v>
      </c>
      <c r="O762" s="3" t="n">
        <v>0.0869</v>
      </c>
      <c r="P762" s="4" t="n">
        <v>0</v>
      </c>
      <c r="Q762" s="3" t="n">
        <v>0.306</v>
      </c>
      <c r="R762" s="3" t="n">
        <v>0.397</v>
      </c>
      <c r="S762" s="3" t="str">
        <f aca="false">IF(R762 &gt;= 0.5, "Positive", "Negative")</f>
        <v>Negative</v>
      </c>
      <c r="T762" s="2" t="n">
        <v>155.826</v>
      </c>
      <c r="U762" s="0" t="s">
        <v>29</v>
      </c>
    </row>
    <row r="763" customFormat="false" ht="14.25" hidden="false" customHeight="false" outlineLevel="0" collapsed="false">
      <c r="A763" s="0" t="n">
        <v>491</v>
      </c>
      <c r="B763" s="0" t="str">
        <f aca="false">_xlfn.xlookup(A763, artists!A$2:A$836, artists!B$2:B$836)</f>
        <v>Aloe Blacc</v>
      </c>
      <c r="C763" s="1" t="s">
        <v>801</v>
      </c>
      <c r="D763" s="2" t="n">
        <v>243053</v>
      </c>
      <c r="E763" s="2" t="n">
        <f aca="false">D763/1000</f>
        <v>243.053</v>
      </c>
      <c r="F763" s="10" t="b">
        <f aca="false">FALSE()</f>
        <v>0</v>
      </c>
      <c r="G763" s="0" t="n">
        <v>13</v>
      </c>
      <c r="H763" s="0" t="n">
        <f aca="false">_xlfn.xlookup(G763, years!A$2:A$836, years!B$2:B$836)</f>
        <v>2010</v>
      </c>
      <c r="I763" s="2" t="n">
        <v>1</v>
      </c>
      <c r="J763" s="0" t="n">
        <v>0.84</v>
      </c>
      <c r="K763" s="0" t="n">
        <v>0.482</v>
      </c>
      <c r="L763" s="3" t="str">
        <f aca="false">IF(K763&gt;0.66,"High",IF(K763&gt;0.33&amp;K763&lt;=0.66,"Medium","Low"))</f>
        <v>Low</v>
      </c>
      <c r="M763" s="0" t="n">
        <v>-7.116</v>
      </c>
      <c r="N763" s="3" t="n">
        <v>0.0333</v>
      </c>
      <c r="O763" s="3" t="n">
        <v>0.202</v>
      </c>
      <c r="P763" s="4" t="n">
        <v>0</v>
      </c>
      <c r="Q763" s="3" t="n">
        <v>0.0873</v>
      </c>
      <c r="R763" s="3" t="n">
        <v>0.957</v>
      </c>
      <c r="S763" s="3" t="str">
        <f aca="false">IF(R763 &gt;= 0.5, "Positive", "Negative")</f>
        <v>Positive</v>
      </c>
      <c r="T763" s="2" t="n">
        <v>95.498</v>
      </c>
      <c r="U763" s="0" t="s">
        <v>128</v>
      </c>
    </row>
    <row r="764" customFormat="false" ht="14.25" hidden="false" customHeight="false" outlineLevel="0" collapsed="false">
      <c r="A764" s="0" t="n">
        <v>152</v>
      </c>
      <c r="B764" s="0" t="str">
        <f aca="false">_xlfn.xlookup(A764, artists!A$2:A$836, artists!B$2:B$836)</f>
        <v>Diddy</v>
      </c>
      <c r="C764" s="1" t="s">
        <v>802</v>
      </c>
      <c r="D764" s="2" t="n">
        <v>268800</v>
      </c>
      <c r="E764" s="2" t="n">
        <f aca="false">D764/1000</f>
        <v>268.8</v>
      </c>
      <c r="F764" s="10" t="b">
        <f aca="false">FALSE()</f>
        <v>0</v>
      </c>
      <c r="G764" s="0" t="n">
        <v>8</v>
      </c>
      <c r="H764" s="0" t="n">
        <f aca="false">_xlfn.xlookup(G764, years!A$2:A$836, years!B$2:B$836)</f>
        <v>2005</v>
      </c>
      <c r="I764" s="2" t="n">
        <v>63</v>
      </c>
      <c r="J764" s="0" t="n">
        <v>0.66</v>
      </c>
      <c r="K764" s="0" t="n">
        <v>0.707</v>
      </c>
      <c r="L764" s="3" t="str">
        <f aca="false">IF(K764&gt;0.66,"High",IF(K764&gt;0.33&amp;K764&lt;=0.66,"Medium","Low"))</f>
        <v>High</v>
      </c>
      <c r="M764" s="0" t="n">
        <v>-5.758</v>
      </c>
      <c r="N764" s="3" t="n">
        <v>0.208</v>
      </c>
      <c r="O764" s="3" t="n">
        <v>0.397</v>
      </c>
      <c r="P764" s="4" t="n">
        <v>0</v>
      </c>
      <c r="Q764" s="3" t="n">
        <v>0.211</v>
      </c>
      <c r="R764" s="3" t="n">
        <v>0.761</v>
      </c>
      <c r="S764" s="3" t="str">
        <f aca="false">IF(R764 &gt;= 0.5, "Positive", "Negative")</f>
        <v>Positive</v>
      </c>
      <c r="T764" s="2" t="n">
        <v>89.279</v>
      </c>
      <c r="U764" s="0" t="s">
        <v>24</v>
      </c>
    </row>
    <row r="765" customFormat="false" ht="14.25" hidden="false" customHeight="false" outlineLevel="0" collapsed="false">
      <c r="A765" s="0" t="n">
        <v>152</v>
      </c>
      <c r="B765" s="0" t="str">
        <f aca="false">_xlfn.xlookup(A765, artists!A$2:A$836, artists!B$2:B$836)</f>
        <v>Diddy</v>
      </c>
      <c r="C765" s="1" t="s">
        <v>803</v>
      </c>
      <c r="D765" s="2" t="n">
        <v>285586</v>
      </c>
      <c r="E765" s="2" t="n">
        <f aca="false">D765/1000</f>
        <v>285.586</v>
      </c>
      <c r="F765" s="10" t="b">
        <f aca="false">FALSE()</f>
        <v>0</v>
      </c>
      <c r="G765" s="0" t="n">
        <v>7</v>
      </c>
      <c r="H765" s="0" t="n">
        <f aca="false">_xlfn.xlookup(G765, years!A$2:A$836, years!B$2:B$836)</f>
        <v>2004</v>
      </c>
      <c r="I765" s="2" t="n">
        <v>69</v>
      </c>
      <c r="J765" s="0" t="n">
        <v>0.713</v>
      </c>
      <c r="K765" s="0" t="n">
        <v>0.471</v>
      </c>
      <c r="L765" s="3" t="str">
        <f aca="false">IF(K765&gt;0.66,"High",IF(K765&gt;0.33&amp;K765&lt;=0.66,"Medium","Low"))</f>
        <v>Low</v>
      </c>
      <c r="M765" s="0" t="n">
        <v>-7.392</v>
      </c>
      <c r="N765" s="3" t="n">
        <v>0.483</v>
      </c>
      <c r="O765" s="3" t="n">
        <v>0.421</v>
      </c>
      <c r="P765" s="4" t="n">
        <v>0</v>
      </c>
      <c r="Q765" s="3" t="n">
        <v>0.0308</v>
      </c>
      <c r="R765" s="3" t="n">
        <v>0.779</v>
      </c>
      <c r="S765" s="3" t="str">
        <f aca="false">IF(R765 &gt;= 0.5, "Positive", "Negative")</f>
        <v>Positive</v>
      </c>
      <c r="T765" s="2" t="n">
        <v>199.764</v>
      </c>
      <c r="U765" s="0" t="s">
        <v>24</v>
      </c>
    </row>
    <row r="766" customFormat="false" ht="14.25" hidden="false" customHeight="false" outlineLevel="0" collapsed="false">
      <c r="A766" s="0" t="n">
        <v>36</v>
      </c>
      <c r="B766" s="0" t="str">
        <f aca="false">_xlfn.xlookup(A766, artists!A$2:A$836, artists!B$2:B$836)</f>
        <v>LeAnn Rimes</v>
      </c>
      <c r="C766" s="1" t="s">
        <v>804</v>
      </c>
      <c r="D766" s="2" t="n">
        <v>229826</v>
      </c>
      <c r="E766" s="2" t="n">
        <f aca="false">D766/1000</f>
        <v>229.826</v>
      </c>
      <c r="F766" s="10" t="b">
        <f aca="false">FALSE()</f>
        <v>0</v>
      </c>
      <c r="G766" s="0" t="n">
        <v>4</v>
      </c>
      <c r="H766" s="0" t="n">
        <f aca="false">_xlfn.xlookup(G766, years!A$2:A$836, years!B$2:B$836)</f>
        <v>2001</v>
      </c>
      <c r="I766" s="2" t="n">
        <v>61</v>
      </c>
      <c r="J766" s="0" t="n">
        <v>0.478</v>
      </c>
      <c r="K766" s="0" t="n">
        <v>0.736</v>
      </c>
      <c r="L766" s="3" t="str">
        <f aca="false">IF(K766&gt;0.66,"High",IF(K766&gt;0.33&amp;K766&lt;=0.66,"Medium","Low"))</f>
        <v>High</v>
      </c>
      <c r="M766" s="0" t="n">
        <v>-7.124</v>
      </c>
      <c r="N766" s="3" t="n">
        <v>0.0367</v>
      </c>
      <c r="O766" s="3" t="n">
        <v>0.02</v>
      </c>
      <c r="P766" s="4" t="n">
        <v>9.58E-005</v>
      </c>
      <c r="Q766" s="3" t="n">
        <v>0.118</v>
      </c>
      <c r="R766" s="3" t="n">
        <v>0.564</v>
      </c>
      <c r="S766" s="3" t="str">
        <f aca="false">IF(R766 &gt;= 0.5, "Positive", "Negative")</f>
        <v>Positive</v>
      </c>
      <c r="T766" s="2" t="n">
        <v>144.705</v>
      </c>
      <c r="U766" s="0" t="s">
        <v>204</v>
      </c>
    </row>
    <row r="767" customFormat="false" ht="14.25" hidden="false" customHeight="false" outlineLevel="0" collapsed="false">
      <c r="A767" s="0" t="n">
        <v>372</v>
      </c>
      <c r="B767" s="0" t="str">
        <f aca="false">_xlfn.xlookup(A767, artists!A$2:A$836, artists!B$2:B$836)</f>
        <v>Calvin Harris</v>
      </c>
      <c r="C767" s="1" t="s">
        <v>805</v>
      </c>
      <c r="D767" s="2" t="n">
        <v>234506</v>
      </c>
      <c r="E767" s="2" t="n">
        <f aca="false">D767/1000</f>
        <v>234.506</v>
      </c>
      <c r="F767" s="10" t="b">
        <f aca="false">FALSE()</f>
        <v>0</v>
      </c>
      <c r="G767" s="0" t="n">
        <v>15</v>
      </c>
      <c r="H767" s="0" t="n">
        <f aca="false">_xlfn.xlookup(G767, years!A$2:A$836, years!B$2:B$836)</f>
        <v>2012</v>
      </c>
      <c r="I767" s="2" t="n">
        <v>70</v>
      </c>
      <c r="J767" s="0" t="n">
        <v>0.695</v>
      </c>
      <c r="K767" s="0" t="n">
        <v>0.869</v>
      </c>
      <c r="L767" s="3" t="str">
        <f aca="false">IF(K767&gt;0.66,"High",IF(K767&gt;0.33&amp;K767&lt;=0.66,"Medium","Low"))</f>
        <v>High</v>
      </c>
      <c r="M767" s="0" t="n">
        <v>-5.066</v>
      </c>
      <c r="N767" s="3" t="n">
        <v>0.0483</v>
      </c>
      <c r="O767" s="3" t="n">
        <v>0.41</v>
      </c>
      <c r="P767" s="4" t="n">
        <v>0</v>
      </c>
      <c r="Q767" s="3" t="n">
        <v>0.237</v>
      </c>
      <c r="R767" s="3" t="n">
        <v>0.58</v>
      </c>
      <c r="S767" s="3" t="str">
        <f aca="false">IF(R767 &gt;= 0.5, "Positive", "Negative")</f>
        <v>Positive</v>
      </c>
      <c r="T767" s="2" t="n">
        <v>124.989</v>
      </c>
      <c r="U767" s="0" t="s">
        <v>53</v>
      </c>
    </row>
    <row r="768" customFormat="false" ht="14.25" hidden="false" customHeight="false" outlineLevel="0" collapsed="false">
      <c r="A768" s="0" t="n">
        <v>305</v>
      </c>
      <c r="B768" s="0" t="str">
        <f aca="false">_xlfn.xlookup(A768, artists!A$2:A$836, artists!B$2:B$836)</f>
        <v>Kaiser Chiefs</v>
      </c>
      <c r="C768" s="1" t="s">
        <v>806</v>
      </c>
      <c r="D768" s="2" t="n">
        <v>233186</v>
      </c>
      <c r="E768" s="2" t="n">
        <f aca="false">D768/1000</f>
        <v>233.186</v>
      </c>
      <c r="F768" s="10" t="b">
        <f aca="false">FALSE()</f>
        <v>0</v>
      </c>
      <c r="G768" s="0" t="n">
        <v>8</v>
      </c>
      <c r="H768" s="0" t="n">
        <f aca="false">_xlfn.xlookup(G768, years!A$2:A$836, years!B$2:B$836)</f>
        <v>2005</v>
      </c>
      <c r="I768" s="2" t="n">
        <v>63</v>
      </c>
      <c r="J768" s="0" t="n">
        <v>0.395</v>
      </c>
      <c r="K768" s="0" t="n">
        <v>0.979</v>
      </c>
      <c r="L768" s="3" t="str">
        <f aca="false">IF(K768&gt;0.66,"High",IF(K768&gt;0.33&amp;K768&lt;=0.66,"Medium","Low"))</f>
        <v>High</v>
      </c>
      <c r="M768" s="0" t="n">
        <v>-3.241</v>
      </c>
      <c r="N768" s="3" t="n">
        <v>0.0766</v>
      </c>
      <c r="O768" s="3" t="n">
        <v>0.0243</v>
      </c>
      <c r="P768" s="4" t="n">
        <v>0</v>
      </c>
      <c r="Q768" s="3" t="n">
        <v>0.12</v>
      </c>
      <c r="R768" s="3" t="n">
        <v>0.41</v>
      </c>
      <c r="S768" s="3" t="str">
        <f aca="false">IF(R768 &gt;= 0.5, "Positive", "Negative")</f>
        <v>Negative</v>
      </c>
      <c r="T768" s="2" t="n">
        <v>158.842</v>
      </c>
      <c r="U768" s="0" t="s">
        <v>43</v>
      </c>
    </row>
    <row r="769" customFormat="false" ht="14.25" hidden="false" customHeight="false" outlineLevel="0" collapsed="false">
      <c r="A769" s="0" t="n">
        <v>628</v>
      </c>
      <c r="B769" s="0" t="str">
        <f aca="false">_xlfn.xlookup(A769, artists!A$2:A$836, artists!B$2:B$836)</f>
        <v>Ed Sheeran</v>
      </c>
      <c r="C769" s="1" t="s">
        <v>807</v>
      </c>
      <c r="D769" s="2" t="n">
        <v>300840</v>
      </c>
      <c r="E769" s="2" t="n">
        <f aca="false">D769/1000</f>
        <v>300.84</v>
      </c>
      <c r="F769" s="10" t="b">
        <f aca="false">FALSE()</f>
        <v>0</v>
      </c>
      <c r="G769" s="0" t="n">
        <v>16</v>
      </c>
      <c r="H769" s="0" t="n">
        <f aca="false">_xlfn.xlookup(G769, years!A$2:A$836, years!B$2:B$836)</f>
        <v>2013</v>
      </c>
      <c r="I769" s="2" t="n">
        <v>71</v>
      </c>
      <c r="J769" s="0" t="n">
        <v>0.581</v>
      </c>
      <c r="K769" s="0" t="n">
        <v>0.0549</v>
      </c>
      <c r="L769" s="3" t="str">
        <f aca="false">IF(K769&gt;0.66,"High",IF(K769&gt;0.33&amp;K769&lt;=0.66,"Medium","Low"))</f>
        <v>Low</v>
      </c>
      <c r="M769" s="0" t="n">
        <v>-20.514</v>
      </c>
      <c r="N769" s="3" t="n">
        <v>0.0397</v>
      </c>
      <c r="O769" s="3" t="n">
        <v>0.559</v>
      </c>
      <c r="P769" s="4" t="n">
        <v>0</v>
      </c>
      <c r="Q769" s="3" t="n">
        <v>0.0718</v>
      </c>
      <c r="R769" s="3" t="n">
        <v>0.234</v>
      </c>
      <c r="S769" s="3" t="str">
        <f aca="false">IF(R769 &gt;= 0.5, "Positive", "Negative")</f>
        <v>Negative</v>
      </c>
      <c r="T769" s="2" t="n">
        <v>152.037</v>
      </c>
      <c r="U769" s="0" t="s">
        <v>39</v>
      </c>
    </row>
    <row r="770" customFormat="false" ht="14.25" hidden="false" customHeight="false" outlineLevel="0" collapsed="false">
      <c r="A770" s="0" t="n">
        <v>484</v>
      </c>
      <c r="B770" s="0" t="str">
        <f aca="false">_xlfn.xlookup(A770, artists!A$2:A$836, artists!B$2:B$836)</f>
        <v>Mike Posner</v>
      </c>
      <c r="C770" s="1" t="s">
        <v>808</v>
      </c>
      <c r="D770" s="2" t="n">
        <v>197933</v>
      </c>
      <c r="E770" s="2" t="n">
        <f aca="false">D770/1000</f>
        <v>197.933</v>
      </c>
      <c r="F770" s="10" t="b">
        <f aca="false">TRUE()</f>
        <v>1</v>
      </c>
      <c r="G770" s="0" t="n">
        <v>19</v>
      </c>
      <c r="H770" s="0" t="n">
        <f aca="false">_xlfn.xlookup(G770, years!A$2:A$836, years!B$2:B$836)</f>
        <v>2016</v>
      </c>
      <c r="I770" s="2" t="n">
        <v>77</v>
      </c>
      <c r="J770" s="0" t="n">
        <v>0.664</v>
      </c>
      <c r="K770" s="0" t="n">
        <v>0.714</v>
      </c>
      <c r="L770" s="3" t="str">
        <f aca="false">IF(K770&gt;0.66,"High",IF(K770&gt;0.33&amp;K770&lt;=0.66,"Medium","Low"))</f>
        <v>High</v>
      </c>
      <c r="M770" s="0" t="n">
        <v>-6.645</v>
      </c>
      <c r="N770" s="3" t="n">
        <v>0.111</v>
      </c>
      <c r="O770" s="3" t="n">
        <v>0.0353</v>
      </c>
      <c r="P770" s="4" t="n">
        <v>8.42E-006</v>
      </c>
      <c r="Q770" s="3" t="n">
        <v>0.0843</v>
      </c>
      <c r="R770" s="3" t="n">
        <v>0.71</v>
      </c>
      <c r="S770" s="3" t="str">
        <f aca="false">IF(R770 &gt;= 0.5, "Positive", "Negative")</f>
        <v>Positive</v>
      </c>
      <c r="T770" s="2" t="n">
        <v>101.969</v>
      </c>
      <c r="U770" s="0" t="s">
        <v>53</v>
      </c>
    </row>
    <row r="771" customFormat="false" ht="14.25" hidden="false" customHeight="false" outlineLevel="0" collapsed="false">
      <c r="A771" s="0" t="n">
        <v>390</v>
      </c>
      <c r="B771" s="0" t="str">
        <f aca="false">_xlfn.xlookup(A771, artists!A$2:A$836, artists!B$2:B$836)</f>
        <v>Bone Thugs-N-Harmony</v>
      </c>
      <c r="C771" s="1" t="s">
        <v>809</v>
      </c>
      <c r="D771" s="2" t="n">
        <v>287480</v>
      </c>
      <c r="E771" s="2" t="n">
        <f aca="false">D771/1000</f>
        <v>287.48</v>
      </c>
      <c r="F771" s="10" t="b">
        <f aca="false">TRUE()</f>
        <v>1</v>
      </c>
      <c r="G771" s="0" t="n">
        <v>10</v>
      </c>
      <c r="H771" s="0" t="n">
        <f aca="false">_xlfn.xlookup(G771, years!A$2:A$836, years!B$2:B$836)</f>
        <v>2007</v>
      </c>
      <c r="I771" s="2" t="n">
        <v>61</v>
      </c>
      <c r="J771" s="0" t="n">
        <v>0.727</v>
      </c>
      <c r="K771" s="0" t="n">
        <v>0.71</v>
      </c>
      <c r="L771" s="3" t="str">
        <f aca="false">IF(K771&gt;0.66,"High",IF(K771&gt;0.33&amp;K771&lt;=0.66,"Medium","Low"))</f>
        <v>High</v>
      </c>
      <c r="M771" s="0" t="n">
        <v>-6.142</v>
      </c>
      <c r="N771" s="3" t="n">
        <v>0.0742</v>
      </c>
      <c r="O771" s="3" t="n">
        <v>0.0104</v>
      </c>
      <c r="P771" s="4" t="n">
        <v>0</v>
      </c>
      <c r="Q771" s="3" t="n">
        <v>0.107</v>
      </c>
      <c r="R771" s="3" t="n">
        <v>0.378</v>
      </c>
      <c r="S771" s="3" t="str">
        <f aca="false">IF(R771 &gt;= 0.5, "Positive", "Negative")</f>
        <v>Negative</v>
      </c>
      <c r="T771" s="2" t="n">
        <v>81.995</v>
      </c>
      <c r="U771" s="0" t="s">
        <v>24</v>
      </c>
    </row>
    <row r="772" customFormat="false" ht="14.25" hidden="false" customHeight="false" outlineLevel="0" collapsed="false">
      <c r="A772" s="0" t="n">
        <v>15</v>
      </c>
      <c r="B772" s="0" t="str">
        <f aca="false">_xlfn.xlookup(A772, artists!A$2:A$836, artists!B$2:B$836)</f>
        <v>Melanie C</v>
      </c>
      <c r="C772" s="1" t="s">
        <v>810</v>
      </c>
      <c r="D772" s="2" t="n">
        <v>352173</v>
      </c>
      <c r="E772" s="2" t="n">
        <f aca="false">D772/1000</f>
        <v>352.173</v>
      </c>
      <c r="F772" s="10" t="b">
        <f aca="false">FALSE()</f>
        <v>0</v>
      </c>
      <c r="G772" s="0" t="n">
        <v>2</v>
      </c>
      <c r="H772" s="0" t="n">
        <f aca="false">_xlfn.xlookup(G772, years!A$2:A$836, years!B$2:B$836)</f>
        <v>1999</v>
      </c>
      <c r="I772" s="2" t="n">
        <v>54</v>
      </c>
      <c r="J772" s="0" t="n">
        <v>0.522</v>
      </c>
      <c r="K772" s="0" t="n">
        <v>0.803</v>
      </c>
      <c r="L772" s="3" t="str">
        <f aca="false">IF(K772&gt;0.66,"High",IF(K772&gt;0.33&amp;K772&lt;=0.66,"Medium","Low"))</f>
        <v>High</v>
      </c>
      <c r="M772" s="0" t="n">
        <v>-5.825</v>
      </c>
      <c r="N772" s="3" t="n">
        <v>0.0327</v>
      </c>
      <c r="O772" s="3" t="n">
        <v>0.00117</v>
      </c>
      <c r="P772" s="4" t="n">
        <v>0.00167</v>
      </c>
      <c r="Q772" s="3" t="n">
        <v>0.31</v>
      </c>
      <c r="R772" s="3" t="n">
        <v>0.0783</v>
      </c>
      <c r="S772" s="3" t="str">
        <f aca="false">IF(R772 &gt;= 0.5, "Positive", "Negative")</f>
        <v>Negative</v>
      </c>
      <c r="T772" s="2" t="n">
        <v>135.205</v>
      </c>
      <c r="U772" s="0" t="s">
        <v>22</v>
      </c>
    </row>
    <row r="773" customFormat="false" ht="14.25" hidden="false" customHeight="false" outlineLevel="0" collapsed="false">
      <c r="A773" s="0" t="n">
        <v>57</v>
      </c>
      <c r="B773" s="0" t="str">
        <f aca="false">_xlfn.xlookup(A773, artists!A$2:A$836, artists!B$2:B$836)</f>
        <v>Christina Aguilera</v>
      </c>
      <c r="C773" s="1" t="s">
        <v>811</v>
      </c>
      <c r="D773" s="2" t="n">
        <v>273706</v>
      </c>
      <c r="E773" s="2" t="n">
        <f aca="false">D773/1000</f>
        <v>273.706</v>
      </c>
      <c r="F773" s="10" t="b">
        <f aca="false">FALSE()</f>
        <v>0</v>
      </c>
      <c r="G773" s="0" t="n">
        <v>2</v>
      </c>
      <c r="H773" s="0" t="n">
        <f aca="false">_xlfn.xlookup(G773, years!A$2:A$836, years!B$2:B$836)</f>
        <v>1999</v>
      </c>
      <c r="I773" s="2" t="n">
        <v>61</v>
      </c>
      <c r="J773" s="0" t="n">
        <v>0.599</v>
      </c>
      <c r="K773" s="0" t="n">
        <v>0.47</v>
      </c>
      <c r="L773" s="3" t="str">
        <f aca="false">IF(K773&gt;0.66,"High",IF(K773&gt;0.33&amp;K773&lt;=0.66,"Medium","Low"))</f>
        <v>Low</v>
      </c>
      <c r="M773" s="0" t="n">
        <v>-8.356</v>
      </c>
      <c r="N773" s="3" t="n">
        <v>0.0376</v>
      </c>
      <c r="O773" s="3" t="n">
        <v>0.38</v>
      </c>
      <c r="P773" s="4" t="n">
        <v>0</v>
      </c>
      <c r="Q773" s="3" t="n">
        <v>0.111</v>
      </c>
      <c r="R773" s="3" t="n">
        <v>0.298</v>
      </c>
      <c r="S773" s="3" t="str">
        <f aca="false">IF(R773 &gt;= 0.5, "Positive", "Negative")</f>
        <v>Negative</v>
      </c>
      <c r="T773" s="2" t="n">
        <v>127.177</v>
      </c>
      <c r="U773" s="0" t="s">
        <v>39</v>
      </c>
    </row>
    <row r="774" customFormat="false" ht="14.25" hidden="false" customHeight="false" outlineLevel="0" collapsed="false">
      <c r="A774" s="0" t="n">
        <v>1</v>
      </c>
      <c r="B774" s="0" t="str">
        <f aca="false">_xlfn.xlookup(A774, artists!A$2:A$836, artists!B$2:B$836)</f>
        <v>Britney Spears</v>
      </c>
      <c r="C774" s="1" t="s">
        <v>812</v>
      </c>
      <c r="D774" s="2" t="n">
        <v>206226</v>
      </c>
      <c r="E774" s="2" t="n">
        <f aca="false">D774/1000</f>
        <v>206.226</v>
      </c>
      <c r="F774" s="10" t="b">
        <f aca="false">FALSE()</f>
        <v>0</v>
      </c>
      <c r="G774" s="0" t="n">
        <v>3</v>
      </c>
      <c r="H774" s="0" t="n">
        <f aca="false">_xlfn.xlookup(G774, years!A$2:A$836, years!B$2:B$836)</f>
        <v>2000</v>
      </c>
      <c r="I774" s="2" t="n">
        <v>65</v>
      </c>
      <c r="J774" s="0" t="n">
        <v>0.765</v>
      </c>
      <c r="K774" s="0" t="n">
        <v>0.791</v>
      </c>
      <c r="L774" s="3" t="str">
        <f aca="false">IF(K774&gt;0.66,"High",IF(K774&gt;0.33&amp;K774&lt;=0.66,"Medium","Low"))</f>
        <v>High</v>
      </c>
      <c r="M774" s="0" t="n">
        <v>-5.707</v>
      </c>
      <c r="N774" s="3" t="n">
        <v>0.0317</v>
      </c>
      <c r="O774" s="3" t="n">
        <v>0.262</v>
      </c>
      <c r="P774" s="4" t="n">
        <v>0.000154</v>
      </c>
      <c r="Q774" s="3" t="n">
        <v>0.0669</v>
      </c>
      <c r="R774" s="3" t="n">
        <v>0.966</v>
      </c>
      <c r="S774" s="3" t="str">
        <f aca="false">IF(R774 &gt;= 0.5, "Positive", "Negative")</f>
        <v>Positive</v>
      </c>
      <c r="T774" s="2" t="n">
        <v>95.026</v>
      </c>
      <c r="U774" s="0" t="s">
        <v>39</v>
      </c>
    </row>
    <row r="775" customFormat="false" ht="14.25" hidden="false" customHeight="false" outlineLevel="0" collapsed="false">
      <c r="A775" s="0" t="n">
        <v>79</v>
      </c>
      <c r="B775" s="0" t="str">
        <f aca="false">_xlfn.xlookup(A775, artists!A$2:A$836, artists!B$2:B$836)</f>
        <v>Joe</v>
      </c>
      <c r="C775" s="1" t="s">
        <v>813</v>
      </c>
      <c r="D775" s="2" t="n">
        <v>296693</v>
      </c>
      <c r="E775" s="2" t="n">
        <f aca="false">D775/1000</f>
        <v>296.693</v>
      </c>
      <c r="F775" s="10" t="b">
        <f aca="false">FALSE()</f>
        <v>0</v>
      </c>
      <c r="G775" s="0" t="n">
        <v>3</v>
      </c>
      <c r="H775" s="0" t="n">
        <f aca="false">_xlfn.xlookup(G775, years!A$2:A$836, years!B$2:B$836)</f>
        <v>2000</v>
      </c>
      <c r="I775" s="2" t="n">
        <v>65</v>
      </c>
      <c r="J775" s="0" t="n">
        <v>0.725</v>
      </c>
      <c r="K775" s="0" t="n">
        <v>0.487</v>
      </c>
      <c r="L775" s="3" t="str">
        <f aca="false">IF(K775&gt;0.66,"High",IF(K775&gt;0.33&amp;K775&lt;=0.66,"Medium","Low"))</f>
        <v>Low</v>
      </c>
      <c r="M775" s="0" t="n">
        <v>-5.959</v>
      </c>
      <c r="N775" s="3" t="n">
        <v>0.0368</v>
      </c>
      <c r="O775" s="3" t="n">
        <v>0.26</v>
      </c>
      <c r="P775" s="4" t="n">
        <v>1.09E-005</v>
      </c>
      <c r="Q775" s="3" t="n">
        <v>0.431</v>
      </c>
      <c r="R775" s="3" t="n">
        <v>0.599</v>
      </c>
      <c r="S775" s="3" t="str">
        <f aca="false">IF(R775 &gt;= 0.5, "Positive", "Negative")</f>
        <v>Positive</v>
      </c>
      <c r="T775" s="2" t="n">
        <v>136.086</v>
      </c>
      <c r="U775" s="0" t="s">
        <v>33</v>
      </c>
    </row>
    <row r="776" customFormat="false" ht="14.25" hidden="false" customHeight="false" outlineLevel="0" collapsed="false">
      <c r="A776" s="0" t="n">
        <v>245</v>
      </c>
      <c r="B776" s="0" t="str">
        <f aca="false">_xlfn.xlookup(A776, artists!A$2:A$836, artists!B$2:B$836)</f>
        <v>Akon</v>
      </c>
      <c r="C776" s="1" t="s">
        <v>814</v>
      </c>
      <c r="D776" s="2" t="n">
        <v>247066</v>
      </c>
      <c r="E776" s="2" t="n">
        <f aca="false">D776/1000</f>
        <v>247.066</v>
      </c>
      <c r="F776" s="10" t="b">
        <f aca="false">TRUE()</f>
        <v>1</v>
      </c>
      <c r="G776" s="0" t="n">
        <v>9</v>
      </c>
      <c r="H776" s="0" t="n">
        <f aca="false">_xlfn.xlookup(G776, years!A$2:A$836, years!B$2:B$836)</f>
        <v>2006</v>
      </c>
      <c r="I776" s="2" t="n">
        <v>53</v>
      </c>
      <c r="J776" s="0" t="n">
        <v>0.865</v>
      </c>
      <c r="K776" s="0" t="n">
        <v>0.45</v>
      </c>
      <c r="L776" s="3" t="str">
        <f aca="false">IF(K776&gt;0.66,"High",IF(K776&gt;0.33&amp;K776&lt;=0.66,"Medium","Low"))</f>
        <v>Low</v>
      </c>
      <c r="M776" s="0" t="n">
        <v>-9.387</v>
      </c>
      <c r="N776" s="3" t="n">
        <v>0.0417</v>
      </c>
      <c r="O776" s="3" t="n">
        <v>0.0359</v>
      </c>
      <c r="P776" s="4" t="n">
        <v>1.28E-006</v>
      </c>
      <c r="Q776" s="3" t="n">
        <v>0.308</v>
      </c>
      <c r="R776" s="3" t="n">
        <v>0.352</v>
      </c>
      <c r="S776" s="3" t="str">
        <f aca="false">IF(R776 &gt;= 0.5, "Positive", "Negative")</f>
        <v>Negative</v>
      </c>
      <c r="T776" s="2" t="n">
        <v>99.989</v>
      </c>
      <c r="U776" s="0" t="s">
        <v>39</v>
      </c>
    </row>
    <row r="777" customFormat="false" ht="14.25" hidden="false" customHeight="false" outlineLevel="0" collapsed="false">
      <c r="A777" s="0" t="n">
        <v>717</v>
      </c>
      <c r="B777" s="0" t="str">
        <f aca="false">_xlfn.xlookup(A777, artists!A$2:A$836, artists!B$2:B$836)</f>
        <v>MØ</v>
      </c>
      <c r="C777" s="1" t="s">
        <v>815</v>
      </c>
      <c r="D777" s="2" t="n">
        <v>235826</v>
      </c>
      <c r="E777" s="2" t="n">
        <f aca="false">D777/1000</f>
        <v>235.826</v>
      </c>
      <c r="F777" s="10" t="b">
        <f aca="false">FALSE()</f>
        <v>0</v>
      </c>
      <c r="G777" s="0" t="n">
        <v>19</v>
      </c>
      <c r="H777" s="0" t="n">
        <f aca="false">_xlfn.xlookup(G777, years!A$2:A$836, years!B$2:B$836)</f>
        <v>2016</v>
      </c>
      <c r="I777" s="2" t="n">
        <v>66</v>
      </c>
      <c r="J777" s="0" t="n">
        <v>0.695</v>
      </c>
      <c r="K777" s="0" t="n">
        <v>0.672</v>
      </c>
      <c r="L777" s="3" t="str">
        <f aca="false">IF(K777&gt;0.66,"High",IF(K777&gt;0.33&amp;K777&lt;=0.66,"Medium","Low"))</f>
        <v>High</v>
      </c>
      <c r="M777" s="0" t="n">
        <v>-6.109</v>
      </c>
      <c r="N777" s="3" t="n">
        <v>0.0345</v>
      </c>
      <c r="O777" s="3" t="n">
        <v>0.014</v>
      </c>
      <c r="P777" s="4" t="n">
        <v>7.95E-005</v>
      </c>
      <c r="Q777" s="3" t="n">
        <v>0.0756</v>
      </c>
      <c r="R777" s="3" t="n">
        <v>0.245</v>
      </c>
      <c r="S777" s="3" t="str">
        <f aca="false">IF(R777 &gt;= 0.5, "Positive", "Negative")</f>
        <v>Negative</v>
      </c>
      <c r="T777" s="2" t="n">
        <v>104.988</v>
      </c>
      <c r="U777" s="0" t="s">
        <v>22</v>
      </c>
    </row>
    <row r="778" customFormat="false" ht="14.25" hidden="false" customHeight="false" outlineLevel="0" collapsed="false">
      <c r="A778" s="0" t="n">
        <v>555</v>
      </c>
      <c r="B778" s="0" t="str">
        <f aca="false">_xlfn.xlookup(A778, artists!A$2:A$836, artists!B$2:B$836)</f>
        <v>Rita Ora</v>
      </c>
      <c r="C778" s="1" t="s">
        <v>816</v>
      </c>
      <c r="D778" s="2" t="n">
        <v>203466</v>
      </c>
      <c r="E778" s="2" t="n">
        <f aca="false">D778/1000</f>
        <v>203.466</v>
      </c>
      <c r="F778" s="10" t="b">
        <f aca="false">FALSE()</f>
        <v>0</v>
      </c>
      <c r="G778" s="0" t="n">
        <v>17</v>
      </c>
      <c r="H778" s="0" t="n">
        <f aca="false">_xlfn.xlookup(G778, years!A$2:A$836, years!B$2:B$836)</f>
        <v>2014</v>
      </c>
      <c r="I778" s="2" t="n">
        <v>65</v>
      </c>
      <c r="J778" s="0" t="n">
        <v>0.753</v>
      </c>
      <c r="K778" s="0" t="n">
        <v>0.801</v>
      </c>
      <c r="L778" s="3" t="str">
        <f aca="false">IF(K778&gt;0.66,"High",IF(K778&gt;0.33&amp;K778&lt;=0.66,"Medium","Low"))</f>
        <v>High</v>
      </c>
      <c r="M778" s="0" t="n">
        <v>-3.215</v>
      </c>
      <c r="N778" s="3" t="n">
        <v>0.0296</v>
      </c>
      <c r="O778" s="3" t="n">
        <v>0.403</v>
      </c>
      <c r="P778" s="4" t="n">
        <v>0</v>
      </c>
      <c r="Q778" s="3" t="n">
        <v>0.128</v>
      </c>
      <c r="R778" s="3" t="n">
        <v>0.794</v>
      </c>
      <c r="S778" s="3" t="str">
        <f aca="false">IF(R778 &gt;= 0.5, "Positive", "Negative")</f>
        <v>Positive</v>
      </c>
      <c r="T778" s="2" t="n">
        <v>128.011</v>
      </c>
      <c r="U778" s="0" t="s">
        <v>53</v>
      </c>
    </row>
    <row r="779" customFormat="false" ht="14.25" hidden="false" customHeight="false" outlineLevel="0" collapsed="false">
      <c r="A779" s="0" t="n">
        <v>67</v>
      </c>
      <c r="B779" s="0" t="str">
        <f aca="false">_xlfn.xlookup(A779, artists!A$2:A$836, artists!B$2:B$836)</f>
        <v>Carl Thomas</v>
      </c>
      <c r="C779" s="1" t="s">
        <v>817</v>
      </c>
      <c r="D779" s="2" t="n">
        <v>226760</v>
      </c>
      <c r="E779" s="2" t="n">
        <f aca="false">D779/1000</f>
        <v>226.76</v>
      </c>
      <c r="F779" s="10" t="b">
        <f aca="false">FALSE()</f>
        <v>0</v>
      </c>
      <c r="G779" s="0" t="n">
        <v>3</v>
      </c>
      <c r="H779" s="0" t="n">
        <f aca="false">_xlfn.xlookup(G779, years!A$2:A$836, years!B$2:B$836)</f>
        <v>2000</v>
      </c>
      <c r="I779" s="2" t="n">
        <v>52</v>
      </c>
      <c r="J779" s="0" t="n">
        <v>0.736</v>
      </c>
      <c r="K779" s="0" t="n">
        <v>0.666</v>
      </c>
      <c r="L779" s="3" t="str">
        <f aca="false">IF(K779&gt;0.66,"High",IF(K779&gt;0.33&amp;K779&lt;=0.66,"Medium","Low"))</f>
        <v>High</v>
      </c>
      <c r="M779" s="0" t="n">
        <v>-4.929</v>
      </c>
      <c r="N779" s="3" t="n">
        <v>0.0337</v>
      </c>
      <c r="O779" s="3" t="n">
        <v>0.0593</v>
      </c>
      <c r="P779" s="4" t="n">
        <v>3.82E-005</v>
      </c>
      <c r="Q779" s="3" t="n">
        <v>0.107</v>
      </c>
      <c r="R779" s="3" t="n">
        <v>0.224</v>
      </c>
      <c r="S779" s="3" t="str">
        <f aca="false">IF(R779 &gt;= 0.5, "Positive", "Negative")</f>
        <v>Negative</v>
      </c>
      <c r="T779" s="2" t="n">
        <v>89.824</v>
      </c>
      <c r="U779" s="0" t="s">
        <v>33</v>
      </c>
    </row>
    <row r="780" customFormat="false" ht="14.25" hidden="false" customHeight="false" outlineLevel="0" collapsed="false">
      <c r="A780" s="0" t="n">
        <v>356</v>
      </c>
      <c r="B780" s="0" t="str">
        <f aca="false">_xlfn.xlookup(A780, artists!A$2:A$836, artists!B$2:B$836)</f>
        <v>Sandi Thom</v>
      </c>
      <c r="C780" s="1" t="s">
        <v>818</v>
      </c>
      <c r="D780" s="2" t="n">
        <v>151640</v>
      </c>
      <c r="E780" s="2" t="n">
        <f aca="false">D780/1000</f>
        <v>151.64</v>
      </c>
      <c r="F780" s="10" t="b">
        <f aca="false">FALSE()</f>
        <v>0</v>
      </c>
      <c r="G780" s="0" t="n">
        <v>9</v>
      </c>
      <c r="H780" s="0" t="n">
        <f aca="false">_xlfn.xlookup(G780, years!A$2:A$836, years!B$2:B$836)</f>
        <v>2006</v>
      </c>
      <c r="I780" s="2" t="n">
        <v>61</v>
      </c>
      <c r="J780" s="0" t="n">
        <v>0.7</v>
      </c>
      <c r="K780" s="0" t="n">
        <v>0.465</v>
      </c>
      <c r="L780" s="3" t="str">
        <f aca="false">IF(K780&gt;0.66,"High",IF(K780&gt;0.33&amp;K780&lt;=0.66,"Medium","Low"))</f>
        <v>Low</v>
      </c>
      <c r="M780" s="0" t="n">
        <v>-6.815</v>
      </c>
      <c r="N780" s="3" t="n">
        <v>0.358</v>
      </c>
      <c r="O780" s="3" t="n">
        <v>0.544</v>
      </c>
      <c r="P780" s="4" t="n">
        <v>0</v>
      </c>
      <c r="Q780" s="3" t="n">
        <v>0.606</v>
      </c>
      <c r="R780" s="3" t="n">
        <v>0.719</v>
      </c>
      <c r="S780" s="3" t="str">
        <f aca="false">IF(R780 &gt;= 0.5, "Positive", "Negative")</f>
        <v>Positive</v>
      </c>
      <c r="T780" s="2" t="n">
        <v>108.102</v>
      </c>
      <c r="U780" s="0" t="s">
        <v>819</v>
      </c>
    </row>
    <row r="781" customFormat="false" ht="14.25" hidden="false" customHeight="false" outlineLevel="0" collapsed="false">
      <c r="A781" s="0" t="n">
        <v>353</v>
      </c>
      <c r="B781" s="0" t="str">
        <f aca="false">_xlfn.xlookup(A781, artists!A$2:A$836, artists!B$2:B$836)</f>
        <v>James Morrison</v>
      </c>
      <c r="C781" s="1" t="s">
        <v>820</v>
      </c>
      <c r="D781" s="2" t="n">
        <v>229303</v>
      </c>
      <c r="E781" s="2" t="n">
        <f aca="false">D781/1000</f>
        <v>229.303</v>
      </c>
      <c r="F781" s="10" t="b">
        <f aca="false">FALSE()</f>
        <v>0</v>
      </c>
      <c r="G781" s="0" t="n">
        <v>14</v>
      </c>
      <c r="H781" s="0" t="n">
        <f aca="false">_xlfn.xlookup(G781, years!A$2:A$836, years!B$2:B$836)</f>
        <v>2011</v>
      </c>
      <c r="I781" s="2" t="n">
        <v>64</v>
      </c>
      <c r="J781" s="0" t="n">
        <v>0.537</v>
      </c>
      <c r="K781" s="0" t="n">
        <v>0.611</v>
      </c>
      <c r="L781" s="3" t="str">
        <f aca="false">IF(K781&gt;0.66,"High",IF(K781&gt;0.33&amp;K781&lt;=0.66,"Medium","Low"))</f>
        <v>Low</v>
      </c>
      <c r="M781" s="0" t="n">
        <v>-6.427</v>
      </c>
      <c r="N781" s="3" t="n">
        <v>0.0304</v>
      </c>
      <c r="O781" s="3" t="n">
        <v>0.229</v>
      </c>
      <c r="P781" s="4" t="n">
        <v>0</v>
      </c>
      <c r="Q781" s="3" t="n">
        <v>0.146</v>
      </c>
      <c r="R781" s="3" t="n">
        <v>0.161</v>
      </c>
      <c r="S781" s="3" t="str">
        <f aca="false">IF(R781 &gt;= 0.5, "Positive", "Negative")</f>
        <v>Negative</v>
      </c>
      <c r="T781" s="2" t="n">
        <v>105.955</v>
      </c>
      <c r="U781" s="0" t="s">
        <v>33</v>
      </c>
    </row>
    <row r="782" customFormat="false" ht="14.25" hidden="false" customHeight="false" outlineLevel="0" collapsed="false">
      <c r="A782" s="0" t="n">
        <v>202</v>
      </c>
      <c r="B782" s="0" t="str">
        <f aca="false">_xlfn.xlookup(A782, artists!A$2:A$836, artists!B$2:B$836)</f>
        <v>Baby Bash</v>
      </c>
      <c r="C782" s="1" t="s">
        <v>821</v>
      </c>
      <c r="D782" s="2" t="n">
        <v>219920</v>
      </c>
      <c r="E782" s="2" t="n">
        <f aca="false">D782/1000</f>
        <v>219.92</v>
      </c>
      <c r="F782" s="10" t="b">
        <f aca="false">TRUE()</f>
        <v>1</v>
      </c>
      <c r="G782" s="0" t="n">
        <v>8</v>
      </c>
      <c r="H782" s="0" t="n">
        <f aca="false">_xlfn.xlookup(G782, years!A$2:A$836, years!B$2:B$836)</f>
        <v>2005</v>
      </c>
      <c r="I782" s="2" t="n">
        <v>4</v>
      </c>
      <c r="J782" s="0" t="n">
        <v>0.899</v>
      </c>
      <c r="K782" s="0" t="n">
        <v>0.365</v>
      </c>
      <c r="L782" s="3" t="str">
        <f aca="false">IF(K782&gt;0.66,"High",IF(K782&gt;0.33&amp;K782&lt;=0.66,"Medium","Low"))</f>
        <v>Low</v>
      </c>
      <c r="M782" s="0" t="n">
        <v>-5.461</v>
      </c>
      <c r="N782" s="3" t="n">
        <v>0.105</v>
      </c>
      <c r="O782" s="3" t="n">
        <v>0.0508</v>
      </c>
      <c r="P782" s="4" t="n">
        <v>0</v>
      </c>
      <c r="Q782" s="3" t="n">
        <v>0.097</v>
      </c>
      <c r="R782" s="3" t="n">
        <v>0.749</v>
      </c>
      <c r="S782" s="3" t="str">
        <f aca="false">IF(R782 &gt;= 0.5, "Positive", "Negative")</f>
        <v>Positive</v>
      </c>
      <c r="T782" s="2" t="n">
        <v>100.01</v>
      </c>
      <c r="U782" s="0" t="s">
        <v>822</v>
      </c>
    </row>
    <row r="783" customFormat="false" ht="14.25" hidden="false" customHeight="false" outlineLevel="0" collapsed="false">
      <c r="A783" s="0" t="n">
        <v>348</v>
      </c>
      <c r="B783" s="0" t="str">
        <f aca="false">_xlfn.xlookup(A783, artists!A$2:A$836, artists!B$2:B$836)</f>
        <v>Panic! At The Disco</v>
      </c>
      <c r="C783" s="1" t="s">
        <v>823</v>
      </c>
      <c r="D783" s="2" t="n">
        <v>185586</v>
      </c>
      <c r="E783" s="2" t="n">
        <f aca="false">D783/1000</f>
        <v>185.586</v>
      </c>
      <c r="F783" s="10" t="b">
        <f aca="false">FALSE()</f>
        <v>0</v>
      </c>
      <c r="G783" s="0" t="n">
        <v>8</v>
      </c>
      <c r="H783" s="0" t="n">
        <f aca="false">_xlfn.xlookup(G783, years!A$2:A$836, years!B$2:B$836)</f>
        <v>2005</v>
      </c>
      <c r="I783" s="2" t="n">
        <v>70</v>
      </c>
      <c r="J783" s="0" t="n">
        <v>0.566</v>
      </c>
      <c r="K783" s="0" t="n">
        <v>0.815</v>
      </c>
      <c r="L783" s="3" t="str">
        <f aca="false">IF(K783&gt;0.66,"High",IF(K783&gt;0.33&amp;K783&lt;=0.66,"Medium","Low"))</f>
        <v>High</v>
      </c>
      <c r="M783" s="0" t="n">
        <v>-4.481</v>
      </c>
      <c r="N783" s="3" t="n">
        <v>0.14</v>
      </c>
      <c r="O783" s="3" t="n">
        <v>0.0737</v>
      </c>
      <c r="P783" s="4" t="n">
        <v>0</v>
      </c>
      <c r="Q783" s="3" t="n">
        <v>0.12</v>
      </c>
      <c r="R783" s="3" t="n">
        <v>0.672</v>
      </c>
      <c r="S783" s="3" t="str">
        <f aca="false">IF(R783 &gt;= 0.5, "Positive", "Negative")</f>
        <v>Positive</v>
      </c>
      <c r="T783" s="2" t="n">
        <v>169.961</v>
      </c>
      <c r="U783" s="0" t="s">
        <v>43</v>
      </c>
    </row>
    <row r="784" customFormat="false" ht="14.25" hidden="false" customHeight="false" outlineLevel="0" collapsed="false">
      <c r="A784" s="0" t="n">
        <v>377</v>
      </c>
      <c r="B784" s="0" t="str">
        <f aca="false">_xlfn.xlookup(A784, artists!A$2:A$836, artists!B$2:B$836)</f>
        <v>Omarion</v>
      </c>
      <c r="C784" s="1" t="s">
        <v>824</v>
      </c>
      <c r="D784" s="2" t="n">
        <v>256426</v>
      </c>
      <c r="E784" s="2" t="n">
        <f aca="false">D784/1000</f>
        <v>256.426</v>
      </c>
      <c r="F784" s="10" t="b">
        <f aca="false">FALSE()</f>
        <v>0</v>
      </c>
      <c r="G784" s="0" t="n">
        <v>9</v>
      </c>
      <c r="H784" s="0" t="n">
        <f aca="false">_xlfn.xlookup(G784, years!A$2:A$836, years!B$2:B$836)</f>
        <v>2006</v>
      </c>
      <c r="I784" s="2" t="n">
        <v>57</v>
      </c>
      <c r="J784" s="0" t="n">
        <v>0.775</v>
      </c>
      <c r="K784" s="0" t="n">
        <v>0.731</v>
      </c>
      <c r="L784" s="3" t="str">
        <f aca="false">IF(K784&gt;0.66,"High",IF(K784&gt;0.33&amp;K784&lt;=0.66,"Medium","Low"))</f>
        <v>High</v>
      </c>
      <c r="M784" s="0" t="n">
        <v>-5.446</v>
      </c>
      <c r="N784" s="3" t="n">
        <v>0.134</v>
      </c>
      <c r="O784" s="3" t="n">
        <v>0.189</v>
      </c>
      <c r="P784" s="4" t="n">
        <v>0</v>
      </c>
      <c r="Q784" s="3" t="n">
        <v>0.129</v>
      </c>
      <c r="R784" s="3" t="n">
        <v>0.821</v>
      </c>
      <c r="S784" s="3" t="str">
        <f aca="false">IF(R784 &gt;= 0.5, "Positive", "Negative")</f>
        <v>Positive</v>
      </c>
      <c r="T784" s="2" t="n">
        <v>131.105</v>
      </c>
      <c r="U784" s="0" t="s">
        <v>31</v>
      </c>
    </row>
    <row r="785" customFormat="false" ht="14.25" hidden="false" customHeight="false" outlineLevel="0" collapsed="false">
      <c r="A785" s="0" t="n">
        <v>693</v>
      </c>
      <c r="B785" s="0" t="str">
        <f aca="false">_xlfn.xlookup(A785, artists!A$2:A$836, artists!B$2:B$836)</f>
        <v>Dua Lipa</v>
      </c>
      <c r="C785" s="1" t="s">
        <v>825</v>
      </c>
      <c r="D785" s="2" t="n">
        <v>217946</v>
      </c>
      <c r="E785" s="2" t="n">
        <f aca="false">D785/1000</f>
        <v>217.946</v>
      </c>
      <c r="F785" s="10" t="b">
        <f aca="false">TRUE()</f>
        <v>1</v>
      </c>
      <c r="G785" s="0" t="n">
        <v>20</v>
      </c>
      <c r="H785" s="0" t="n">
        <f aca="false">_xlfn.xlookup(G785, years!A$2:A$836, years!B$2:B$836)</f>
        <v>2017</v>
      </c>
      <c r="I785" s="2" t="n">
        <v>78</v>
      </c>
      <c r="J785" s="0" t="n">
        <v>0.836</v>
      </c>
      <c r="K785" s="0" t="n">
        <v>0.544</v>
      </c>
      <c r="L785" s="3" t="str">
        <f aca="false">IF(K785&gt;0.66,"High",IF(K785&gt;0.33&amp;K785&lt;=0.66,"Medium","Low"))</f>
        <v>Low</v>
      </c>
      <c r="M785" s="0" t="n">
        <v>-5.975</v>
      </c>
      <c r="N785" s="3" t="n">
        <v>0.0943</v>
      </c>
      <c r="O785" s="3" t="n">
        <v>0.0403</v>
      </c>
      <c r="P785" s="4" t="n">
        <v>0</v>
      </c>
      <c r="Q785" s="3" t="n">
        <v>0.0824</v>
      </c>
      <c r="R785" s="3" t="n">
        <v>0.51</v>
      </c>
      <c r="S785" s="3" t="str">
        <f aca="false">IF(R785 &gt;= 0.5, "Positive", "Negative")</f>
        <v>Positive</v>
      </c>
      <c r="T785" s="2" t="n">
        <v>97.028</v>
      </c>
      <c r="U785" s="0" t="s">
        <v>39</v>
      </c>
    </row>
    <row r="786" customFormat="false" ht="14.25" hidden="false" customHeight="false" outlineLevel="0" collapsed="false">
      <c r="A786" s="0" t="n">
        <v>153</v>
      </c>
      <c r="B786" s="0" t="str">
        <f aca="false">_xlfn.xlookup(A786, artists!A$2:A$836, artists!B$2:B$836)</f>
        <v>Angie Martinez</v>
      </c>
      <c r="C786" s="1" t="s">
        <v>826</v>
      </c>
      <c r="D786" s="2" t="n">
        <v>244466</v>
      </c>
      <c r="E786" s="2" t="n">
        <f aca="false">D786/1000</f>
        <v>244.466</v>
      </c>
      <c r="F786" s="10" t="b">
        <f aca="false">FALSE()</f>
        <v>0</v>
      </c>
      <c r="G786" s="0" t="n">
        <v>22</v>
      </c>
      <c r="H786" s="0" t="n">
        <f aca="false">_xlfn.xlookup(G786, years!A$2:A$836, years!B$2:B$836)</f>
        <v>2019</v>
      </c>
      <c r="I786" s="2" t="n">
        <v>40</v>
      </c>
      <c r="J786" s="0" t="n">
        <v>0.583</v>
      </c>
      <c r="K786" s="0" t="n">
        <v>0.643</v>
      </c>
      <c r="L786" s="3" t="str">
        <f aca="false">IF(K786&gt;0.66,"High",IF(K786&gt;0.33&amp;K786&lt;=0.66,"Medium","Low"))</f>
        <v>Low</v>
      </c>
      <c r="M786" s="0" t="n">
        <v>-7.486</v>
      </c>
      <c r="N786" s="3" t="n">
        <v>0.355</v>
      </c>
      <c r="O786" s="3" t="n">
        <v>0.171</v>
      </c>
      <c r="P786" s="4" t="n">
        <v>0</v>
      </c>
      <c r="Q786" s="3" t="n">
        <v>0.0395</v>
      </c>
      <c r="R786" s="3" t="n">
        <v>0.7</v>
      </c>
      <c r="S786" s="3" t="str">
        <f aca="false">IF(R786 &gt;= 0.5, "Positive", "Negative")</f>
        <v>Positive</v>
      </c>
      <c r="T786" s="2" t="n">
        <v>195.685</v>
      </c>
      <c r="U786" s="0" t="s">
        <v>39</v>
      </c>
    </row>
    <row r="787" customFormat="false" ht="14.25" hidden="false" customHeight="false" outlineLevel="0" collapsed="false">
      <c r="A787" s="0" t="n">
        <v>508</v>
      </c>
      <c r="B787" s="0" t="str">
        <f aca="false">_xlfn.xlookup(A787, artists!A$2:A$836, artists!B$2:B$836)</f>
        <v>The Band Perry</v>
      </c>
      <c r="C787" s="1" t="s">
        <v>827</v>
      </c>
      <c r="D787" s="2" t="n">
        <v>222773</v>
      </c>
      <c r="E787" s="2" t="n">
        <f aca="false">D787/1000</f>
        <v>222.773</v>
      </c>
      <c r="F787" s="10" t="b">
        <f aca="false">FALSE()</f>
        <v>0</v>
      </c>
      <c r="G787" s="0" t="n">
        <v>13</v>
      </c>
      <c r="H787" s="0" t="n">
        <f aca="false">_xlfn.xlookup(G787, years!A$2:A$836, years!B$2:B$836)</f>
        <v>2010</v>
      </c>
      <c r="I787" s="2" t="n">
        <v>64</v>
      </c>
      <c r="J787" s="0" t="n">
        <v>0.606</v>
      </c>
      <c r="K787" s="0" t="n">
        <v>0.497</v>
      </c>
      <c r="L787" s="3" t="str">
        <f aca="false">IF(K787&gt;0.66,"High",IF(K787&gt;0.33&amp;K787&lt;=0.66,"Medium","Low"))</f>
        <v>Low</v>
      </c>
      <c r="M787" s="0" t="n">
        <v>-6.611</v>
      </c>
      <c r="N787" s="3" t="n">
        <v>0.0277</v>
      </c>
      <c r="O787" s="3" t="n">
        <v>0.348</v>
      </c>
      <c r="P787" s="4" t="n">
        <v>0</v>
      </c>
      <c r="Q787" s="3" t="n">
        <v>0.275</v>
      </c>
      <c r="R787" s="3" t="n">
        <v>0.362</v>
      </c>
      <c r="S787" s="3" t="str">
        <f aca="false">IF(R787 &gt;= 0.5, "Positive", "Negative")</f>
        <v>Negative</v>
      </c>
      <c r="T787" s="2" t="n">
        <v>130.739</v>
      </c>
      <c r="U787" s="0" t="s">
        <v>150</v>
      </c>
    </row>
    <row r="788" customFormat="false" ht="14.25" hidden="false" customHeight="false" outlineLevel="0" collapsed="false">
      <c r="A788" s="0" t="n">
        <v>192</v>
      </c>
      <c r="B788" s="0" t="str">
        <f aca="false">_xlfn.xlookup(A788, artists!A$2:A$836, artists!B$2:B$836)</f>
        <v>Beyoncé</v>
      </c>
      <c r="C788" s="1" t="s">
        <v>828</v>
      </c>
      <c r="D788" s="2" t="n">
        <v>249146</v>
      </c>
      <c r="E788" s="2" t="n">
        <f aca="false">D788/1000</f>
        <v>249.146</v>
      </c>
      <c r="F788" s="10" t="b">
        <f aca="false">FALSE()</f>
        <v>0</v>
      </c>
      <c r="G788" s="0" t="n">
        <v>11</v>
      </c>
      <c r="H788" s="0" t="n">
        <f aca="false">_xlfn.xlookup(G788, years!A$2:A$836, years!B$2:B$836)</f>
        <v>2008</v>
      </c>
      <c r="I788" s="2" t="n">
        <v>66</v>
      </c>
      <c r="J788" s="0" t="n">
        <v>0.632</v>
      </c>
      <c r="K788" s="0" t="n">
        <v>0.518</v>
      </c>
      <c r="L788" s="3" t="str">
        <f aca="false">IF(K788&gt;0.66,"High",IF(K788&gt;0.33&amp;K788&lt;=0.66,"Medium","Low"))</f>
        <v>Low</v>
      </c>
      <c r="M788" s="0" t="n">
        <v>-6.126</v>
      </c>
      <c r="N788" s="3" t="n">
        <v>0.0313</v>
      </c>
      <c r="O788" s="3" t="n">
        <v>0.107</v>
      </c>
      <c r="P788" s="4" t="n">
        <v>0</v>
      </c>
      <c r="Q788" s="3" t="n">
        <v>0.354</v>
      </c>
      <c r="R788" s="3" t="n">
        <v>0.427</v>
      </c>
      <c r="S788" s="3" t="str">
        <f aca="false">IF(R788 &gt;= 0.5, "Positive", "Negative")</f>
        <v>Negative</v>
      </c>
      <c r="T788" s="2" t="n">
        <v>90.007</v>
      </c>
      <c r="U788" s="0" t="s">
        <v>33</v>
      </c>
    </row>
    <row r="789" customFormat="false" ht="14.25" hidden="false" customHeight="false" outlineLevel="0" collapsed="false">
      <c r="A789" s="0" t="n">
        <v>270</v>
      </c>
      <c r="B789" s="0" t="str">
        <f aca="false">_xlfn.xlookup(A789, artists!A$2:A$836, artists!B$2:B$836)</f>
        <v>Lemar</v>
      </c>
      <c r="C789" s="1" t="s">
        <v>829</v>
      </c>
      <c r="D789" s="2" t="n">
        <v>229080</v>
      </c>
      <c r="E789" s="2" t="n">
        <f aca="false">D789/1000</f>
        <v>229.08</v>
      </c>
      <c r="F789" s="10" t="b">
        <f aca="false">FALSE()</f>
        <v>0</v>
      </c>
      <c r="G789" s="0" t="n">
        <v>7</v>
      </c>
      <c r="H789" s="0" t="n">
        <f aca="false">_xlfn.xlookup(G789, years!A$2:A$836, years!B$2:B$836)</f>
        <v>2004</v>
      </c>
      <c r="I789" s="2" t="n">
        <v>46</v>
      </c>
      <c r="J789" s="0" t="n">
        <v>0.706</v>
      </c>
      <c r="K789" s="0" t="n">
        <v>0.665</v>
      </c>
      <c r="L789" s="3" t="str">
        <f aca="false">IF(K789&gt;0.66,"High",IF(K789&gt;0.33&amp;K789&lt;=0.66,"Medium","Low"))</f>
        <v>High</v>
      </c>
      <c r="M789" s="0" t="n">
        <v>-5.348</v>
      </c>
      <c r="N789" s="3" t="n">
        <v>0.0453</v>
      </c>
      <c r="O789" s="3" t="n">
        <v>0.0128</v>
      </c>
      <c r="P789" s="4" t="n">
        <v>0</v>
      </c>
      <c r="Q789" s="3" t="n">
        <v>0.338</v>
      </c>
      <c r="R789" s="3" t="n">
        <v>0.639</v>
      </c>
      <c r="S789" s="3" t="str">
        <f aca="false">IF(R789 &gt;= 0.5, "Positive", "Negative")</f>
        <v>Positive</v>
      </c>
      <c r="T789" s="2" t="n">
        <v>89.993</v>
      </c>
      <c r="U789" s="0" t="s">
        <v>128</v>
      </c>
    </row>
    <row r="790" customFormat="false" ht="14.25" hidden="false" customHeight="false" outlineLevel="0" collapsed="false">
      <c r="A790" s="0" t="n">
        <v>102</v>
      </c>
      <c r="B790" s="0" t="str">
        <f aca="false">_xlfn.xlookup(A790, artists!A$2:A$836, artists!B$2:B$836)</f>
        <v>Nickelback</v>
      </c>
      <c r="C790" s="1" t="s">
        <v>830</v>
      </c>
      <c r="D790" s="2" t="n">
        <v>249066</v>
      </c>
      <c r="E790" s="2" t="n">
        <f aca="false">D790/1000</f>
        <v>249.066</v>
      </c>
      <c r="F790" s="10" t="b">
        <f aca="false">FALSE()</f>
        <v>0</v>
      </c>
      <c r="G790" s="0" t="n">
        <v>11</v>
      </c>
      <c r="H790" s="0" t="n">
        <f aca="false">_xlfn.xlookup(G790, years!A$2:A$836, years!B$2:B$836)</f>
        <v>2008</v>
      </c>
      <c r="I790" s="2" t="n">
        <v>66</v>
      </c>
      <c r="J790" s="0" t="n">
        <v>0.485</v>
      </c>
      <c r="K790" s="0" t="n">
        <v>0.911</v>
      </c>
      <c r="L790" s="3" t="str">
        <f aca="false">IF(K790&gt;0.66,"High",IF(K790&gt;0.33&amp;K790&lt;=0.66,"Medium","Low"))</f>
        <v>High</v>
      </c>
      <c r="M790" s="0" t="n">
        <v>-5.749</v>
      </c>
      <c r="N790" s="3" t="n">
        <v>0.0355</v>
      </c>
      <c r="O790" s="3" t="n">
        <v>8.67E-005</v>
      </c>
      <c r="P790" s="4" t="n">
        <v>0</v>
      </c>
      <c r="Q790" s="3" t="n">
        <v>0.092</v>
      </c>
      <c r="R790" s="3" t="n">
        <v>0.568</v>
      </c>
      <c r="S790" s="3" t="str">
        <f aca="false">IF(R790 &gt;= 0.5, "Positive", "Negative")</f>
        <v>Positive</v>
      </c>
      <c r="T790" s="2" t="n">
        <v>89.956</v>
      </c>
      <c r="U790" s="0" t="s">
        <v>81</v>
      </c>
    </row>
    <row r="791" customFormat="false" ht="14.25" hidden="false" customHeight="false" outlineLevel="0" collapsed="false">
      <c r="A791" s="0" t="n">
        <v>63</v>
      </c>
      <c r="B791" s="0" t="str">
        <f aca="false">_xlfn.xlookup(A791, artists!A$2:A$836, artists!B$2:B$836)</f>
        <v>Ronan Keating</v>
      </c>
      <c r="C791" s="1" t="s">
        <v>831</v>
      </c>
      <c r="D791" s="2" t="n">
        <v>214306</v>
      </c>
      <c r="E791" s="2" t="n">
        <f aca="false">D791/1000</f>
        <v>214.306</v>
      </c>
      <c r="F791" s="10" t="b">
        <f aca="false">FALSE()</f>
        <v>0</v>
      </c>
      <c r="G791" s="0" t="n">
        <v>5</v>
      </c>
      <c r="H791" s="0" t="n">
        <f aca="false">_xlfn.xlookup(G791, years!A$2:A$836, years!B$2:B$836)</f>
        <v>2002</v>
      </c>
      <c r="I791" s="2" t="n">
        <v>60</v>
      </c>
      <c r="J791" s="0" t="n">
        <v>0.555</v>
      </c>
      <c r="K791" s="0" t="n">
        <v>0.496</v>
      </c>
      <c r="L791" s="3" t="str">
        <f aca="false">IF(K791&gt;0.66,"High",IF(K791&gt;0.33&amp;K791&lt;=0.66,"Medium","Low"))</f>
        <v>Low</v>
      </c>
      <c r="M791" s="0" t="n">
        <v>-6.136</v>
      </c>
      <c r="N791" s="3" t="n">
        <v>0.028</v>
      </c>
      <c r="O791" s="3" t="n">
        <v>0.333</v>
      </c>
      <c r="P791" s="4" t="n">
        <v>0</v>
      </c>
      <c r="Q791" s="3" t="n">
        <v>0.0956</v>
      </c>
      <c r="R791" s="3" t="n">
        <v>0.27</v>
      </c>
      <c r="S791" s="3" t="str">
        <f aca="false">IF(R791 &gt;= 0.5, "Positive", "Negative")</f>
        <v>Negative</v>
      </c>
      <c r="T791" s="2" t="n">
        <v>79.01</v>
      </c>
      <c r="U791" s="0" t="s">
        <v>210</v>
      </c>
    </row>
    <row r="792" customFormat="false" ht="14.25" hidden="false" customHeight="false" outlineLevel="0" collapsed="false">
      <c r="A792" s="0" t="n">
        <v>1</v>
      </c>
      <c r="B792" s="0" t="str">
        <f aca="false">_xlfn.xlookup(A792, artists!A$2:A$836, artists!B$2:B$836)</f>
        <v>Britney Spears</v>
      </c>
      <c r="C792" s="1" t="s">
        <v>832</v>
      </c>
      <c r="D792" s="2" t="n">
        <v>211160</v>
      </c>
      <c r="E792" s="2" t="n">
        <f aca="false">D792/1000</f>
        <v>211.16</v>
      </c>
      <c r="F792" s="10" t="b">
        <f aca="false">FALSE()</f>
        <v>0</v>
      </c>
      <c r="G792" s="0" t="n">
        <v>3</v>
      </c>
      <c r="H792" s="0" t="n">
        <f aca="false">_xlfn.xlookup(G792, years!A$2:A$836, years!B$2:B$836)</f>
        <v>2000</v>
      </c>
      <c r="I792" s="2" t="n">
        <v>77</v>
      </c>
      <c r="J792" s="0" t="n">
        <v>0.751</v>
      </c>
      <c r="K792" s="0" t="n">
        <v>0.834</v>
      </c>
      <c r="L792" s="3" t="str">
        <f aca="false">IF(K792&gt;0.66,"High",IF(K792&gt;0.33&amp;K792&lt;=0.66,"Medium","Low"))</f>
        <v>High</v>
      </c>
      <c r="M792" s="0" t="n">
        <v>-5.444</v>
      </c>
      <c r="N792" s="3" t="n">
        <v>0.0437</v>
      </c>
      <c r="O792" s="3" t="n">
        <v>0.3</v>
      </c>
      <c r="P792" s="4" t="n">
        <v>1.77E-005</v>
      </c>
      <c r="Q792" s="3" t="n">
        <v>0.355</v>
      </c>
      <c r="R792" s="3" t="n">
        <v>0.894</v>
      </c>
      <c r="S792" s="3" t="str">
        <f aca="false">IF(R792 &gt;= 0.5, "Positive", "Negative")</f>
        <v>Positive</v>
      </c>
      <c r="T792" s="2" t="n">
        <v>95.053</v>
      </c>
      <c r="U792" s="0" t="s">
        <v>39</v>
      </c>
    </row>
    <row r="793" customFormat="false" ht="14.25" hidden="false" customHeight="false" outlineLevel="0" collapsed="false">
      <c r="A793" s="0" t="n">
        <v>361</v>
      </c>
      <c r="B793" s="0" t="str">
        <f aca="false">_xlfn.xlookup(A793, artists!A$2:A$836, artists!B$2:B$836)</f>
        <v>Timbaland</v>
      </c>
      <c r="C793" s="1" t="s">
        <v>833</v>
      </c>
      <c r="D793" s="2" t="n">
        <v>292706</v>
      </c>
      <c r="E793" s="2" t="n">
        <f aca="false">D793/1000</f>
        <v>292.706</v>
      </c>
      <c r="F793" s="10" t="b">
        <f aca="false">FALSE()</f>
        <v>0</v>
      </c>
      <c r="G793" s="0" t="n">
        <v>12</v>
      </c>
      <c r="H793" s="0" t="n">
        <f aca="false">_xlfn.xlookup(G793, years!A$2:A$836, years!B$2:B$836)</f>
        <v>2009</v>
      </c>
      <c r="I793" s="2" t="n">
        <v>68</v>
      </c>
      <c r="J793" s="0" t="n">
        <v>0.652</v>
      </c>
      <c r="K793" s="0" t="n">
        <v>0.605</v>
      </c>
      <c r="L793" s="3" t="str">
        <f aca="false">IF(K793&gt;0.66,"High",IF(K793&gt;0.33&amp;K793&lt;=0.66,"Medium","Low"))</f>
        <v>Low</v>
      </c>
      <c r="M793" s="0" t="n">
        <v>-7.371</v>
      </c>
      <c r="N793" s="3" t="n">
        <v>0.0393</v>
      </c>
      <c r="O793" s="3" t="n">
        <v>0.00481</v>
      </c>
      <c r="P793" s="4" t="n">
        <v>0</v>
      </c>
      <c r="Q793" s="3" t="n">
        <v>0.0605</v>
      </c>
      <c r="R793" s="3" t="n">
        <v>0.394</v>
      </c>
      <c r="S793" s="3" t="str">
        <f aca="false">IF(R793 &gt;= 0.5, "Positive", "Negative")</f>
        <v>Negative</v>
      </c>
      <c r="T793" s="2" t="n">
        <v>126.091</v>
      </c>
      <c r="U793" s="0" t="s">
        <v>31</v>
      </c>
    </row>
    <row r="794" customFormat="false" ht="14.25" hidden="false" customHeight="false" outlineLevel="0" collapsed="false">
      <c r="A794" s="0" t="n">
        <v>194</v>
      </c>
      <c r="B794" s="0" t="str">
        <f aca="false">_xlfn.xlookup(A794, artists!A$2:A$836, artists!B$2:B$836)</f>
        <v>Black Eyed Peas</v>
      </c>
      <c r="C794" s="1" t="s">
        <v>834</v>
      </c>
      <c r="D794" s="2" t="n">
        <v>219000</v>
      </c>
      <c r="E794" s="2" t="n">
        <f aca="false">D794/1000</f>
        <v>219</v>
      </c>
      <c r="F794" s="10" t="b">
        <f aca="false">FALSE()</f>
        <v>0</v>
      </c>
      <c r="G794" s="0" t="n">
        <v>8</v>
      </c>
      <c r="H794" s="0" t="n">
        <f aca="false">_xlfn.xlookup(G794, years!A$2:A$836, years!B$2:B$836)</f>
        <v>2005</v>
      </c>
      <c r="I794" s="2" t="n">
        <v>61</v>
      </c>
      <c r="J794" s="0" t="n">
        <v>0.662</v>
      </c>
      <c r="K794" s="0" t="n">
        <v>0.785</v>
      </c>
      <c r="L794" s="3" t="str">
        <f aca="false">IF(K794&gt;0.66,"High",IF(K794&gt;0.33&amp;K794&lt;=0.66,"Medium","Low"))</f>
        <v>High</v>
      </c>
      <c r="M794" s="0" t="n">
        <v>-5.299</v>
      </c>
      <c r="N794" s="3" t="n">
        <v>0.186</v>
      </c>
      <c r="O794" s="3" t="n">
        <v>0.16</v>
      </c>
      <c r="P794" s="4" t="n">
        <v>0</v>
      </c>
      <c r="Q794" s="3" t="n">
        <v>0.0784</v>
      </c>
      <c r="R794" s="3" t="n">
        <v>0.604</v>
      </c>
      <c r="S794" s="3" t="str">
        <f aca="false">IF(R794 &gt;= 0.5, "Positive", "Negative")</f>
        <v>Positive</v>
      </c>
      <c r="T794" s="2" t="n">
        <v>89.885</v>
      </c>
      <c r="U794" s="0" t="s">
        <v>24</v>
      </c>
    </row>
    <row r="795" customFormat="false" ht="14.25" hidden="false" customHeight="false" outlineLevel="0" collapsed="false">
      <c r="A795" s="0" t="n">
        <v>130</v>
      </c>
      <c r="B795" s="0" t="str">
        <f aca="false">_xlfn.xlookup(A795, artists!A$2:A$836, artists!B$2:B$836)</f>
        <v>Daniel Bedingfield</v>
      </c>
      <c r="C795" s="1" t="s">
        <v>835</v>
      </c>
      <c r="D795" s="2" t="n">
        <v>257026</v>
      </c>
      <c r="E795" s="2" t="n">
        <f aca="false">D795/1000</f>
        <v>257.026</v>
      </c>
      <c r="F795" s="10" t="b">
        <f aca="false">FALSE()</f>
        <v>0</v>
      </c>
      <c r="G795" s="0" t="n">
        <v>5</v>
      </c>
      <c r="H795" s="0" t="n">
        <f aca="false">_xlfn.xlookup(G795, years!A$2:A$836, years!B$2:B$836)</f>
        <v>2002</v>
      </c>
      <c r="I795" s="2" t="n">
        <v>58</v>
      </c>
      <c r="J795" s="0" t="n">
        <v>0.688</v>
      </c>
      <c r="K795" s="0" t="n">
        <v>0.538</v>
      </c>
      <c r="L795" s="3" t="str">
        <f aca="false">IF(K795&gt;0.66,"High",IF(K795&gt;0.33&amp;K795&lt;=0.66,"Medium","Low"))</f>
        <v>Low</v>
      </c>
      <c r="M795" s="0" t="n">
        <v>-7.608</v>
      </c>
      <c r="N795" s="3" t="n">
        <v>0.0292</v>
      </c>
      <c r="O795" s="3" t="n">
        <v>0.504</v>
      </c>
      <c r="P795" s="4" t="n">
        <v>0</v>
      </c>
      <c r="Q795" s="3" t="n">
        <v>0.111</v>
      </c>
      <c r="R795" s="3" t="n">
        <v>0.27</v>
      </c>
      <c r="S795" s="3" t="str">
        <f aca="false">IF(R795 &gt;= 0.5, "Positive", "Negative")</f>
        <v>Negative</v>
      </c>
      <c r="T795" s="2" t="n">
        <v>119.998</v>
      </c>
      <c r="U795" s="0" t="s">
        <v>39</v>
      </c>
    </row>
    <row r="796" customFormat="false" ht="14.25" hidden="false" customHeight="false" outlineLevel="0" collapsed="false">
      <c r="A796" s="0" t="n">
        <v>469</v>
      </c>
      <c r="B796" s="0" t="str">
        <f aca="false">_xlfn.xlookup(A796, artists!A$2:A$836, artists!B$2:B$836)</f>
        <v>Bruno Mars</v>
      </c>
      <c r="C796" s="1" t="s">
        <v>836</v>
      </c>
      <c r="D796" s="2" t="n">
        <v>178560</v>
      </c>
      <c r="E796" s="2" t="n">
        <f aca="false">D796/1000</f>
        <v>178.56</v>
      </c>
      <c r="F796" s="10" t="b">
        <f aca="false">TRUE()</f>
        <v>1</v>
      </c>
      <c r="G796" s="0" t="n">
        <v>15</v>
      </c>
      <c r="H796" s="0" t="n">
        <f aca="false">_xlfn.xlookup(G796, years!A$2:A$836, years!B$2:B$836)</f>
        <v>2012</v>
      </c>
      <c r="I796" s="2" t="n">
        <v>78</v>
      </c>
      <c r="J796" s="0" t="n">
        <v>0.874</v>
      </c>
      <c r="K796" s="0" t="n">
        <v>0.692</v>
      </c>
      <c r="L796" s="3" t="str">
        <f aca="false">IF(K796&gt;0.66,"High",IF(K796&gt;0.33&amp;K796&lt;=0.66,"Medium","Low"))</f>
        <v>High</v>
      </c>
      <c r="M796" s="0" t="n">
        <v>-5.28</v>
      </c>
      <c r="N796" s="3" t="n">
        <v>0.0431</v>
      </c>
      <c r="O796" s="3" t="n">
        <v>0.0412</v>
      </c>
      <c r="P796" s="4" t="n">
        <v>7.24E-005</v>
      </c>
      <c r="Q796" s="3" t="n">
        <v>0.324</v>
      </c>
      <c r="R796" s="3" t="n">
        <v>0.937</v>
      </c>
      <c r="S796" s="3" t="str">
        <f aca="false">IF(R796 &gt;= 0.5, "Positive", "Negative")</f>
        <v>Positive</v>
      </c>
      <c r="T796" s="2" t="n">
        <v>116.017</v>
      </c>
      <c r="U796" s="0" t="s">
        <v>39</v>
      </c>
    </row>
    <row r="797" customFormat="false" ht="14.25" hidden="false" customHeight="false" outlineLevel="0" collapsed="false">
      <c r="A797" s="0" t="n">
        <v>138</v>
      </c>
      <c r="B797" s="0" t="str">
        <f aca="false">_xlfn.xlookup(A797, artists!A$2:A$836, artists!B$2:B$836)</f>
        <v>Trick Daddy</v>
      </c>
      <c r="C797" s="1" t="s">
        <v>837</v>
      </c>
      <c r="D797" s="2" t="n">
        <v>254400</v>
      </c>
      <c r="E797" s="2" t="n">
        <f aca="false">D797/1000</f>
        <v>254.4</v>
      </c>
      <c r="F797" s="10" t="b">
        <f aca="false">TRUE()</f>
        <v>1</v>
      </c>
      <c r="G797" s="0" t="n">
        <v>4</v>
      </c>
      <c r="H797" s="0" t="n">
        <f aca="false">_xlfn.xlookup(G797, years!A$2:A$836, years!B$2:B$836)</f>
        <v>2001</v>
      </c>
      <c r="I797" s="2" t="n">
        <v>59</v>
      </c>
      <c r="J797" s="0" t="n">
        <v>0.933</v>
      </c>
      <c r="K797" s="0" t="n">
        <v>0.561</v>
      </c>
      <c r="L797" s="3" t="str">
        <f aca="false">IF(K797&gt;0.66,"High",IF(K797&gt;0.33&amp;K797&lt;=0.66,"Medium","Low"))</f>
        <v>Low</v>
      </c>
      <c r="M797" s="0" t="n">
        <v>-5.961</v>
      </c>
      <c r="N797" s="3" t="n">
        <v>0.122</v>
      </c>
      <c r="O797" s="3" t="n">
        <v>0.0275</v>
      </c>
      <c r="P797" s="4" t="n">
        <v>0</v>
      </c>
      <c r="Q797" s="3" t="n">
        <v>0.102</v>
      </c>
      <c r="R797" s="3" t="n">
        <v>0.586</v>
      </c>
      <c r="S797" s="3" t="str">
        <f aca="false">IF(R797 &gt;= 0.5, "Positive", "Negative")</f>
        <v>Positive</v>
      </c>
      <c r="T797" s="2" t="n">
        <v>139.976</v>
      </c>
      <c r="U797" s="0" t="s">
        <v>24</v>
      </c>
    </row>
    <row r="798" customFormat="false" ht="14.25" hidden="false" customHeight="false" outlineLevel="0" collapsed="false">
      <c r="A798" s="0" t="n">
        <v>100</v>
      </c>
      <c r="B798" s="0" t="str">
        <f aca="false">_xlfn.xlookup(A798, artists!A$2:A$836, artists!B$2:B$836)</f>
        <v>Jennifer Lopez</v>
      </c>
      <c r="C798" s="1" t="s">
        <v>838</v>
      </c>
      <c r="D798" s="2" t="n">
        <v>172240</v>
      </c>
      <c r="E798" s="2" t="n">
        <f aca="false">D798/1000</f>
        <v>172.24</v>
      </c>
      <c r="F798" s="10" t="b">
        <f aca="false">FALSE()</f>
        <v>0</v>
      </c>
      <c r="G798" s="0" t="n">
        <v>5</v>
      </c>
      <c r="H798" s="0" t="n">
        <f aca="false">_xlfn.xlookup(G798, years!A$2:A$836, years!B$2:B$836)</f>
        <v>2002</v>
      </c>
      <c r="I798" s="2" t="n">
        <v>53</v>
      </c>
      <c r="J798" s="0" t="n">
        <v>0.718</v>
      </c>
      <c r="K798" s="0" t="n">
        <v>0.69</v>
      </c>
      <c r="L798" s="3" t="str">
        <f aca="false">IF(K798&gt;0.66,"High",IF(K798&gt;0.33&amp;K798&lt;=0.66,"Medium","Low"))</f>
        <v>High</v>
      </c>
      <c r="M798" s="0" t="n">
        <v>-4.382</v>
      </c>
      <c r="N798" s="3" t="n">
        <v>0.265</v>
      </c>
      <c r="O798" s="3" t="n">
        <v>0.106</v>
      </c>
      <c r="P798" s="4" t="n">
        <v>0</v>
      </c>
      <c r="Q798" s="3" t="n">
        <v>0.271</v>
      </c>
      <c r="R798" s="3" t="n">
        <v>0.774</v>
      </c>
      <c r="S798" s="3" t="str">
        <f aca="false">IF(R798 &gt;= 0.5, "Positive", "Negative")</f>
        <v>Positive</v>
      </c>
      <c r="T798" s="2" t="n">
        <v>93.401</v>
      </c>
      <c r="U798" s="0" t="s">
        <v>31</v>
      </c>
    </row>
    <row r="799" customFormat="false" ht="14.25" hidden="false" customHeight="false" outlineLevel="0" collapsed="false">
      <c r="A799" s="0" t="n">
        <v>652</v>
      </c>
      <c r="B799" s="0" t="str">
        <f aca="false">_xlfn.xlookup(A799, artists!A$2:A$836, artists!B$2:B$836)</f>
        <v>Fifth Harmony</v>
      </c>
      <c r="C799" s="1" t="s">
        <v>839</v>
      </c>
      <c r="D799" s="2" t="n">
        <v>210573</v>
      </c>
      <c r="E799" s="2" t="n">
        <f aca="false">D799/1000</f>
        <v>210.573</v>
      </c>
      <c r="F799" s="10" t="b">
        <f aca="false">FALSE()</f>
        <v>0</v>
      </c>
      <c r="G799" s="0" t="n">
        <v>19</v>
      </c>
      <c r="H799" s="0" t="n">
        <f aca="false">_xlfn.xlookup(G799, years!A$2:A$836, years!B$2:B$836)</f>
        <v>2016</v>
      </c>
      <c r="I799" s="2" t="n">
        <v>62</v>
      </c>
      <c r="J799" s="0" t="n">
        <v>0.689</v>
      </c>
      <c r="K799" s="0" t="n">
        <v>0.791</v>
      </c>
      <c r="L799" s="3" t="str">
        <f aca="false">IF(K799&gt;0.66,"High",IF(K799&gt;0.33&amp;K799&lt;=0.66,"Medium","Low"))</f>
        <v>High</v>
      </c>
      <c r="M799" s="0" t="n">
        <v>-5.194</v>
      </c>
      <c r="N799" s="3" t="n">
        <v>0.053</v>
      </c>
      <c r="O799" s="3" t="n">
        <v>0.023</v>
      </c>
      <c r="P799" s="4" t="n">
        <v>0</v>
      </c>
      <c r="Q799" s="3" t="n">
        <v>0.0526</v>
      </c>
      <c r="R799" s="3" t="n">
        <v>0.755</v>
      </c>
      <c r="S799" s="3" t="str">
        <f aca="false">IF(R799 &gt;= 0.5, "Positive", "Negative")</f>
        <v>Positive</v>
      </c>
      <c r="T799" s="2" t="n">
        <v>95.04</v>
      </c>
      <c r="U799" s="0" t="s">
        <v>39</v>
      </c>
    </row>
    <row r="800" customFormat="false" ht="14.25" hidden="false" customHeight="false" outlineLevel="0" collapsed="false">
      <c r="A800" s="0" t="n">
        <v>83</v>
      </c>
      <c r="B800" s="0" t="str">
        <f aca="false">_xlfn.xlookup(A800, artists!A$2:A$836, artists!B$2:B$836)</f>
        <v>Nelly Furtado</v>
      </c>
      <c r="C800" s="1" t="s">
        <v>840</v>
      </c>
      <c r="D800" s="2" t="n">
        <v>243160</v>
      </c>
      <c r="E800" s="2" t="n">
        <f aca="false">D800/1000</f>
        <v>243.16</v>
      </c>
      <c r="F800" s="10" t="b">
        <f aca="false">FALSE()</f>
        <v>0</v>
      </c>
      <c r="G800" s="0" t="n">
        <v>3</v>
      </c>
      <c r="H800" s="0" t="n">
        <f aca="false">_xlfn.xlookup(G800, years!A$2:A$836, years!B$2:B$836)</f>
        <v>2000</v>
      </c>
      <c r="I800" s="2" t="n">
        <v>1</v>
      </c>
      <c r="J800" s="0" t="n">
        <v>0.622</v>
      </c>
      <c r="K800" s="0" t="n">
        <v>0.608</v>
      </c>
      <c r="L800" s="3" t="str">
        <f aca="false">IF(K800&gt;0.66,"High",IF(K800&gt;0.33&amp;K800&lt;=0.66,"Medium","Low"))</f>
        <v>Low</v>
      </c>
      <c r="M800" s="0" t="n">
        <v>-5.085</v>
      </c>
      <c r="N800" s="3" t="n">
        <v>0.036</v>
      </c>
      <c r="O800" s="3" t="n">
        <v>0.138</v>
      </c>
      <c r="P800" s="4" t="n">
        <v>5.38E-006</v>
      </c>
      <c r="Q800" s="3" t="n">
        <v>0.273</v>
      </c>
      <c r="R800" s="3" t="n">
        <v>0.607</v>
      </c>
      <c r="S800" s="3" t="str">
        <f aca="false">IF(R800 &gt;= 0.5, "Positive", "Negative")</f>
        <v>Positive</v>
      </c>
      <c r="T800" s="2" t="n">
        <v>89.661</v>
      </c>
      <c r="U800" s="0" t="s">
        <v>483</v>
      </c>
    </row>
    <row r="801" customFormat="false" ht="14.25" hidden="false" customHeight="false" outlineLevel="0" collapsed="false">
      <c r="A801" s="0" t="n">
        <v>310</v>
      </c>
      <c r="B801" s="0" t="str">
        <f aca="false">_xlfn.xlookup(A801, artists!A$2:A$836, artists!B$2:B$836)</f>
        <v>T-Pain</v>
      </c>
      <c r="C801" s="1" t="s">
        <v>841</v>
      </c>
      <c r="D801" s="2" t="n">
        <v>265333</v>
      </c>
      <c r="E801" s="2" t="n">
        <f aca="false">D801/1000</f>
        <v>265.333</v>
      </c>
      <c r="F801" s="10" t="b">
        <f aca="false">TRUE()</f>
        <v>1</v>
      </c>
      <c r="G801" s="0" t="n">
        <v>8</v>
      </c>
      <c r="H801" s="0" t="n">
        <f aca="false">_xlfn.xlookup(G801, years!A$2:A$836, years!B$2:B$836)</f>
        <v>2005</v>
      </c>
      <c r="I801" s="2" t="n">
        <v>0</v>
      </c>
      <c r="J801" s="0" t="n">
        <v>0.731</v>
      </c>
      <c r="K801" s="0" t="n">
        <v>0.368</v>
      </c>
      <c r="L801" s="3" t="str">
        <f aca="false">IF(K801&gt;0.66,"High",IF(K801&gt;0.33&amp;K801&lt;=0.66,"Medium","Low"))</f>
        <v>Low</v>
      </c>
      <c r="M801" s="0" t="n">
        <v>-10.38</v>
      </c>
      <c r="N801" s="3" t="n">
        <v>0.0688</v>
      </c>
      <c r="O801" s="3" t="n">
        <v>0.00544</v>
      </c>
      <c r="P801" s="4" t="n">
        <v>0</v>
      </c>
      <c r="Q801" s="3" t="n">
        <v>0.193</v>
      </c>
      <c r="R801" s="3" t="n">
        <v>0.512</v>
      </c>
      <c r="S801" s="3" t="str">
        <f aca="false">IF(R801 &gt;= 0.5, "Positive", "Negative")</f>
        <v>Positive</v>
      </c>
      <c r="T801" s="2" t="n">
        <v>145.171</v>
      </c>
      <c r="U801" s="0" t="s">
        <v>31</v>
      </c>
    </row>
    <row r="802" customFormat="false" ht="14.25" hidden="false" customHeight="false" outlineLevel="0" collapsed="false">
      <c r="A802" s="0" t="n">
        <v>1</v>
      </c>
      <c r="B802" s="0" t="str">
        <f aca="false">_xlfn.xlookup(A802, artists!A$2:A$836, artists!B$2:B$836)</f>
        <v>Britney Spears</v>
      </c>
      <c r="C802" s="1" t="s">
        <v>842</v>
      </c>
      <c r="D802" s="2" t="n">
        <v>231066</v>
      </c>
      <c r="E802" s="2" t="n">
        <f aca="false">D802/1000</f>
        <v>231.066</v>
      </c>
      <c r="F802" s="10" t="b">
        <f aca="false">FALSE()</f>
        <v>0</v>
      </c>
      <c r="G802" s="0" t="n">
        <v>4</v>
      </c>
      <c r="H802" s="0" t="n">
        <f aca="false">_xlfn.xlookup(G802, years!A$2:A$836, years!B$2:B$836)</f>
        <v>2001</v>
      </c>
      <c r="I802" s="2" t="n">
        <v>58</v>
      </c>
      <c r="J802" s="0" t="n">
        <v>0.534</v>
      </c>
      <c r="K802" s="0" t="n">
        <v>0.543</v>
      </c>
      <c r="L802" s="3" t="str">
        <f aca="false">IF(K802&gt;0.66,"High",IF(K802&gt;0.33&amp;K802&lt;=0.66,"Medium","Low"))</f>
        <v>Low</v>
      </c>
      <c r="M802" s="0" t="n">
        <v>-6.857</v>
      </c>
      <c r="N802" s="3" t="n">
        <v>0.0245</v>
      </c>
      <c r="O802" s="3" t="n">
        <v>0.579</v>
      </c>
      <c r="P802" s="4" t="n">
        <v>0</v>
      </c>
      <c r="Q802" s="3" t="n">
        <v>0.112</v>
      </c>
      <c r="R802" s="3" t="n">
        <v>0.418</v>
      </c>
      <c r="S802" s="3" t="str">
        <f aca="false">IF(R802 &gt;= 0.5, "Positive", "Negative")</f>
        <v>Negative</v>
      </c>
      <c r="T802" s="2" t="n">
        <v>78.996</v>
      </c>
      <c r="U802" s="0" t="s">
        <v>39</v>
      </c>
    </row>
    <row r="803" customFormat="false" ht="14.25" hidden="false" customHeight="false" outlineLevel="0" collapsed="false">
      <c r="A803" s="0" t="n">
        <v>372</v>
      </c>
      <c r="B803" s="0" t="str">
        <f aca="false">_xlfn.xlookup(A803, artists!A$2:A$836, artists!B$2:B$836)</f>
        <v>Calvin Harris</v>
      </c>
      <c r="C803" s="1" t="s">
        <v>843</v>
      </c>
      <c r="D803" s="2" t="n">
        <v>210973</v>
      </c>
      <c r="E803" s="2" t="n">
        <f aca="false">D803/1000</f>
        <v>210.973</v>
      </c>
      <c r="F803" s="10" t="b">
        <f aca="false">FALSE()</f>
        <v>0</v>
      </c>
      <c r="G803" s="0" t="n">
        <v>12</v>
      </c>
      <c r="H803" s="0" t="n">
        <f aca="false">_xlfn.xlookup(G803, years!A$2:A$836, years!B$2:B$836)</f>
        <v>2009</v>
      </c>
      <c r="I803" s="2" t="n">
        <v>55</v>
      </c>
      <c r="J803" s="0" t="n">
        <v>0.597</v>
      </c>
      <c r="K803" s="0" t="n">
        <v>0.684</v>
      </c>
      <c r="L803" s="3" t="str">
        <f aca="false">IF(K803&gt;0.66,"High",IF(K803&gt;0.33&amp;K803&lt;=0.66,"Medium","Low"))</f>
        <v>High</v>
      </c>
      <c r="M803" s="0" t="n">
        <v>-6.614</v>
      </c>
      <c r="N803" s="3" t="n">
        <v>0.0321</v>
      </c>
      <c r="O803" s="3" t="n">
        <v>0.00481</v>
      </c>
      <c r="P803" s="4" t="n">
        <v>0.105</v>
      </c>
      <c r="Q803" s="3" t="n">
        <v>0.317</v>
      </c>
      <c r="R803" s="3" t="n">
        <v>0.435</v>
      </c>
      <c r="S803" s="3" t="str">
        <f aca="false">IF(R803 &gt;= 0.5, "Positive", "Negative")</f>
        <v>Negative</v>
      </c>
      <c r="T803" s="2" t="n">
        <v>130.99</v>
      </c>
      <c r="U803" s="0" t="s">
        <v>53</v>
      </c>
    </row>
    <row r="804" customFormat="false" ht="14.25" hidden="false" customHeight="false" outlineLevel="0" collapsed="false">
      <c r="A804" s="0" t="n">
        <v>490</v>
      </c>
      <c r="B804" s="0" t="str">
        <f aca="false">_xlfn.xlookup(A804, artists!A$2:A$836, artists!B$2:B$836)</f>
        <v>DJ Khaled</v>
      </c>
      <c r="C804" s="1" t="s">
        <v>844</v>
      </c>
      <c r="D804" s="2" t="n">
        <v>296146</v>
      </c>
      <c r="E804" s="2" t="n">
        <f aca="false">D804/1000</f>
        <v>296.146</v>
      </c>
      <c r="F804" s="10" t="b">
        <f aca="false">TRUE()</f>
        <v>1</v>
      </c>
      <c r="G804" s="0" t="n">
        <v>14</v>
      </c>
      <c r="H804" s="0" t="n">
        <f aca="false">_xlfn.xlookup(G804, years!A$2:A$836, years!B$2:B$836)</f>
        <v>2011</v>
      </c>
      <c r="I804" s="2" t="n">
        <v>70</v>
      </c>
      <c r="J804" s="0" t="n">
        <v>0.413</v>
      </c>
      <c r="K804" s="0" t="n">
        <v>0.807</v>
      </c>
      <c r="L804" s="3" t="str">
        <f aca="false">IF(K804&gt;0.66,"High",IF(K804&gt;0.33&amp;K804&lt;=0.66,"Medium","Low"))</f>
        <v>High</v>
      </c>
      <c r="M804" s="0" t="n">
        <v>-3.499</v>
      </c>
      <c r="N804" s="3" t="n">
        <v>0.318</v>
      </c>
      <c r="O804" s="3" t="n">
        <v>0.0536</v>
      </c>
      <c r="P804" s="4" t="n">
        <v>0</v>
      </c>
      <c r="Q804" s="3" t="n">
        <v>0.631</v>
      </c>
      <c r="R804" s="3" t="n">
        <v>0.438</v>
      </c>
      <c r="S804" s="3" t="str">
        <f aca="false">IF(R804 &gt;= 0.5, "Positive", "Negative")</f>
        <v>Negative</v>
      </c>
      <c r="T804" s="2" t="n">
        <v>149.33</v>
      </c>
      <c r="U804" s="0" t="s">
        <v>24</v>
      </c>
    </row>
    <row r="805" customFormat="false" ht="14.25" hidden="false" customHeight="false" outlineLevel="0" collapsed="false">
      <c r="A805" s="0" t="n">
        <v>17</v>
      </c>
      <c r="B805" s="0" t="str">
        <f aca="false">_xlfn.xlookup(A805, artists!A$2:A$836, artists!B$2:B$836)</f>
        <v>Anastacia</v>
      </c>
      <c r="C805" s="1" t="s">
        <v>845</v>
      </c>
      <c r="D805" s="2" t="n">
        <v>245400</v>
      </c>
      <c r="E805" s="2" t="n">
        <f aca="false">D805/1000</f>
        <v>245.4</v>
      </c>
      <c r="F805" s="10" t="b">
        <f aca="false">FALSE()</f>
        <v>0</v>
      </c>
      <c r="G805" s="0" t="n">
        <v>2</v>
      </c>
      <c r="H805" s="0" t="n">
        <f aca="false">_xlfn.xlookup(G805, years!A$2:A$836, years!B$2:B$836)</f>
        <v>1999</v>
      </c>
      <c r="I805" s="2" t="n">
        <v>64</v>
      </c>
      <c r="J805" s="0" t="n">
        <v>0.761</v>
      </c>
      <c r="K805" s="0" t="n">
        <v>0.716</v>
      </c>
      <c r="L805" s="3" t="str">
        <f aca="false">IF(K805&gt;0.66,"High",IF(K805&gt;0.33&amp;K805&lt;=0.66,"Medium","Low"))</f>
        <v>High</v>
      </c>
      <c r="M805" s="0" t="n">
        <v>-5.8</v>
      </c>
      <c r="N805" s="3" t="n">
        <v>0.056</v>
      </c>
      <c r="O805" s="3" t="n">
        <v>0.396</v>
      </c>
      <c r="P805" s="4" t="n">
        <v>0</v>
      </c>
      <c r="Q805" s="3" t="n">
        <v>0.0771</v>
      </c>
      <c r="R805" s="3" t="n">
        <v>0.649</v>
      </c>
      <c r="S805" s="3" t="str">
        <f aca="false">IF(R805 &gt;= 0.5, "Positive", "Negative")</f>
        <v>Positive</v>
      </c>
      <c r="T805" s="2" t="n">
        <v>119.41</v>
      </c>
      <c r="U805" s="0" t="s">
        <v>39</v>
      </c>
    </row>
    <row r="806" customFormat="false" ht="14.25" hidden="false" customHeight="false" outlineLevel="0" collapsed="false">
      <c r="A806" s="0" t="n">
        <v>100</v>
      </c>
      <c r="B806" s="0" t="str">
        <f aca="false">_xlfn.xlookup(A806, artists!A$2:A$836, artists!B$2:B$836)</f>
        <v>Jennifer Lopez</v>
      </c>
      <c r="C806" s="1" t="s">
        <v>846</v>
      </c>
      <c r="D806" s="2" t="n">
        <v>262133</v>
      </c>
      <c r="E806" s="2" t="n">
        <f aca="false">D806/1000</f>
        <v>262.133</v>
      </c>
      <c r="F806" s="10" t="b">
        <f aca="false">TRUE()</f>
        <v>1</v>
      </c>
      <c r="G806" s="0" t="n">
        <v>4</v>
      </c>
      <c r="H806" s="0" t="n">
        <f aca="false">_xlfn.xlookup(G806, years!A$2:A$836, years!B$2:B$836)</f>
        <v>2001</v>
      </c>
      <c r="I806" s="2" t="n">
        <v>66</v>
      </c>
      <c r="J806" s="0" t="n">
        <v>0.708</v>
      </c>
      <c r="K806" s="0" t="n">
        <v>0.587</v>
      </c>
      <c r="L806" s="3" t="str">
        <f aca="false">IF(K806&gt;0.66,"High",IF(K806&gt;0.33&amp;K806&lt;=0.66,"Medium","Low"))</f>
        <v>Low</v>
      </c>
      <c r="M806" s="0" t="n">
        <v>-7.93</v>
      </c>
      <c r="N806" s="3" t="n">
        <v>0.151</v>
      </c>
      <c r="O806" s="3" t="n">
        <v>0.273</v>
      </c>
      <c r="P806" s="4" t="n">
        <v>0</v>
      </c>
      <c r="Q806" s="3" t="n">
        <v>0.0718</v>
      </c>
      <c r="R806" s="3" t="n">
        <v>0.554</v>
      </c>
      <c r="S806" s="3" t="str">
        <f aca="false">IF(R806 &gt;= 0.5, "Positive", "Negative")</f>
        <v>Positive</v>
      </c>
      <c r="T806" s="2" t="n">
        <v>83.46</v>
      </c>
      <c r="U806" s="0" t="s">
        <v>31</v>
      </c>
    </row>
    <row r="807" customFormat="false" ht="14.25" hidden="false" customHeight="false" outlineLevel="0" collapsed="false">
      <c r="A807" s="0" t="n">
        <v>791</v>
      </c>
      <c r="B807" s="0" t="str">
        <f aca="false">_xlfn.xlookup(A807, artists!A$2:A$836, artists!B$2:B$836)</f>
        <v>Lauv</v>
      </c>
      <c r="C807" s="1" t="s">
        <v>847</v>
      </c>
      <c r="D807" s="2" t="n">
        <v>162582</v>
      </c>
      <c r="E807" s="2" t="n">
        <f aca="false">D807/1000</f>
        <v>162.582</v>
      </c>
      <c r="F807" s="10" t="b">
        <f aca="false">FALSE()</f>
        <v>0</v>
      </c>
      <c r="G807" s="0" t="n">
        <v>22</v>
      </c>
      <c r="H807" s="0" t="n">
        <f aca="false">_xlfn.xlookup(G807, years!A$2:A$836, years!B$2:B$836)</f>
        <v>2019</v>
      </c>
      <c r="I807" s="2" t="n">
        <v>2</v>
      </c>
      <c r="J807" s="0" t="n">
        <v>0.599</v>
      </c>
      <c r="K807" s="0" t="n">
        <v>0.733</v>
      </c>
      <c r="L807" s="3" t="str">
        <f aca="false">IF(K807&gt;0.66,"High",IF(K807&gt;0.33&amp;K807&lt;=0.66,"Medium","Low"))</f>
        <v>High</v>
      </c>
      <c r="M807" s="0" t="n">
        <v>-7.058</v>
      </c>
      <c r="N807" s="3" t="n">
        <v>0.203</v>
      </c>
      <c r="O807" s="3" t="n">
        <v>0.176</v>
      </c>
      <c r="P807" s="4" t="n">
        <v>0</v>
      </c>
      <c r="Q807" s="3" t="n">
        <v>0.242</v>
      </c>
      <c r="R807" s="3" t="n">
        <v>0.534</v>
      </c>
      <c r="S807" s="3" t="str">
        <f aca="false">IF(R807 &gt;= 0.5, "Positive", "Negative")</f>
        <v>Positive</v>
      </c>
      <c r="T807" s="2" t="n">
        <v>102.211</v>
      </c>
      <c r="U807" s="0" t="s">
        <v>22</v>
      </c>
    </row>
    <row r="808" customFormat="false" ht="14.25" hidden="false" customHeight="false" outlineLevel="0" collapsed="false">
      <c r="A808" s="0" t="n">
        <v>310</v>
      </c>
      <c r="B808" s="0" t="str">
        <f aca="false">_xlfn.xlookup(A808, artists!A$2:A$836, artists!B$2:B$836)</f>
        <v>T-Pain</v>
      </c>
      <c r="C808" s="1" t="s">
        <v>848</v>
      </c>
      <c r="D808" s="2" t="n">
        <v>231040</v>
      </c>
      <c r="E808" s="2" t="n">
        <f aca="false">D808/1000</f>
        <v>231.04</v>
      </c>
      <c r="F808" s="10" t="b">
        <f aca="false">FALSE()</f>
        <v>0</v>
      </c>
      <c r="G808" s="0" t="n">
        <v>8</v>
      </c>
      <c r="H808" s="0" t="n">
        <f aca="false">_xlfn.xlookup(G808, years!A$2:A$836, years!B$2:B$836)</f>
        <v>2005</v>
      </c>
      <c r="I808" s="2" t="n">
        <v>0</v>
      </c>
      <c r="J808" s="0" t="n">
        <v>0.722</v>
      </c>
      <c r="K808" s="0" t="n">
        <v>0.329</v>
      </c>
      <c r="L808" s="3" t="str">
        <f aca="false">IF(K808&gt;0.66,"High",IF(K808&gt;0.33&amp;K808&lt;=0.66,"Medium","Low"))</f>
        <v>Low</v>
      </c>
      <c r="M808" s="0" t="n">
        <v>-11.617</v>
      </c>
      <c r="N808" s="3" t="n">
        <v>0.108</v>
      </c>
      <c r="O808" s="3" t="n">
        <v>0.088</v>
      </c>
      <c r="P808" s="4" t="n">
        <v>0</v>
      </c>
      <c r="Q808" s="3" t="n">
        <v>0.081</v>
      </c>
      <c r="R808" s="3" t="n">
        <v>0.166</v>
      </c>
      <c r="S808" s="3" t="str">
        <f aca="false">IF(R808 &gt;= 0.5, "Positive", "Negative")</f>
        <v>Negative</v>
      </c>
      <c r="T808" s="2" t="n">
        <v>99.991</v>
      </c>
      <c r="U808" s="0" t="s">
        <v>31</v>
      </c>
    </row>
    <row r="809" customFormat="false" ht="14.25" hidden="false" customHeight="false" outlineLevel="0" collapsed="false">
      <c r="A809" s="0" t="n">
        <v>169</v>
      </c>
      <c r="B809" s="0" t="str">
        <f aca="false">_xlfn.xlookup(A809, artists!A$2:A$836, artists!B$2:B$836)</f>
        <v>Sean Paul</v>
      </c>
      <c r="C809" s="1" t="s">
        <v>849</v>
      </c>
      <c r="D809" s="2" t="n">
        <v>273360</v>
      </c>
      <c r="E809" s="2" t="n">
        <f aca="false">D809/1000</f>
        <v>273.36</v>
      </c>
      <c r="F809" s="10" t="b">
        <f aca="false">FALSE()</f>
        <v>0</v>
      </c>
      <c r="G809" s="0" t="n">
        <v>5</v>
      </c>
      <c r="H809" s="0" t="n">
        <f aca="false">_xlfn.xlookup(G809, years!A$2:A$836, years!B$2:B$836)</f>
        <v>2002</v>
      </c>
      <c r="I809" s="2" t="n">
        <v>68</v>
      </c>
      <c r="J809" s="0" t="n">
        <v>0.765</v>
      </c>
      <c r="K809" s="0" t="n">
        <v>0.666</v>
      </c>
      <c r="L809" s="3" t="str">
        <f aca="false">IF(K809&gt;0.66,"High",IF(K809&gt;0.33&amp;K809&lt;=0.66,"Medium","Low"))</f>
        <v>High</v>
      </c>
      <c r="M809" s="0" t="n">
        <v>-5.384</v>
      </c>
      <c r="N809" s="3" t="n">
        <v>0.172</v>
      </c>
      <c r="O809" s="3" t="n">
        <v>0.102</v>
      </c>
      <c r="P809" s="4" t="n">
        <v>0</v>
      </c>
      <c r="Q809" s="3" t="n">
        <v>0.116</v>
      </c>
      <c r="R809" s="3" t="n">
        <v>0.756</v>
      </c>
      <c r="S809" s="3" t="str">
        <f aca="false">IF(R809 &gt;= 0.5, "Positive", "Negative")</f>
        <v>Positive</v>
      </c>
      <c r="T809" s="2" t="n">
        <v>87.002</v>
      </c>
      <c r="U809" s="0" t="s">
        <v>24</v>
      </c>
    </row>
    <row r="810" customFormat="false" ht="14.25" hidden="false" customHeight="false" outlineLevel="0" collapsed="false">
      <c r="A810" s="0" t="n">
        <v>455</v>
      </c>
      <c r="B810" s="0" t="str">
        <f aca="false">_xlfn.xlookup(A810, artists!A$2:A$836, artists!B$2:B$836)</f>
        <v>Drake</v>
      </c>
      <c r="C810" s="1" t="s">
        <v>850</v>
      </c>
      <c r="D810" s="2" t="n">
        <v>214466</v>
      </c>
      <c r="E810" s="2" t="n">
        <f aca="false">D810/1000</f>
        <v>214.466</v>
      </c>
      <c r="F810" s="10" t="b">
        <f aca="false">TRUE()</f>
        <v>1</v>
      </c>
      <c r="G810" s="0" t="n">
        <v>21</v>
      </c>
      <c r="H810" s="0" t="n">
        <f aca="false">_xlfn.xlookup(G810, years!A$2:A$836, years!B$2:B$836)</f>
        <v>2018</v>
      </c>
      <c r="I810" s="2" t="n">
        <v>68</v>
      </c>
      <c r="J810" s="0" t="n">
        <v>0.899</v>
      </c>
      <c r="K810" s="0" t="n">
        <v>0.586</v>
      </c>
      <c r="L810" s="3" t="str">
        <f aca="false">IF(K810&gt;0.66,"High",IF(K810&gt;0.33&amp;K810&lt;=0.66,"Medium","Low"))</f>
        <v>Low</v>
      </c>
      <c r="M810" s="0" t="n">
        <v>-7.866</v>
      </c>
      <c r="N810" s="3" t="n">
        <v>0.343</v>
      </c>
      <c r="O810" s="3" t="n">
        <v>0.279</v>
      </c>
      <c r="P810" s="4" t="n">
        <v>0</v>
      </c>
      <c r="Q810" s="3" t="n">
        <v>0.0836</v>
      </c>
      <c r="R810" s="3" t="n">
        <v>0.492</v>
      </c>
      <c r="S810" s="3" t="str">
        <f aca="false">IF(R810 &gt;= 0.5, "Positive", "Negative")</f>
        <v>Negative</v>
      </c>
      <c r="T810" s="2" t="n">
        <v>150.002</v>
      </c>
      <c r="U810" s="0" t="s">
        <v>31</v>
      </c>
    </row>
    <row r="811" customFormat="false" ht="14.25" hidden="false" customHeight="false" outlineLevel="0" collapsed="false">
      <c r="A811" s="0" t="n">
        <v>146</v>
      </c>
      <c r="B811" s="0" t="str">
        <f aca="false">_xlfn.xlookup(A811, artists!A$2:A$836, artists!B$2:B$836)</f>
        <v>Avril Lavigne</v>
      </c>
      <c r="C811" s="1" t="s">
        <v>851</v>
      </c>
      <c r="D811" s="2" t="n">
        <v>223066</v>
      </c>
      <c r="E811" s="2" t="n">
        <f aca="false">D811/1000</f>
        <v>223.066</v>
      </c>
      <c r="F811" s="10" t="b">
        <f aca="false">FALSE()</f>
        <v>0</v>
      </c>
      <c r="G811" s="0" t="n">
        <v>5</v>
      </c>
      <c r="H811" s="0" t="n">
        <f aca="false">_xlfn.xlookup(G811, years!A$2:A$836, years!B$2:B$836)</f>
        <v>2002</v>
      </c>
      <c r="I811" s="2" t="n">
        <v>70</v>
      </c>
      <c r="J811" s="0" t="n">
        <v>0.457</v>
      </c>
      <c r="K811" s="0" t="n">
        <v>0.406</v>
      </c>
      <c r="L811" s="3" t="str">
        <f aca="false">IF(K811&gt;0.66,"High",IF(K811&gt;0.33&amp;K811&lt;=0.66,"Medium","Low"))</f>
        <v>Low</v>
      </c>
      <c r="M811" s="0" t="n">
        <v>-7.462</v>
      </c>
      <c r="N811" s="3" t="n">
        <v>0.0291</v>
      </c>
      <c r="O811" s="3" t="n">
        <v>0.08</v>
      </c>
      <c r="P811" s="4" t="n">
        <v>0</v>
      </c>
      <c r="Q811" s="3" t="n">
        <v>0.117</v>
      </c>
      <c r="R811" s="3" t="n">
        <v>0.208</v>
      </c>
      <c r="S811" s="3" t="str">
        <f aca="false">IF(R811 &gt;= 0.5, "Positive", "Negative")</f>
        <v>Negative</v>
      </c>
      <c r="T811" s="2" t="n">
        <v>151.95</v>
      </c>
      <c r="U811" s="0" t="s">
        <v>39</v>
      </c>
    </row>
    <row r="812" customFormat="false" ht="14.25" hidden="false" customHeight="false" outlineLevel="0" collapsed="false">
      <c r="A812" s="0" t="n">
        <v>194</v>
      </c>
      <c r="B812" s="0" t="str">
        <f aca="false">_xlfn.xlookup(A812, artists!A$2:A$836, artists!B$2:B$836)</f>
        <v>Black Eyed Peas</v>
      </c>
      <c r="C812" s="1" t="s">
        <v>852</v>
      </c>
      <c r="D812" s="2" t="n">
        <v>257560</v>
      </c>
      <c r="E812" s="2" t="n">
        <f aca="false">D812/1000</f>
        <v>257.56</v>
      </c>
      <c r="F812" s="10" t="b">
        <f aca="false">FALSE()</f>
        <v>0</v>
      </c>
      <c r="G812" s="0" t="n">
        <v>12</v>
      </c>
      <c r="H812" s="0" t="n">
        <f aca="false">_xlfn.xlookup(G812, years!A$2:A$836, years!B$2:B$836)</f>
        <v>2009</v>
      </c>
      <c r="I812" s="2" t="n">
        <v>61</v>
      </c>
      <c r="J812" s="0" t="n">
        <v>0.597</v>
      </c>
      <c r="K812" s="0" t="n">
        <v>0.517</v>
      </c>
      <c r="L812" s="3" t="str">
        <f aca="false">IF(K812&gt;0.66,"High",IF(K812&gt;0.33&amp;K812&lt;=0.66,"Medium","Low"))</f>
        <v>Low</v>
      </c>
      <c r="M812" s="0" t="n">
        <v>-6.963</v>
      </c>
      <c r="N812" s="3" t="n">
        <v>0.365</v>
      </c>
      <c r="O812" s="3" t="n">
        <v>0.179</v>
      </c>
      <c r="P812" s="4" t="n">
        <v>0</v>
      </c>
      <c r="Q812" s="3" t="n">
        <v>0.307</v>
      </c>
      <c r="R812" s="3" t="n">
        <v>0.412</v>
      </c>
      <c r="S812" s="3" t="str">
        <f aca="false">IF(R812 &gt;= 0.5, "Positive", "Negative")</f>
        <v>Negative</v>
      </c>
      <c r="T812" s="2" t="n">
        <v>92.035</v>
      </c>
      <c r="U812" s="0" t="s">
        <v>24</v>
      </c>
    </row>
    <row r="813" customFormat="false" ht="14.25" hidden="false" customHeight="false" outlineLevel="0" collapsed="false">
      <c r="A813" s="0" t="n">
        <v>493</v>
      </c>
      <c r="B813" s="0" t="str">
        <f aca="false">_xlfn.xlookup(A813, artists!A$2:A$836, artists!B$2:B$836)</f>
        <v>Shontelle</v>
      </c>
      <c r="C813" s="1" t="s">
        <v>853</v>
      </c>
      <c r="D813" s="2" t="n">
        <v>226533</v>
      </c>
      <c r="E813" s="2" t="n">
        <f aca="false">D813/1000</f>
        <v>226.533</v>
      </c>
      <c r="F813" s="10" t="b">
        <f aca="false">FALSE()</f>
        <v>0</v>
      </c>
      <c r="G813" s="0" t="n">
        <v>13</v>
      </c>
      <c r="H813" s="0" t="n">
        <f aca="false">_xlfn.xlookup(G813, years!A$2:A$836, years!B$2:B$836)</f>
        <v>2010</v>
      </c>
      <c r="I813" s="2" t="n">
        <v>35</v>
      </c>
      <c r="J813" s="0" t="n">
        <v>0.599</v>
      </c>
      <c r="K813" s="0" t="n">
        <v>0.624</v>
      </c>
      <c r="L813" s="3" t="str">
        <f aca="false">IF(K813&gt;0.66,"High",IF(K813&gt;0.33&amp;K813&lt;=0.66,"Medium","Low"))</f>
        <v>Low</v>
      </c>
      <c r="M813" s="0" t="n">
        <v>-3.631</v>
      </c>
      <c r="N813" s="3" t="n">
        <v>0.0343</v>
      </c>
      <c r="O813" s="3" t="n">
        <v>0.385</v>
      </c>
      <c r="P813" s="4" t="n">
        <v>0</v>
      </c>
      <c r="Q813" s="3" t="n">
        <v>0.125</v>
      </c>
      <c r="R813" s="3" t="n">
        <v>0.539</v>
      </c>
      <c r="S813" s="3" t="str">
        <f aca="false">IF(R813 &gt;= 0.5, "Positive", "Negative")</f>
        <v>Positive</v>
      </c>
      <c r="T813" s="2" t="n">
        <v>90.034</v>
      </c>
      <c r="U813" s="0" t="s">
        <v>33</v>
      </c>
    </row>
    <row r="814" customFormat="false" ht="14.25" hidden="false" customHeight="false" outlineLevel="0" collapsed="false">
      <c r="A814" s="0" t="n">
        <v>546</v>
      </c>
      <c r="B814" s="0" t="str">
        <f aca="false">_xlfn.xlookup(A814, artists!A$2:A$836, artists!B$2:B$836)</f>
        <v>James Arthur</v>
      </c>
      <c r="C814" s="1" t="s">
        <v>853</v>
      </c>
      <c r="D814" s="2" t="n">
        <v>209440</v>
      </c>
      <c r="E814" s="2" t="n">
        <f aca="false">D814/1000</f>
        <v>209.44</v>
      </c>
      <c r="F814" s="10" t="b">
        <f aca="false">FALSE()</f>
        <v>0</v>
      </c>
      <c r="G814" s="0" t="n">
        <v>16</v>
      </c>
      <c r="H814" s="0" t="n">
        <f aca="false">_xlfn.xlookup(G814, years!A$2:A$836, years!B$2:B$836)</f>
        <v>2013</v>
      </c>
      <c r="I814" s="2" t="n">
        <v>75</v>
      </c>
      <c r="J814" s="0" t="n">
        <v>0.376</v>
      </c>
      <c r="K814" s="0" t="n">
        <v>0.695</v>
      </c>
      <c r="L814" s="3" t="str">
        <f aca="false">IF(K814&gt;0.66,"High",IF(K814&gt;0.33&amp;K814&lt;=0.66,"Medium","Low"))</f>
        <v>High</v>
      </c>
      <c r="M814" s="0" t="n">
        <v>-4.782</v>
      </c>
      <c r="N814" s="3" t="n">
        <v>0.0933</v>
      </c>
      <c r="O814" s="3" t="n">
        <v>0.135</v>
      </c>
      <c r="P814" s="4" t="n">
        <v>0</v>
      </c>
      <c r="Q814" s="3" t="n">
        <v>0.11</v>
      </c>
      <c r="R814" s="3" t="n">
        <v>0.302</v>
      </c>
      <c r="S814" s="3" t="str">
        <f aca="false">IF(R814 &gt;= 0.5, "Positive", "Negative")</f>
        <v>Negative</v>
      </c>
      <c r="T814" s="2" t="n">
        <v>169.533</v>
      </c>
      <c r="U814" s="0" t="s">
        <v>39</v>
      </c>
    </row>
    <row r="815" customFormat="false" ht="14.25" hidden="false" customHeight="false" outlineLevel="0" collapsed="false">
      <c r="A815" s="0" t="n">
        <v>191</v>
      </c>
      <c r="B815" s="0" t="str">
        <f aca="false">_xlfn.xlookup(A815, artists!A$2:A$836, artists!B$2:B$836)</f>
        <v>50 Cent</v>
      </c>
      <c r="C815" s="1" t="s">
        <v>854</v>
      </c>
      <c r="D815" s="2" t="n">
        <v>193466</v>
      </c>
      <c r="E815" s="2" t="n">
        <f aca="false">D815/1000</f>
        <v>193.466</v>
      </c>
      <c r="F815" s="10" t="b">
        <f aca="false">TRUE()</f>
        <v>1</v>
      </c>
      <c r="G815" s="0" t="n">
        <v>6</v>
      </c>
      <c r="H815" s="0" t="n">
        <f aca="false">_xlfn.xlookup(G815, years!A$2:A$836, years!B$2:B$836)</f>
        <v>2003</v>
      </c>
      <c r="I815" s="2" t="n">
        <v>81</v>
      </c>
      <c r="J815" s="0" t="n">
        <v>0.899</v>
      </c>
      <c r="K815" s="0" t="n">
        <v>0.713</v>
      </c>
      <c r="L815" s="3" t="str">
        <f aca="false">IF(K815&gt;0.66,"High",IF(K815&gt;0.33&amp;K815&lt;=0.66,"Medium","Low"))</f>
        <v>High</v>
      </c>
      <c r="M815" s="0" t="n">
        <v>-2.752</v>
      </c>
      <c r="N815" s="3" t="n">
        <v>0.366</v>
      </c>
      <c r="O815" s="3" t="n">
        <v>0.255</v>
      </c>
      <c r="P815" s="4" t="n">
        <v>0</v>
      </c>
      <c r="Q815" s="3" t="n">
        <v>0.0708</v>
      </c>
      <c r="R815" s="3" t="n">
        <v>0.777</v>
      </c>
      <c r="S815" s="3" t="str">
        <f aca="false">IF(R815 &gt;= 0.5, "Positive", "Negative")</f>
        <v>Positive</v>
      </c>
      <c r="T815" s="2" t="n">
        <v>90.051</v>
      </c>
      <c r="U815" s="0" t="s">
        <v>24</v>
      </c>
    </row>
    <row r="816" customFormat="false" ht="14.25" hidden="false" customHeight="false" outlineLevel="0" collapsed="false">
      <c r="A816" s="0" t="n">
        <v>461</v>
      </c>
      <c r="B816" s="0" t="str">
        <f aca="false">_xlfn.xlookup(A816, artists!A$2:A$836, artists!B$2:B$836)</f>
        <v>La Roux</v>
      </c>
      <c r="C816" s="1" t="s">
        <v>855</v>
      </c>
      <c r="D816" s="2" t="n">
        <v>248626</v>
      </c>
      <c r="E816" s="2" t="n">
        <f aca="false">D816/1000</f>
        <v>248.626</v>
      </c>
      <c r="F816" s="10" t="b">
        <f aca="false">FALSE()</f>
        <v>0</v>
      </c>
      <c r="G816" s="0" t="n">
        <v>12</v>
      </c>
      <c r="H816" s="0" t="n">
        <f aca="false">_xlfn.xlookup(G816, years!A$2:A$836, years!B$2:B$836)</f>
        <v>2009</v>
      </c>
      <c r="I816" s="2" t="n">
        <v>59</v>
      </c>
      <c r="J816" s="0" t="n">
        <v>0.629</v>
      </c>
      <c r="K816" s="0" t="n">
        <v>0.969</v>
      </c>
      <c r="L816" s="3" t="str">
        <f aca="false">IF(K816&gt;0.66,"High",IF(K816&gt;0.33&amp;K816&lt;=0.66,"Medium","Low"))</f>
        <v>High</v>
      </c>
      <c r="M816" s="0" t="n">
        <v>-0.276</v>
      </c>
      <c r="N816" s="3" t="n">
        <v>0.0455</v>
      </c>
      <c r="O816" s="3" t="n">
        <v>0.00184</v>
      </c>
      <c r="P816" s="4" t="n">
        <v>0</v>
      </c>
      <c r="Q816" s="3" t="n">
        <v>0.122</v>
      </c>
      <c r="R816" s="3" t="n">
        <v>0.905</v>
      </c>
      <c r="S816" s="3" t="str">
        <f aca="false">IF(R816 &gt;= 0.5, "Positive", "Negative")</f>
        <v>Positive</v>
      </c>
      <c r="T816" s="2" t="n">
        <v>150.01</v>
      </c>
      <c r="U816" s="0" t="s">
        <v>22</v>
      </c>
    </row>
    <row r="817" customFormat="false" ht="14.25" hidden="false" customHeight="false" outlineLevel="0" collapsed="false">
      <c r="A817" s="0" t="n">
        <v>431</v>
      </c>
      <c r="B817" s="0" t="str">
        <f aca="false">_xlfn.xlookup(A817, artists!A$2:A$836, artists!B$2:B$836)</f>
        <v>Gavin DeGraw</v>
      </c>
      <c r="C817" s="1" t="s">
        <v>856</v>
      </c>
      <c r="D817" s="2" t="n">
        <v>206000</v>
      </c>
      <c r="E817" s="2" t="n">
        <f aca="false">D817/1000</f>
        <v>206</v>
      </c>
      <c r="F817" s="10" t="b">
        <f aca="false">FALSE()</f>
        <v>0</v>
      </c>
      <c r="G817" s="0" t="n">
        <v>11</v>
      </c>
      <c r="H817" s="0" t="n">
        <f aca="false">_xlfn.xlookup(G817, years!A$2:A$836, years!B$2:B$836)</f>
        <v>2008</v>
      </c>
      <c r="I817" s="2" t="n">
        <v>51</v>
      </c>
      <c r="J817" s="0" t="n">
        <v>0.438</v>
      </c>
      <c r="K817" s="0" t="n">
        <v>0.906</v>
      </c>
      <c r="L817" s="3" t="str">
        <f aca="false">IF(K817&gt;0.66,"High",IF(K817&gt;0.33&amp;K817&lt;=0.66,"Medium","Low"))</f>
        <v>High</v>
      </c>
      <c r="M817" s="0" t="n">
        <v>-4.8</v>
      </c>
      <c r="N817" s="3" t="n">
        <v>0.0438</v>
      </c>
      <c r="O817" s="3" t="n">
        <v>0.0191</v>
      </c>
      <c r="P817" s="4" t="n">
        <v>0</v>
      </c>
      <c r="Q817" s="3" t="n">
        <v>0.373</v>
      </c>
      <c r="R817" s="3" t="n">
        <v>0.684</v>
      </c>
      <c r="S817" s="3" t="str">
        <f aca="false">IF(R817 &gt;= 0.5, "Positive", "Negative")</f>
        <v>Positive</v>
      </c>
      <c r="T817" s="2" t="n">
        <v>161.905</v>
      </c>
      <c r="U817" s="0" t="s">
        <v>116</v>
      </c>
    </row>
    <row r="818" customFormat="false" ht="14.25" hidden="false" customHeight="false" outlineLevel="0" collapsed="false">
      <c r="A818" s="0" t="n">
        <v>455</v>
      </c>
      <c r="B818" s="0" t="str">
        <f aca="false">_xlfn.xlookup(A818, artists!A$2:A$836, artists!B$2:B$836)</f>
        <v>Drake</v>
      </c>
      <c r="C818" s="1" t="s">
        <v>857</v>
      </c>
      <c r="D818" s="2" t="n">
        <v>217925</v>
      </c>
      <c r="E818" s="2" t="n">
        <f aca="false">D818/1000</f>
        <v>217.925</v>
      </c>
      <c r="F818" s="10" t="b">
        <f aca="false">TRUE()</f>
        <v>1</v>
      </c>
      <c r="G818" s="0" t="n">
        <v>21</v>
      </c>
      <c r="H818" s="0" t="n">
        <f aca="false">_xlfn.xlookup(G818, years!A$2:A$836, years!B$2:B$836)</f>
        <v>2018</v>
      </c>
      <c r="I818" s="2" t="n">
        <v>75</v>
      </c>
      <c r="J818" s="0" t="n">
        <v>0.835</v>
      </c>
      <c r="K818" s="0" t="n">
        <v>0.626</v>
      </c>
      <c r="L818" s="3" t="str">
        <f aca="false">IF(K818&gt;0.66,"High",IF(K818&gt;0.33&amp;K818&lt;=0.66,"Medium","Low"))</f>
        <v>Low</v>
      </c>
      <c r="M818" s="0" t="n">
        <v>-5.833</v>
      </c>
      <c r="N818" s="3" t="n">
        <v>0.125</v>
      </c>
      <c r="O818" s="3" t="n">
        <v>0.0589</v>
      </c>
      <c r="P818" s="4" t="n">
        <v>6E-005</v>
      </c>
      <c r="Q818" s="3" t="n">
        <v>0.396</v>
      </c>
      <c r="R818" s="3" t="n">
        <v>0.35</v>
      </c>
      <c r="S818" s="3" t="str">
        <f aca="false">IF(R818 &gt;= 0.5, "Positive", "Negative")</f>
        <v>Negative</v>
      </c>
      <c r="T818" s="2" t="n">
        <v>91.03</v>
      </c>
      <c r="U818" s="0" t="s">
        <v>31</v>
      </c>
    </row>
    <row r="819" customFormat="false" ht="14.25" hidden="false" customHeight="false" outlineLevel="0" collapsed="false">
      <c r="A819" s="0" t="n">
        <v>458</v>
      </c>
      <c r="B819" s="0" t="str">
        <f aca="false">_xlfn.xlookup(A819, artists!A$2:A$836, artists!B$2:B$836)</f>
        <v>Jason Derulo</v>
      </c>
      <c r="C819" s="1" t="s">
        <v>858</v>
      </c>
      <c r="D819" s="2" t="n">
        <v>199026</v>
      </c>
      <c r="E819" s="2" t="n">
        <f aca="false">D819/1000</f>
        <v>199.026</v>
      </c>
      <c r="F819" s="10" t="b">
        <f aca="false">FALSE()</f>
        <v>0</v>
      </c>
      <c r="G819" s="0" t="n">
        <v>13</v>
      </c>
      <c r="H819" s="0" t="n">
        <f aca="false">_xlfn.xlookup(G819, years!A$2:A$836, years!B$2:B$836)</f>
        <v>2010</v>
      </c>
      <c r="I819" s="2" t="n">
        <v>65</v>
      </c>
      <c r="J819" s="0" t="n">
        <v>0.762</v>
      </c>
      <c r="K819" s="0" t="n">
        <v>0.748</v>
      </c>
      <c r="L819" s="3" t="str">
        <f aca="false">IF(K819&gt;0.66,"High",IF(K819&gt;0.33&amp;K819&lt;=0.66,"Medium","Low"))</f>
        <v>High</v>
      </c>
      <c r="M819" s="0" t="n">
        <v>-4.15</v>
      </c>
      <c r="N819" s="3" t="n">
        <v>0.033</v>
      </c>
      <c r="O819" s="3" t="n">
        <v>0.0266</v>
      </c>
      <c r="P819" s="4" t="n">
        <v>0</v>
      </c>
      <c r="Q819" s="3" t="n">
        <v>0.348</v>
      </c>
      <c r="R819" s="3" t="n">
        <v>0.851</v>
      </c>
      <c r="S819" s="3" t="str">
        <f aca="false">IF(R819 &gt;= 0.5, "Positive", "Negative")</f>
        <v>Positive</v>
      </c>
      <c r="T819" s="2" t="n">
        <v>110.009</v>
      </c>
      <c r="U819" s="0" t="s">
        <v>24</v>
      </c>
    </row>
    <row r="820" customFormat="false" ht="14.25" hidden="false" customHeight="false" outlineLevel="0" collapsed="false">
      <c r="A820" s="0" t="n">
        <v>756</v>
      </c>
      <c r="B820" s="0" t="str">
        <f aca="false">_xlfn.xlookup(A820, artists!A$2:A$836, artists!B$2:B$836)</f>
        <v>Dynoro</v>
      </c>
      <c r="C820" s="1" t="s">
        <v>859</v>
      </c>
      <c r="D820" s="2" t="n">
        <v>184560</v>
      </c>
      <c r="E820" s="2" t="n">
        <f aca="false">D820/1000</f>
        <v>184.56</v>
      </c>
      <c r="F820" s="10" t="b">
        <f aca="false">FALSE()</f>
        <v>0</v>
      </c>
      <c r="G820" s="0" t="n">
        <v>21</v>
      </c>
      <c r="H820" s="0" t="n">
        <f aca="false">_xlfn.xlookup(G820, years!A$2:A$836, years!B$2:B$836)</f>
        <v>2018</v>
      </c>
      <c r="I820" s="2" t="n">
        <v>78</v>
      </c>
      <c r="J820" s="0" t="n">
        <v>0.694</v>
      </c>
      <c r="K820" s="0" t="n">
        <v>0.77</v>
      </c>
      <c r="L820" s="3" t="str">
        <f aca="false">IF(K820&gt;0.66,"High",IF(K820&gt;0.33&amp;K820&lt;=0.66,"Medium","Low"))</f>
        <v>High</v>
      </c>
      <c r="M820" s="0" t="n">
        <v>-5.335</v>
      </c>
      <c r="N820" s="3" t="n">
        <v>0.149</v>
      </c>
      <c r="O820" s="3" t="n">
        <v>0.176</v>
      </c>
      <c r="P820" s="4" t="n">
        <v>1.1E-005</v>
      </c>
      <c r="Q820" s="3" t="n">
        <v>0.118</v>
      </c>
      <c r="R820" s="3" t="n">
        <v>0.163</v>
      </c>
      <c r="S820" s="3" t="str">
        <f aca="false">IF(R820 &gt;= 0.5, "Positive", "Negative")</f>
        <v>Negative</v>
      </c>
      <c r="T820" s="2" t="n">
        <v>125.905</v>
      </c>
      <c r="U820" s="0" t="s">
        <v>22</v>
      </c>
    </row>
    <row r="821" customFormat="false" ht="14.25" hidden="false" customHeight="false" outlineLevel="0" collapsed="false">
      <c r="A821" s="0" t="n">
        <v>180</v>
      </c>
      <c r="B821" s="0" t="str">
        <f aca="false">_xlfn.xlookup(A821, artists!A$2:A$836, artists!B$2:B$836)</f>
        <v>Coldplay</v>
      </c>
      <c r="C821" s="1" t="s">
        <v>860</v>
      </c>
      <c r="D821" s="2" t="n">
        <v>226680</v>
      </c>
      <c r="E821" s="2" t="n">
        <f aca="false">D821/1000</f>
        <v>226.68</v>
      </c>
      <c r="F821" s="10" t="b">
        <f aca="false">FALSE()</f>
        <v>0</v>
      </c>
      <c r="G821" s="0" t="n">
        <v>5</v>
      </c>
      <c r="H821" s="0" t="n">
        <f aca="false">_xlfn.xlookup(G821, years!A$2:A$836, years!B$2:B$836)</f>
        <v>2002</v>
      </c>
      <c r="I821" s="2" t="n">
        <v>72</v>
      </c>
      <c r="J821" s="0" t="n">
        <v>0.424</v>
      </c>
      <c r="K821" s="0" t="n">
        <v>0.588</v>
      </c>
      <c r="L821" s="3" t="str">
        <f aca="false">IF(K821&gt;0.66,"High",IF(K821&gt;0.33&amp;K821&lt;=0.66,"Medium","Low"))</f>
        <v>Low</v>
      </c>
      <c r="M821" s="0" t="n">
        <v>-5.455</v>
      </c>
      <c r="N821" s="3" t="n">
        <v>0.0278</v>
      </c>
      <c r="O821" s="3" t="n">
        <v>0.0553</v>
      </c>
      <c r="P821" s="4" t="n">
        <v>4.95E-006</v>
      </c>
      <c r="Q821" s="3" t="n">
        <v>0.298</v>
      </c>
      <c r="R821" s="3" t="n">
        <v>0.193</v>
      </c>
      <c r="S821" s="3" t="str">
        <f aca="false">IF(R821 &gt;= 0.5, "Positive", "Negative")</f>
        <v>Negative</v>
      </c>
      <c r="T821" s="2" t="n">
        <v>144.636</v>
      </c>
      <c r="U821" s="0" t="s">
        <v>35</v>
      </c>
    </row>
    <row r="822" customFormat="false" ht="14.25" hidden="false" customHeight="false" outlineLevel="0" collapsed="false">
      <c r="A822" s="0" t="n">
        <v>537</v>
      </c>
      <c r="B822" s="0" t="str">
        <f aca="false">_xlfn.xlookup(A822, artists!A$2:A$836, artists!B$2:B$836)</f>
        <v>DEV</v>
      </c>
      <c r="C822" s="1" t="s">
        <v>861</v>
      </c>
      <c r="D822" s="2" t="n">
        <v>226226</v>
      </c>
      <c r="E822" s="2" t="n">
        <f aca="false">D822/1000</f>
        <v>226.226</v>
      </c>
      <c r="F822" s="10" t="b">
        <f aca="false">FALSE()</f>
        <v>0</v>
      </c>
      <c r="G822" s="0" t="n">
        <v>15</v>
      </c>
      <c r="H822" s="0" t="n">
        <f aca="false">_xlfn.xlookup(G822, years!A$2:A$836, years!B$2:B$836)</f>
        <v>2012</v>
      </c>
      <c r="I822" s="2" t="n">
        <v>52</v>
      </c>
      <c r="J822" s="0" t="n">
        <v>0.736</v>
      </c>
      <c r="K822" s="0" t="n">
        <v>0.824</v>
      </c>
      <c r="L822" s="3" t="str">
        <f aca="false">IF(K822&gt;0.66,"High",IF(K822&gt;0.33&amp;K822&lt;=0.66,"Medium","Low"))</f>
        <v>High</v>
      </c>
      <c r="M822" s="0" t="n">
        <v>-4.231</v>
      </c>
      <c r="N822" s="3" t="n">
        <v>0.0672</v>
      </c>
      <c r="O822" s="3" t="n">
        <v>0.00358</v>
      </c>
      <c r="P822" s="4" t="n">
        <v>0.000921</v>
      </c>
      <c r="Q822" s="3" t="n">
        <v>0.329</v>
      </c>
      <c r="R822" s="3" t="n">
        <v>0.443</v>
      </c>
      <c r="S822" s="3" t="str">
        <f aca="false">IF(R822 &gt;= 0.5, "Positive", "Negative")</f>
        <v>Negative</v>
      </c>
      <c r="T822" s="2" t="n">
        <v>124.954</v>
      </c>
      <c r="U822" s="0" t="s">
        <v>22</v>
      </c>
    </row>
    <row r="823" customFormat="false" ht="14.25" hidden="false" customHeight="false" outlineLevel="0" collapsed="false">
      <c r="A823" s="0" t="n">
        <v>20</v>
      </c>
      <c r="B823" s="0" t="str">
        <f aca="false">_xlfn.xlookup(A823, artists!A$2:A$836, artists!B$2:B$836)</f>
        <v>Linkin Park</v>
      </c>
      <c r="C823" s="1" t="s">
        <v>862</v>
      </c>
      <c r="D823" s="2" t="n">
        <v>216880</v>
      </c>
      <c r="E823" s="2" t="n">
        <f aca="false">D823/1000</f>
        <v>216.88</v>
      </c>
      <c r="F823" s="10" t="b">
        <f aca="false">FALSE()</f>
        <v>0</v>
      </c>
      <c r="G823" s="0" t="n">
        <v>3</v>
      </c>
      <c r="H823" s="0" t="n">
        <f aca="false">_xlfn.xlookup(G823, years!A$2:A$836, years!B$2:B$836)</f>
        <v>2000</v>
      </c>
      <c r="I823" s="2" t="n">
        <v>83</v>
      </c>
      <c r="J823" s="0" t="n">
        <v>0.556</v>
      </c>
      <c r="K823" s="0" t="n">
        <v>0.864</v>
      </c>
      <c r="L823" s="3" t="str">
        <f aca="false">IF(K823&gt;0.66,"High",IF(K823&gt;0.33&amp;K823&lt;=0.66,"Medium","Low"))</f>
        <v>High</v>
      </c>
      <c r="M823" s="0" t="n">
        <v>-5.87</v>
      </c>
      <c r="N823" s="3" t="n">
        <v>0.0584</v>
      </c>
      <c r="O823" s="3" t="n">
        <v>0.00958</v>
      </c>
      <c r="P823" s="4" t="n">
        <v>0</v>
      </c>
      <c r="Q823" s="3" t="n">
        <v>0.209</v>
      </c>
      <c r="R823" s="3" t="n">
        <v>0.4</v>
      </c>
      <c r="S823" s="3" t="str">
        <f aca="false">IF(R823 &gt;= 0.5, "Positive", "Negative")</f>
        <v>Negative</v>
      </c>
      <c r="T823" s="2" t="n">
        <v>105.143</v>
      </c>
      <c r="U823" s="0" t="s">
        <v>81</v>
      </c>
    </row>
    <row r="824" customFormat="false" ht="14.25" hidden="false" customHeight="false" outlineLevel="0" collapsed="false">
      <c r="A824" s="0" t="n">
        <v>352</v>
      </c>
      <c r="B824" s="0" t="str">
        <f aca="false">_xlfn.xlookup(A824, artists!A$2:A$836, artists!B$2:B$836)</f>
        <v>Razorlight</v>
      </c>
      <c r="C824" s="1" t="s">
        <v>863</v>
      </c>
      <c r="D824" s="2" t="n">
        <v>222453</v>
      </c>
      <c r="E824" s="2" t="n">
        <f aca="false">D824/1000</f>
        <v>222.453</v>
      </c>
      <c r="F824" s="10" t="b">
        <f aca="false">FALSE()</f>
        <v>0</v>
      </c>
      <c r="G824" s="0" t="n">
        <v>9</v>
      </c>
      <c r="H824" s="0" t="n">
        <f aca="false">_xlfn.xlookup(G824, years!A$2:A$836, years!B$2:B$836)</f>
        <v>2006</v>
      </c>
      <c r="I824" s="2" t="n">
        <v>59</v>
      </c>
      <c r="J824" s="0" t="n">
        <v>0.616</v>
      </c>
      <c r="K824" s="0" t="n">
        <v>0.855</v>
      </c>
      <c r="L824" s="3" t="str">
        <f aca="false">IF(K824&gt;0.66,"High",IF(K824&gt;0.33&amp;K824&lt;=0.66,"Medium","Low"))</f>
        <v>High</v>
      </c>
      <c r="M824" s="0" t="n">
        <v>-3.495</v>
      </c>
      <c r="N824" s="3" t="n">
        <v>0.042</v>
      </c>
      <c r="O824" s="3" t="n">
        <v>0.00379</v>
      </c>
      <c r="P824" s="4" t="n">
        <v>0.000863</v>
      </c>
      <c r="Q824" s="3" t="n">
        <v>0.318</v>
      </c>
      <c r="R824" s="3" t="n">
        <v>0.686</v>
      </c>
      <c r="S824" s="3" t="str">
        <f aca="false">IF(R824 &gt;= 0.5, "Positive", "Negative")</f>
        <v>Positive</v>
      </c>
      <c r="T824" s="2" t="n">
        <v>124.191</v>
      </c>
      <c r="U824" s="0" t="s">
        <v>35</v>
      </c>
    </row>
    <row r="825" customFormat="false" ht="14.25" hidden="false" customHeight="false" outlineLevel="0" collapsed="false">
      <c r="A825" s="0" t="n">
        <v>577</v>
      </c>
      <c r="B825" s="0" t="str">
        <f aca="false">_xlfn.xlookup(A825, artists!A$2:A$836, artists!B$2:B$836)</f>
        <v>Martin Garrix</v>
      </c>
      <c r="C825" s="1" t="s">
        <v>864</v>
      </c>
      <c r="D825" s="2" t="n">
        <v>195706</v>
      </c>
      <c r="E825" s="2" t="n">
        <f aca="false">D825/1000</f>
        <v>195.706</v>
      </c>
      <c r="F825" s="10" t="b">
        <f aca="false">FALSE()</f>
        <v>0</v>
      </c>
      <c r="G825" s="0" t="n">
        <v>19</v>
      </c>
      <c r="H825" s="0" t="n">
        <f aca="false">_xlfn.xlookup(G825, years!A$2:A$836, years!B$2:B$836)</f>
        <v>2016</v>
      </c>
      <c r="I825" s="2" t="n">
        <v>76</v>
      </c>
      <c r="J825" s="0" t="n">
        <v>0.501</v>
      </c>
      <c r="K825" s="0" t="n">
        <v>0.519</v>
      </c>
      <c r="L825" s="3" t="str">
        <f aca="false">IF(K825&gt;0.66,"High",IF(K825&gt;0.33&amp;K825&lt;=0.66,"Medium","Low"))</f>
        <v>Low</v>
      </c>
      <c r="M825" s="0" t="n">
        <v>-5.88</v>
      </c>
      <c r="N825" s="3" t="n">
        <v>0.0409</v>
      </c>
      <c r="O825" s="3" t="n">
        <v>0.109</v>
      </c>
      <c r="P825" s="4" t="n">
        <v>0</v>
      </c>
      <c r="Q825" s="3" t="n">
        <v>0.454</v>
      </c>
      <c r="R825" s="3" t="n">
        <v>0.168</v>
      </c>
      <c r="S825" s="3" t="str">
        <f aca="false">IF(R825 &gt;= 0.5, "Positive", "Negative")</f>
        <v>Negative</v>
      </c>
      <c r="T825" s="2" t="n">
        <v>133.99</v>
      </c>
      <c r="U825" s="0" t="s">
        <v>22</v>
      </c>
    </row>
    <row r="826" customFormat="false" ht="14.25" hidden="false" customHeight="false" outlineLevel="0" collapsed="false">
      <c r="A826" s="0" t="n">
        <v>635</v>
      </c>
      <c r="B826" s="0" t="str">
        <f aca="false">_xlfn.xlookup(A826, artists!A$2:A$836, artists!B$2:B$836)</f>
        <v>Clean Bandit</v>
      </c>
      <c r="C826" s="1" t="s">
        <v>865</v>
      </c>
      <c r="D826" s="2" t="n">
        <v>225914</v>
      </c>
      <c r="E826" s="2" t="n">
        <f aca="false">D826/1000</f>
        <v>225.914</v>
      </c>
      <c r="F826" s="10" t="b">
        <f aca="false">FALSE()</f>
        <v>0</v>
      </c>
      <c r="G826" s="0" t="n">
        <v>19</v>
      </c>
      <c r="H826" s="0" t="n">
        <f aca="false">_xlfn.xlookup(G826, years!A$2:A$836, years!B$2:B$836)</f>
        <v>2016</v>
      </c>
      <c r="I826" s="2" t="n">
        <v>60</v>
      </c>
      <c r="J826" s="0" t="n">
        <v>0.605</v>
      </c>
      <c r="K826" s="0" t="n">
        <v>0.77</v>
      </c>
      <c r="L826" s="3" t="str">
        <f aca="false">IF(K826&gt;0.66,"High",IF(K826&gt;0.33&amp;K826&lt;=0.66,"Medium","Low"))</f>
        <v>High</v>
      </c>
      <c r="M826" s="0" t="n">
        <v>-3.645</v>
      </c>
      <c r="N826" s="3" t="n">
        <v>0.0446</v>
      </c>
      <c r="O826" s="3" t="n">
        <v>0.0431</v>
      </c>
      <c r="P826" s="4" t="n">
        <v>0</v>
      </c>
      <c r="Q826" s="3" t="n">
        <v>0.159</v>
      </c>
      <c r="R826" s="3" t="n">
        <v>0.298</v>
      </c>
      <c r="S826" s="3" t="str">
        <f aca="false">IF(R826 &gt;= 0.5, "Positive", "Negative")</f>
        <v>Negative</v>
      </c>
      <c r="T826" s="2" t="n">
        <v>130.037</v>
      </c>
      <c r="U826" s="0" t="s">
        <v>22</v>
      </c>
    </row>
    <row r="827" customFormat="false" ht="14.25" hidden="false" customHeight="false" outlineLevel="0" collapsed="false">
      <c r="A827" s="0" t="n">
        <v>242</v>
      </c>
      <c r="B827" s="0" t="str">
        <f aca="false">_xlfn.xlookup(A827, artists!A$2:A$836, artists!B$2:B$836)</f>
        <v>The Rasmus</v>
      </c>
      <c r="C827" s="1" t="s">
        <v>866</v>
      </c>
      <c r="D827" s="2" t="n">
        <v>257920</v>
      </c>
      <c r="E827" s="2" t="n">
        <f aca="false">D827/1000</f>
        <v>257.92</v>
      </c>
      <c r="F827" s="10" t="b">
        <f aca="false">FALSE()</f>
        <v>0</v>
      </c>
      <c r="G827" s="0" t="n">
        <v>6</v>
      </c>
      <c r="H827" s="0" t="n">
        <f aca="false">_xlfn.xlookup(G827, years!A$2:A$836, years!B$2:B$836)</f>
        <v>2003</v>
      </c>
      <c r="I827" s="2" t="n">
        <v>68</v>
      </c>
      <c r="J827" s="0" t="n">
        <v>0.6</v>
      </c>
      <c r="K827" s="0" t="n">
        <v>0.796</v>
      </c>
      <c r="L827" s="3" t="str">
        <f aca="false">IF(K827&gt;0.66,"High",IF(K827&gt;0.33&amp;K827&lt;=0.66,"Medium","Low"))</f>
        <v>High</v>
      </c>
      <c r="M827" s="0" t="n">
        <v>-4.481</v>
      </c>
      <c r="N827" s="3" t="n">
        <v>0.0275</v>
      </c>
      <c r="O827" s="3" t="n">
        <v>0.000109</v>
      </c>
      <c r="P827" s="4" t="n">
        <v>5.2E-005</v>
      </c>
      <c r="Q827" s="3" t="n">
        <v>0.484</v>
      </c>
      <c r="R827" s="3" t="n">
        <v>0.75</v>
      </c>
      <c r="S827" s="3" t="str">
        <f aca="false">IF(R827 &gt;= 0.5, "Positive", "Negative")</f>
        <v>Positive</v>
      </c>
      <c r="T827" s="2" t="n">
        <v>105.991</v>
      </c>
      <c r="U827" s="0" t="s">
        <v>27</v>
      </c>
    </row>
    <row r="828" customFormat="false" ht="14.25" hidden="false" customHeight="false" outlineLevel="0" collapsed="false">
      <c r="A828" s="0" t="n">
        <v>144</v>
      </c>
      <c r="B828" s="0" t="str">
        <f aca="false">_xlfn.xlookup(A828, artists!A$2:A$836, artists!B$2:B$836)</f>
        <v>Ginuwine</v>
      </c>
      <c r="C828" s="1" t="s">
        <v>867</v>
      </c>
      <c r="D828" s="2" t="n">
        <v>243306</v>
      </c>
      <c r="E828" s="2" t="n">
        <f aca="false">D828/1000</f>
        <v>243.306</v>
      </c>
      <c r="F828" s="10" t="b">
        <f aca="false">TRUE()</f>
        <v>1</v>
      </c>
      <c r="G828" s="0" t="n">
        <v>6</v>
      </c>
      <c r="H828" s="0" t="n">
        <f aca="false">_xlfn.xlookup(G828, years!A$2:A$836, years!B$2:B$836)</f>
        <v>2003</v>
      </c>
      <c r="I828" s="2" t="n">
        <v>59</v>
      </c>
      <c r="J828" s="0" t="n">
        <v>0.691</v>
      </c>
      <c r="K828" s="0" t="n">
        <v>0.541</v>
      </c>
      <c r="L828" s="3" t="str">
        <f aca="false">IF(K828&gt;0.66,"High",IF(K828&gt;0.33&amp;K828&lt;=0.66,"Medium","Low"))</f>
        <v>Low</v>
      </c>
      <c r="M828" s="0" t="n">
        <v>-5.873</v>
      </c>
      <c r="N828" s="3" t="n">
        <v>0.0776</v>
      </c>
      <c r="O828" s="3" t="n">
        <v>0.508</v>
      </c>
      <c r="P828" s="4" t="n">
        <v>0</v>
      </c>
      <c r="Q828" s="3" t="n">
        <v>0.0753</v>
      </c>
      <c r="R828" s="3" t="n">
        <v>0.319</v>
      </c>
      <c r="S828" s="3" t="str">
        <f aca="false">IF(R828 &gt;= 0.5, "Positive", "Negative")</f>
        <v>Negative</v>
      </c>
      <c r="T828" s="2" t="n">
        <v>127.683</v>
      </c>
      <c r="U828" s="0" t="s">
        <v>31</v>
      </c>
    </row>
    <row r="829" customFormat="false" ht="14.25" hidden="false" customHeight="false" outlineLevel="0" collapsed="false">
      <c r="A829" s="0" t="n">
        <v>34</v>
      </c>
      <c r="B829" s="0" t="str">
        <f aca="false">_xlfn.xlookup(A829, artists!A$2:A$836, artists!B$2:B$836)</f>
        <v>Kylie Minogue</v>
      </c>
      <c r="C829" s="1" t="s">
        <v>868</v>
      </c>
      <c r="D829" s="2" t="n">
        <v>197826</v>
      </c>
      <c r="E829" s="2" t="n">
        <f aca="false">D829/1000</f>
        <v>197.826</v>
      </c>
      <c r="F829" s="10" t="b">
        <f aca="false">FALSE()</f>
        <v>0</v>
      </c>
      <c r="G829" s="0" t="n">
        <v>4</v>
      </c>
      <c r="H829" s="0" t="n">
        <f aca="false">_xlfn.xlookup(G829, years!A$2:A$836, years!B$2:B$836)</f>
        <v>2001</v>
      </c>
      <c r="I829" s="2" t="n">
        <v>62</v>
      </c>
      <c r="J829" s="0" t="n">
        <v>0.689</v>
      </c>
      <c r="K829" s="0" t="n">
        <v>0.894</v>
      </c>
      <c r="L829" s="3" t="str">
        <f aca="false">IF(K829&gt;0.66,"High",IF(K829&gt;0.33&amp;K829&lt;=0.66,"Medium","Low"))</f>
        <v>High</v>
      </c>
      <c r="M829" s="0" t="n">
        <v>-6.342</v>
      </c>
      <c r="N829" s="3" t="n">
        <v>0.0672</v>
      </c>
      <c r="O829" s="3" t="n">
        <v>0.133</v>
      </c>
      <c r="P829" s="4" t="n">
        <v>4.72E-005</v>
      </c>
      <c r="Q829" s="3" t="n">
        <v>0.0681</v>
      </c>
      <c r="R829" s="3" t="n">
        <v>0.709</v>
      </c>
      <c r="S829" s="3" t="str">
        <f aca="false">IF(R829 &gt;= 0.5, "Positive", "Negative")</f>
        <v>Positive</v>
      </c>
      <c r="T829" s="2" t="n">
        <v>123.971</v>
      </c>
      <c r="U829" s="0" t="s">
        <v>22</v>
      </c>
    </row>
    <row r="830" customFormat="false" ht="14.25" hidden="false" customHeight="false" outlineLevel="0" collapsed="false">
      <c r="A830" s="0" t="n">
        <v>6</v>
      </c>
      <c r="B830" s="0" t="str">
        <f aca="false">_xlfn.xlookup(A830, artists!A$2:A$836, artists!B$2:B$836)</f>
        <v>Sisqo</v>
      </c>
      <c r="C830" s="1" t="s">
        <v>869</v>
      </c>
      <c r="D830" s="2" t="n">
        <v>274226</v>
      </c>
      <c r="E830" s="2" t="n">
        <f aca="false">D830/1000</f>
        <v>274.226</v>
      </c>
      <c r="F830" s="10" t="b">
        <f aca="false">TRUE()</f>
        <v>1</v>
      </c>
      <c r="G830" s="0" t="n">
        <v>2</v>
      </c>
      <c r="H830" s="0" t="n">
        <f aca="false">_xlfn.xlookup(G830, years!A$2:A$836, years!B$2:B$836)</f>
        <v>1999</v>
      </c>
      <c r="I830" s="2" t="n">
        <v>60</v>
      </c>
      <c r="J830" s="0" t="n">
        <v>0.746</v>
      </c>
      <c r="K830" s="0" t="n">
        <v>0.443</v>
      </c>
      <c r="L830" s="3" t="str">
        <f aca="false">IF(K830&gt;0.66,"High",IF(K830&gt;0.33&amp;K830&lt;=0.66,"Medium","Low"))</f>
        <v>Low</v>
      </c>
      <c r="M830" s="0" t="n">
        <v>-7.693</v>
      </c>
      <c r="N830" s="3" t="n">
        <v>0.0771</v>
      </c>
      <c r="O830" s="3" t="n">
        <v>0.282</v>
      </c>
      <c r="P830" s="4" t="n">
        <v>0</v>
      </c>
      <c r="Q830" s="3" t="n">
        <v>0.14</v>
      </c>
      <c r="R830" s="3" t="n">
        <v>0.272</v>
      </c>
      <c r="S830" s="3" t="str">
        <f aca="false">IF(R830 &gt;= 0.5, "Positive", "Negative")</f>
        <v>Negative</v>
      </c>
      <c r="T830" s="2" t="n">
        <v>119.311</v>
      </c>
      <c r="U830" s="0" t="s">
        <v>31</v>
      </c>
    </row>
    <row r="831" customFormat="false" ht="14.25" hidden="false" customHeight="false" outlineLevel="0" collapsed="false">
      <c r="A831" s="0" t="n">
        <v>42</v>
      </c>
      <c r="B831" s="0" t="str">
        <f aca="false">_xlfn.xlookup(A831, artists!A$2:A$836, artists!B$2:B$836)</f>
        <v>Backstreet Boys</v>
      </c>
      <c r="C831" s="1" t="s">
        <v>869</v>
      </c>
      <c r="D831" s="2" t="n">
        <v>239586</v>
      </c>
      <c r="E831" s="2" t="n">
        <f aca="false">D831/1000</f>
        <v>239.586</v>
      </c>
      <c r="F831" s="10" t="b">
        <f aca="false">FALSE()</f>
        <v>0</v>
      </c>
      <c r="G831" s="0" t="n">
        <v>8</v>
      </c>
      <c r="H831" s="0" t="n">
        <f aca="false">_xlfn.xlookup(G831, years!A$2:A$836, years!B$2:B$836)</f>
        <v>2005</v>
      </c>
      <c r="I831" s="2" t="n">
        <v>63</v>
      </c>
      <c r="J831" s="0" t="n">
        <v>0.437</v>
      </c>
      <c r="K831" s="0" t="n">
        <v>0.589</v>
      </c>
      <c r="L831" s="3" t="str">
        <f aca="false">IF(K831&gt;0.66,"High",IF(K831&gt;0.33&amp;K831&lt;=0.66,"Medium","Low"))</f>
        <v>Low</v>
      </c>
      <c r="M831" s="0" t="n">
        <v>-4.834</v>
      </c>
      <c r="N831" s="3" t="n">
        <v>0.0331</v>
      </c>
      <c r="O831" s="3" t="n">
        <v>0.231</v>
      </c>
      <c r="P831" s="4" t="n">
        <v>0</v>
      </c>
      <c r="Q831" s="3" t="n">
        <v>0.0768</v>
      </c>
      <c r="R831" s="3" t="n">
        <v>0.165</v>
      </c>
      <c r="S831" s="3" t="str">
        <f aca="false">IF(R831 &gt;= 0.5, "Positive", "Negative")</f>
        <v>Negative</v>
      </c>
      <c r="T831" s="2" t="n">
        <v>133.631</v>
      </c>
      <c r="U831" s="0" t="s">
        <v>39</v>
      </c>
    </row>
    <row r="832" customFormat="false" ht="14.25" hidden="false" customHeight="false" outlineLevel="0" collapsed="false">
      <c r="A832" s="0" t="n">
        <v>9</v>
      </c>
      <c r="B832" s="0" t="str">
        <f aca="false">_xlfn.xlookup(A832, artists!A$2:A$836, artists!B$2:B$836)</f>
        <v>Destiny's Child</v>
      </c>
      <c r="C832" s="1" t="s">
        <v>870</v>
      </c>
      <c r="D832" s="2" t="n">
        <v>221133</v>
      </c>
      <c r="E832" s="2" t="n">
        <f aca="false">D832/1000</f>
        <v>221.133</v>
      </c>
      <c r="F832" s="10" t="b">
        <f aca="false">FALSE()</f>
        <v>0</v>
      </c>
      <c r="G832" s="0" t="n">
        <v>4</v>
      </c>
      <c r="H832" s="0" t="n">
        <f aca="false">_xlfn.xlookup(G832, years!A$2:A$836, years!B$2:B$836)</f>
        <v>2001</v>
      </c>
      <c r="I832" s="2" t="n">
        <v>65</v>
      </c>
      <c r="J832" s="0" t="n">
        <v>0.73</v>
      </c>
      <c r="K832" s="0" t="n">
        <v>0.602</v>
      </c>
      <c r="L832" s="3" t="str">
        <f aca="false">IF(K832&gt;0.66,"High",IF(K832&gt;0.33&amp;K832&lt;=0.66,"Medium","Low"))</f>
        <v>Low</v>
      </c>
      <c r="M832" s="0" t="n">
        <v>-3.782</v>
      </c>
      <c r="N832" s="3" t="n">
        <v>0.206</v>
      </c>
      <c r="O832" s="3" t="n">
        <v>0.362</v>
      </c>
      <c r="P832" s="4" t="n">
        <v>3.69E-006</v>
      </c>
      <c r="Q832" s="3" t="n">
        <v>0.169</v>
      </c>
      <c r="R832" s="3" t="n">
        <v>0.927</v>
      </c>
      <c r="S832" s="3" t="str">
        <f aca="false">IF(R832 &gt;= 0.5, "Positive", "Negative")</f>
        <v>Positive</v>
      </c>
      <c r="T832" s="2" t="n">
        <v>97.954</v>
      </c>
      <c r="U832" s="0" t="s">
        <v>33</v>
      </c>
    </row>
    <row r="833" customFormat="false" ht="14.25" hidden="false" customHeight="false" outlineLevel="0" collapsed="false">
      <c r="A833" s="0" t="n">
        <v>401</v>
      </c>
      <c r="B833" s="0" t="str">
        <f aca="false">_xlfn.xlookup(A833, artists!A$2:A$836, artists!B$2:B$836)</f>
        <v>Guru Josh Project</v>
      </c>
      <c r="C833" s="1" t="s">
        <v>871</v>
      </c>
      <c r="D833" s="2" t="n">
        <v>190013</v>
      </c>
      <c r="E833" s="2" t="n">
        <f aca="false">D833/1000</f>
        <v>190.013</v>
      </c>
      <c r="F833" s="10" t="b">
        <f aca="false">FALSE()</f>
        <v>0</v>
      </c>
      <c r="G833" s="0" t="n">
        <v>14</v>
      </c>
      <c r="H833" s="0" t="n">
        <f aca="false">_xlfn.xlookup(G833, years!A$2:A$836, years!B$2:B$836)</f>
        <v>2011</v>
      </c>
      <c r="I833" s="2" t="n">
        <v>1</v>
      </c>
      <c r="J833" s="0" t="n">
        <v>0.493</v>
      </c>
      <c r="K833" s="0" t="n">
        <v>0.849</v>
      </c>
      <c r="L833" s="3" t="str">
        <f aca="false">IF(K833&gt;0.66,"High",IF(K833&gt;0.33&amp;K833&lt;=0.66,"Medium","Low"))</f>
        <v>High</v>
      </c>
      <c r="M833" s="0" t="n">
        <v>-6.139</v>
      </c>
      <c r="N833" s="3" t="n">
        <v>0.0576</v>
      </c>
      <c r="O833" s="3" t="n">
        <v>0.000337</v>
      </c>
      <c r="P833" s="4" t="n">
        <v>0.00672</v>
      </c>
      <c r="Q833" s="3" t="n">
        <v>0.355</v>
      </c>
      <c r="R833" s="3" t="n">
        <v>0.483</v>
      </c>
      <c r="S833" s="3" t="str">
        <f aca="false">IF(R833 &gt;= 0.5, "Positive", "Negative")</f>
        <v>Negative</v>
      </c>
      <c r="T833" s="2" t="n">
        <v>127.999</v>
      </c>
      <c r="U833" s="0" t="s">
        <v>29</v>
      </c>
    </row>
    <row r="834" customFormat="false" ht="14.25" hidden="false" customHeight="false" outlineLevel="0" collapsed="false">
      <c r="A834" s="0" t="n">
        <v>440</v>
      </c>
      <c r="B834" s="0" t="str">
        <f aca="false">_xlfn.xlookup(A834, artists!A$2:A$836, artists!B$2:B$836)</f>
        <v>Pitbull</v>
      </c>
      <c r="C834" s="1" t="s">
        <v>872</v>
      </c>
      <c r="D834" s="2" t="n">
        <v>227280</v>
      </c>
      <c r="E834" s="2" t="n">
        <f aca="false">D834/1000</f>
        <v>227.28</v>
      </c>
      <c r="F834" s="10" t="b">
        <f aca="false">FALSE()</f>
        <v>0</v>
      </c>
      <c r="G834" s="0" t="n">
        <v>14</v>
      </c>
      <c r="H834" s="0" t="n">
        <f aca="false">_xlfn.xlookup(G834, years!A$2:A$836, years!B$2:B$836)</f>
        <v>2011</v>
      </c>
      <c r="I834" s="2" t="n">
        <v>74</v>
      </c>
      <c r="J834" s="0" t="n">
        <v>0.67</v>
      </c>
      <c r="K834" s="0" t="n">
        <v>0.855</v>
      </c>
      <c r="L834" s="3" t="str">
        <f aca="false">IF(K834&gt;0.66,"High",IF(K834&gt;0.33&amp;K834&lt;=0.66,"Medium","Low"))</f>
        <v>High</v>
      </c>
      <c r="M834" s="0" t="n">
        <v>-3.035</v>
      </c>
      <c r="N834" s="3" t="n">
        <v>0.0499</v>
      </c>
      <c r="O834" s="3" t="n">
        <v>0.0124</v>
      </c>
      <c r="P834" s="4" t="n">
        <v>0</v>
      </c>
      <c r="Q834" s="3" t="n">
        <v>0.335</v>
      </c>
      <c r="R834" s="3" t="n">
        <v>0.648</v>
      </c>
      <c r="S834" s="3" t="str">
        <f aca="false">IF(R834 &gt;= 0.5, "Positive", "Negative")</f>
        <v>Positive</v>
      </c>
      <c r="T834" s="2" t="n">
        <v>120.05</v>
      </c>
      <c r="U834" s="0" t="s">
        <v>483</v>
      </c>
    </row>
    <row r="835" customFormat="false" ht="14.25" hidden="false" customHeight="false" outlineLevel="0" collapsed="false">
      <c r="A835" s="0" t="n">
        <v>60</v>
      </c>
      <c r="B835" s="0" t="str">
        <f aca="false">_xlfn.xlookup(A835, artists!A$2:A$836, artists!B$2:B$836)</f>
        <v>Santana</v>
      </c>
      <c r="C835" s="1" t="s">
        <v>873</v>
      </c>
      <c r="D835" s="2" t="n">
        <v>222440</v>
      </c>
      <c r="E835" s="2" t="n">
        <f aca="false">D835/1000</f>
        <v>222.44</v>
      </c>
      <c r="F835" s="10" t="b">
        <f aca="false">FALSE()</f>
        <v>0</v>
      </c>
      <c r="G835" s="0" t="n">
        <v>10</v>
      </c>
      <c r="H835" s="0" t="n">
        <f aca="false">_xlfn.xlookup(G835, years!A$2:A$836, years!B$2:B$836)</f>
        <v>2007</v>
      </c>
      <c r="I835" s="2" t="n">
        <v>57</v>
      </c>
      <c r="J835" s="0" t="n">
        <v>0.595</v>
      </c>
      <c r="K835" s="0" t="n">
        <v>0.844</v>
      </c>
      <c r="L835" s="3" t="str">
        <f aca="false">IF(K835&gt;0.66,"High",IF(K835&gt;0.33&amp;K835&lt;=0.66,"Medium","Low"))</f>
        <v>High</v>
      </c>
      <c r="M835" s="0" t="n">
        <v>-4.678</v>
      </c>
      <c r="N835" s="3" t="n">
        <v>0.0331</v>
      </c>
      <c r="O835" s="3" t="n">
        <v>0.0137</v>
      </c>
      <c r="P835" s="4" t="n">
        <v>0</v>
      </c>
      <c r="Q835" s="3" t="n">
        <v>0.234</v>
      </c>
      <c r="R835" s="3" t="n">
        <v>0.603</v>
      </c>
      <c r="S835" s="3" t="str">
        <f aca="false">IF(R835 &gt;= 0.5, "Positive", "Negative")</f>
        <v>Positive</v>
      </c>
      <c r="T835" s="2" t="n">
        <v>127.981</v>
      </c>
      <c r="U835" s="0" t="s">
        <v>874</v>
      </c>
    </row>
    <row r="836" customFormat="false" ht="14.25" hidden="false" customHeight="false" outlineLevel="0" collapsed="false">
      <c r="A836" s="0" t="n">
        <v>709</v>
      </c>
      <c r="B836" s="0" t="str">
        <f aca="false">_xlfn.xlookup(A836, artists!A$2:A$836, artists!B$2:B$836)</f>
        <v>ZAYN</v>
      </c>
      <c r="C836" s="1" t="s">
        <v>875</v>
      </c>
      <c r="D836" s="2" t="n">
        <v>203686</v>
      </c>
      <c r="E836" s="2" t="n">
        <f aca="false">D836/1000</f>
        <v>203.686</v>
      </c>
      <c r="F836" s="10" t="b">
        <f aca="false">TRUE()</f>
        <v>1</v>
      </c>
      <c r="G836" s="0" t="n">
        <v>19</v>
      </c>
      <c r="H836" s="0" t="n">
        <f aca="false">_xlfn.xlookup(G836, years!A$2:A$836, years!B$2:B$836)</f>
        <v>2016</v>
      </c>
      <c r="I836" s="2" t="n">
        <v>59</v>
      </c>
      <c r="J836" s="0" t="n">
        <v>0.588</v>
      </c>
      <c r="K836" s="0" t="n">
        <v>0.702</v>
      </c>
      <c r="L836" s="3" t="str">
        <f aca="false">IF(K836&gt;0.66,"High",IF(K836&gt;0.33&amp;K836&lt;=0.66,"Medium","Low"))</f>
        <v>High</v>
      </c>
      <c r="M836" s="0" t="n">
        <v>-4.271</v>
      </c>
      <c r="N836" s="3" t="n">
        <v>0.0496</v>
      </c>
      <c r="O836" s="3" t="n">
        <v>0.104</v>
      </c>
      <c r="P836" s="4" t="n">
        <v>0</v>
      </c>
      <c r="Q836" s="3" t="n">
        <v>0.089</v>
      </c>
      <c r="R836" s="3" t="n">
        <v>0.429</v>
      </c>
      <c r="S836" s="3" t="str">
        <f aca="false">IF(R836 &gt;= 0.5, "Positive", "Negative")</f>
        <v>Negative</v>
      </c>
      <c r="T836" s="2" t="n">
        <v>124.909</v>
      </c>
      <c r="U836" s="0" t="s">
        <v>22</v>
      </c>
    </row>
    <row r="837" customFormat="false" ht="14.25" hidden="false" customHeight="false" outlineLevel="0" collapsed="false">
      <c r="A837" s="0" t="n">
        <v>229</v>
      </c>
      <c r="B837" s="0" t="str">
        <f aca="false">_xlfn.xlookup(A837, artists!A$2:A$836, artists!B$2:B$836)</f>
        <v>Fabolous</v>
      </c>
      <c r="C837" s="1" t="s">
        <v>876</v>
      </c>
      <c r="D837" s="2" t="n">
        <v>295773</v>
      </c>
      <c r="E837" s="2" t="n">
        <f aca="false">D837/1000</f>
        <v>295.773</v>
      </c>
      <c r="F837" s="10" t="b">
        <f aca="false">TRUE()</f>
        <v>1</v>
      </c>
      <c r="G837" s="0" t="n">
        <v>6</v>
      </c>
      <c r="H837" s="0" t="n">
        <f aca="false">_xlfn.xlookup(G837, years!A$2:A$836, years!B$2:B$836)</f>
        <v>2003</v>
      </c>
      <c r="I837" s="2" t="n">
        <v>67</v>
      </c>
      <c r="J837" s="0" t="n">
        <v>0.546</v>
      </c>
      <c r="K837" s="0" t="n">
        <v>0.538</v>
      </c>
      <c r="L837" s="3" t="str">
        <f aca="false">IF(K837&gt;0.66,"High",IF(K837&gt;0.33&amp;K837&lt;=0.66,"Medium","Low"))</f>
        <v>Low</v>
      </c>
      <c r="M837" s="0" t="n">
        <v>-7.886</v>
      </c>
      <c r="N837" s="3" t="n">
        <v>0.0523</v>
      </c>
      <c r="O837" s="3" t="n">
        <v>0.233</v>
      </c>
      <c r="P837" s="4" t="n">
        <v>0</v>
      </c>
      <c r="Q837" s="3" t="n">
        <v>0.118</v>
      </c>
      <c r="R837" s="3" t="n">
        <v>0.58</v>
      </c>
      <c r="S837" s="3" t="str">
        <f aca="false">IF(R837 &gt;= 0.5, "Positive", "Negative")</f>
        <v>Positive</v>
      </c>
      <c r="T837" s="2" t="n">
        <v>182.12</v>
      </c>
      <c r="U837" s="0" t="s">
        <v>31</v>
      </c>
    </row>
    <row r="838" customFormat="false" ht="14.25" hidden="false" customHeight="false" outlineLevel="0" collapsed="false">
      <c r="A838" s="0" t="n">
        <v>654</v>
      </c>
      <c r="B838" s="0" t="str">
        <f aca="false">_xlfn.xlookup(A838, artists!A$2:A$836, artists!B$2:B$836)</f>
        <v>Martin Solveig</v>
      </c>
      <c r="C838" s="1" t="s">
        <v>877</v>
      </c>
      <c r="D838" s="2" t="n">
        <v>159693</v>
      </c>
      <c r="E838" s="2" t="n">
        <f aca="false">D838/1000</f>
        <v>159.693</v>
      </c>
      <c r="F838" s="10" t="b">
        <f aca="false">FALSE()</f>
        <v>0</v>
      </c>
      <c r="G838" s="0" t="n">
        <v>18</v>
      </c>
      <c r="H838" s="0" t="n">
        <f aca="false">_xlfn.xlookup(G838, years!A$2:A$836, years!B$2:B$836)</f>
        <v>2015</v>
      </c>
      <c r="I838" s="2" t="n">
        <v>48</v>
      </c>
      <c r="J838" s="0" t="n">
        <v>0.8</v>
      </c>
      <c r="K838" s="0" t="n">
        <v>0.677</v>
      </c>
      <c r="L838" s="3" t="str">
        <f aca="false">IF(K838&gt;0.66,"High",IF(K838&gt;0.33&amp;K838&lt;=0.66,"Medium","Low"))</f>
        <v>High</v>
      </c>
      <c r="M838" s="0" t="n">
        <v>-4.023</v>
      </c>
      <c r="N838" s="3" t="n">
        <v>0.0393</v>
      </c>
      <c r="O838" s="3" t="n">
        <v>0.00563</v>
      </c>
      <c r="P838" s="4" t="n">
        <v>0.00409</v>
      </c>
      <c r="Q838" s="3" t="n">
        <v>0.0838</v>
      </c>
      <c r="R838" s="3" t="n">
        <v>0.547</v>
      </c>
      <c r="S838" s="3" t="str">
        <f aca="false">IF(R838 &gt;= 0.5, "Positive", "Negative")</f>
        <v>Positive</v>
      </c>
      <c r="T838" s="2" t="n">
        <v>125.004</v>
      </c>
      <c r="U838" s="0" t="s">
        <v>22</v>
      </c>
    </row>
    <row r="839" customFormat="false" ht="14.25" hidden="false" customHeight="false" outlineLevel="0" collapsed="false">
      <c r="A839" s="0" t="n">
        <v>447</v>
      </c>
      <c r="B839" s="0" t="str">
        <f aca="false">_xlfn.xlookup(A839, artists!A$2:A$836, artists!B$2:B$836)</f>
        <v>The xx</v>
      </c>
      <c r="C839" s="1" t="s">
        <v>878</v>
      </c>
      <c r="D839" s="2" t="n">
        <v>127920</v>
      </c>
      <c r="E839" s="2" t="n">
        <f aca="false">D839/1000</f>
        <v>127.92</v>
      </c>
      <c r="F839" s="10" t="b">
        <f aca="false">FALSE()</f>
        <v>0</v>
      </c>
      <c r="G839" s="0" t="n">
        <v>12</v>
      </c>
      <c r="H839" s="0" t="n">
        <f aca="false">_xlfn.xlookup(G839, years!A$2:A$836, years!B$2:B$836)</f>
        <v>2009</v>
      </c>
      <c r="I839" s="2" t="n">
        <v>2</v>
      </c>
      <c r="J839" s="0" t="n">
        <v>0.617</v>
      </c>
      <c r="K839" s="0" t="n">
        <v>0.778</v>
      </c>
      <c r="L839" s="3" t="str">
        <f aca="false">IF(K839&gt;0.66,"High",IF(K839&gt;0.33&amp;K839&lt;=0.66,"Medium","Low"))</f>
        <v>High</v>
      </c>
      <c r="M839" s="0" t="n">
        <v>-8.871</v>
      </c>
      <c r="N839" s="3" t="n">
        <v>0.027</v>
      </c>
      <c r="O839" s="3" t="n">
        <v>0.459</v>
      </c>
      <c r="P839" s="4" t="n">
        <v>0.925</v>
      </c>
      <c r="Q839" s="3" t="n">
        <v>0.128</v>
      </c>
      <c r="R839" s="3" t="n">
        <v>0.152</v>
      </c>
      <c r="S839" s="3" t="str">
        <f aca="false">IF(R839 &gt;= 0.5, "Positive", "Negative")</f>
        <v>Negative</v>
      </c>
      <c r="T839" s="2" t="n">
        <v>100.363</v>
      </c>
      <c r="U839" s="0" t="s">
        <v>43</v>
      </c>
    </row>
    <row r="840" customFormat="false" ht="14.25" hidden="false" customHeight="false" outlineLevel="0" collapsed="false">
      <c r="A840" s="0" t="n">
        <v>1</v>
      </c>
      <c r="B840" s="0" t="str">
        <f aca="false">_xlfn.xlookup(A840, artists!A$2:A$836, artists!B$2:B$836)</f>
        <v>Britney Spears</v>
      </c>
      <c r="C840" s="1" t="s">
        <v>879</v>
      </c>
      <c r="D840" s="2" t="n">
        <v>192360</v>
      </c>
      <c r="E840" s="2" t="n">
        <f aca="false">D840/1000</f>
        <v>192.36</v>
      </c>
      <c r="F840" s="10" t="b">
        <f aca="false">FALSE()</f>
        <v>0</v>
      </c>
      <c r="G840" s="0" t="n">
        <v>11</v>
      </c>
      <c r="H840" s="0" t="n">
        <f aca="false">_xlfn.xlookup(G840, years!A$2:A$836, years!B$2:B$836)</f>
        <v>2008</v>
      </c>
      <c r="I840" s="2" t="n">
        <v>74</v>
      </c>
      <c r="J840" s="0" t="n">
        <v>0.791</v>
      </c>
      <c r="K840" s="0" t="n">
        <v>0.733</v>
      </c>
      <c r="L840" s="3" t="str">
        <f aca="false">IF(K840&gt;0.66,"High",IF(K840&gt;0.33&amp;K840&lt;=0.66,"Medium","Low"))</f>
        <v>High</v>
      </c>
      <c r="M840" s="0" t="n">
        <v>-5.215</v>
      </c>
      <c r="N840" s="3" t="n">
        <v>0.052</v>
      </c>
      <c r="O840" s="3" t="n">
        <v>0.147</v>
      </c>
      <c r="P840" s="4" t="n">
        <v>0.000381</v>
      </c>
      <c r="Q840" s="3" t="n">
        <v>0.0713</v>
      </c>
      <c r="R840" s="3" t="n">
        <v>0.761</v>
      </c>
      <c r="S840" s="3" t="str">
        <f aca="false">IF(R840 &gt;= 0.5, "Positive", "Negative")</f>
        <v>Positive</v>
      </c>
      <c r="T840" s="2" t="n">
        <v>114.98</v>
      </c>
      <c r="U840" s="0" t="s">
        <v>39</v>
      </c>
    </row>
    <row r="841" customFormat="false" ht="14.25" hidden="false" customHeight="false" outlineLevel="0" collapsed="false">
      <c r="A841" s="0" t="n">
        <v>96</v>
      </c>
      <c r="B841" s="0" t="str">
        <f aca="false">_xlfn.xlookup(A841, artists!A$2:A$836, artists!B$2:B$836)</f>
        <v>Jessica Simpson</v>
      </c>
      <c r="C841" s="1" t="s">
        <v>880</v>
      </c>
      <c r="D841" s="2" t="n">
        <v>194026</v>
      </c>
      <c r="E841" s="2" t="n">
        <f aca="false">D841/1000</f>
        <v>194.026</v>
      </c>
      <c r="F841" s="10" t="b">
        <f aca="false">FALSE()</f>
        <v>0</v>
      </c>
      <c r="G841" s="0" t="n">
        <v>4</v>
      </c>
      <c r="H841" s="0" t="n">
        <f aca="false">_xlfn.xlookup(G841, years!A$2:A$836, years!B$2:B$836)</f>
        <v>2001</v>
      </c>
      <c r="I841" s="2" t="n">
        <v>43</v>
      </c>
      <c r="J841" s="0" t="n">
        <v>0.657</v>
      </c>
      <c r="K841" s="0" t="n">
        <v>0.965</v>
      </c>
      <c r="L841" s="3" t="str">
        <f aca="false">IF(K841&gt;0.66,"High",IF(K841&gt;0.33&amp;K841&lt;=0.66,"Medium","Low"))</f>
        <v>High</v>
      </c>
      <c r="M841" s="0" t="n">
        <v>-2.771</v>
      </c>
      <c r="N841" s="3" t="n">
        <v>0.0556</v>
      </c>
      <c r="O841" s="3" t="n">
        <v>0.0285</v>
      </c>
      <c r="P841" s="4" t="n">
        <v>8.84E-005</v>
      </c>
      <c r="Q841" s="3" t="n">
        <v>0.0552</v>
      </c>
      <c r="R841" s="3" t="n">
        <v>0.669</v>
      </c>
      <c r="S841" s="3" t="str">
        <f aca="false">IF(R841 &gt;= 0.5, "Positive", "Negative")</f>
        <v>Positive</v>
      </c>
      <c r="T841" s="2" t="n">
        <v>93.013</v>
      </c>
      <c r="U841" s="0" t="s">
        <v>33</v>
      </c>
    </row>
    <row r="842" customFormat="false" ht="14.25" hidden="false" customHeight="false" outlineLevel="0" collapsed="false">
      <c r="A842" s="0" t="n">
        <v>349</v>
      </c>
      <c r="B842" s="0" t="str">
        <f aca="false">_xlfn.xlookup(A842, artists!A$2:A$836, artists!B$2:B$836)</f>
        <v>Keane</v>
      </c>
      <c r="C842" s="1" t="s">
        <v>881</v>
      </c>
      <c r="D842" s="2" t="n">
        <v>186173</v>
      </c>
      <c r="E842" s="2" t="n">
        <f aca="false">D842/1000</f>
        <v>186.173</v>
      </c>
      <c r="F842" s="10" t="b">
        <f aca="false">FALSE()</f>
        <v>0</v>
      </c>
      <c r="G842" s="0" t="n">
        <v>9</v>
      </c>
      <c r="H842" s="0" t="n">
        <f aca="false">_xlfn.xlookup(G842, years!A$2:A$836, years!B$2:B$836)</f>
        <v>2006</v>
      </c>
      <c r="I842" s="2" t="n">
        <v>59</v>
      </c>
      <c r="J842" s="0" t="n">
        <v>0.489</v>
      </c>
      <c r="K842" s="0" t="n">
        <v>0.955</v>
      </c>
      <c r="L842" s="3" t="str">
        <f aca="false">IF(K842&gt;0.66,"High",IF(K842&gt;0.33&amp;K842&lt;=0.66,"Medium","Low"))</f>
        <v>High</v>
      </c>
      <c r="M842" s="0" t="n">
        <v>-2.771</v>
      </c>
      <c r="N842" s="3" t="n">
        <v>0.0363</v>
      </c>
      <c r="O842" s="3" t="n">
        <v>3.82E-005</v>
      </c>
      <c r="P842" s="4" t="n">
        <v>0.000178</v>
      </c>
      <c r="Q842" s="3" t="n">
        <v>0.334</v>
      </c>
      <c r="R842" s="3" t="n">
        <v>0.816</v>
      </c>
      <c r="S842" s="3" t="str">
        <f aca="false">IF(R842 &gt;= 0.5, "Positive", "Negative")</f>
        <v>Positive</v>
      </c>
      <c r="T842" s="2" t="n">
        <v>129.352</v>
      </c>
      <c r="U842" s="0" t="s">
        <v>39</v>
      </c>
    </row>
    <row r="843" customFormat="false" ht="14.25" hidden="false" customHeight="false" outlineLevel="0" collapsed="false">
      <c r="A843" s="0" t="n">
        <v>668</v>
      </c>
      <c r="B843" s="0" t="str">
        <f aca="false">_xlfn.xlookup(A843, artists!A$2:A$836, artists!B$2:B$836)</f>
        <v>Kygo</v>
      </c>
      <c r="C843" s="1" t="s">
        <v>882</v>
      </c>
      <c r="D843" s="2" t="n">
        <v>220780</v>
      </c>
      <c r="E843" s="2" t="n">
        <f aca="false">D843/1000</f>
        <v>220.78</v>
      </c>
      <c r="F843" s="10" t="b">
        <f aca="false">FALSE()</f>
        <v>0</v>
      </c>
      <c r="G843" s="0" t="n">
        <v>20</v>
      </c>
      <c r="H843" s="0" t="n">
        <f aca="false">_xlfn.xlookup(G843, years!A$2:A$836, years!B$2:B$836)</f>
        <v>2017</v>
      </c>
      <c r="I843" s="2" t="n">
        <v>75</v>
      </c>
      <c r="J843" s="0" t="n">
        <v>0.64</v>
      </c>
      <c r="K843" s="0" t="n">
        <v>0.533</v>
      </c>
      <c r="L843" s="3" t="str">
        <f aca="false">IF(K843&gt;0.66,"High",IF(K843&gt;0.33&amp;K843&lt;=0.66,"Medium","Low"))</f>
        <v>Low</v>
      </c>
      <c r="M843" s="0" t="n">
        <v>-6.596</v>
      </c>
      <c r="N843" s="3" t="n">
        <v>0.0706</v>
      </c>
      <c r="O843" s="3" t="n">
        <v>0.119</v>
      </c>
      <c r="P843" s="4" t="n">
        <v>0</v>
      </c>
      <c r="Q843" s="3" t="n">
        <v>0.0864</v>
      </c>
      <c r="R843" s="3" t="n">
        <v>0.515</v>
      </c>
      <c r="S843" s="3" t="str">
        <f aca="false">IF(R843 &gt;= 0.5, "Positive", "Negative")</f>
        <v>Positive</v>
      </c>
      <c r="T843" s="2" t="n">
        <v>99.968</v>
      </c>
      <c r="U843" s="0" t="s">
        <v>22</v>
      </c>
    </row>
    <row r="844" customFormat="false" ht="14.25" hidden="false" customHeight="false" outlineLevel="0" collapsed="false">
      <c r="A844" s="0" t="n">
        <v>22</v>
      </c>
      <c r="B844" s="0" t="str">
        <f aca="false">_xlfn.xlookup(A844, artists!A$2:A$836, artists!B$2:B$836)</f>
        <v>Sonique</v>
      </c>
      <c r="C844" s="1" t="s">
        <v>883</v>
      </c>
      <c r="D844" s="2" t="n">
        <v>240866</v>
      </c>
      <c r="E844" s="2" t="n">
        <f aca="false">D844/1000</f>
        <v>240.866</v>
      </c>
      <c r="F844" s="10" t="b">
        <f aca="false">FALSE()</f>
        <v>0</v>
      </c>
      <c r="G844" s="0" t="n">
        <v>3</v>
      </c>
      <c r="H844" s="0" t="n">
        <f aca="false">_xlfn.xlookup(G844, years!A$2:A$836, years!B$2:B$836)</f>
        <v>2000</v>
      </c>
      <c r="I844" s="2" t="n">
        <v>62</v>
      </c>
      <c r="J844" s="0" t="n">
        <v>0.634</v>
      </c>
      <c r="K844" s="0" t="n">
        <v>0.677</v>
      </c>
      <c r="L844" s="3" t="str">
        <f aca="false">IF(K844&gt;0.66,"High",IF(K844&gt;0.33&amp;K844&lt;=0.66,"Medium","Low"))</f>
        <v>High</v>
      </c>
      <c r="M844" s="0" t="n">
        <v>-7.278</v>
      </c>
      <c r="N844" s="3" t="n">
        <v>0.0304</v>
      </c>
      <c r="O844" s="3" t="n">
        <v>0.0117</v>
      </c>
      <c r="P844" s="4" t="n">
        <v>0.00103</v>
      </c>
      <c r="Q844" s="3" t="n">
        <v>0.126</v>
      </c>
      <c r="R844" s="3" t="n">
        <v>0.558</v>
      </c>
      <c r="S844" s="3" t="str">
        <f aca="false">IF(R844 &gt;= 0.5, "Positive", "Negative")</f>
        <v>Positive</v>
      </c>
      <c r="T844" s="2" t="n">
        <v>135.012</v>
      </c>
      <c r="U844" s="0" t="s">
        <v>39</v>
      </c>
    </row>
    <row r="845" customFormat="false" ht="14.25" hidden="false" customHeight="false" outlineLevel="0" collapsed="false">
      <c r="A845" s="0" t="n">
        <v>458</v>
      </c>
      <c r="B845" s="0" t="str">
        <f aca="false">_xlfn.xlookup(A845, artists!A$2:A$836, artists!B$2:B$836)</f>
        <v>Jason Derulo</v>
      </c>
      <c r="C845" s="1" t="s">
        <v>884</v>
      </c>
      <c r="D845" s="2" t="n">
        <v>192200</v>
      </c>
      <c r="E845" s="2" t="n">
        <f aca="false">D845/1000</f>
        <v>192.2</v>
      </c>
      <c r="F845" s="10" t="b">
        <f aca="false">FALSE()</f>
        <v>0</v>
      </c>
      <c r="G845" s="0" t="n">
        <v>14</v>
      </c>
      <c r="H845" s="0" t="n">
        <f aca="false">_xlfn.xlookup(G845, years!A$2:A$836, years!B$2:B$836)</f>
        <v>2011</v>
      </c>
      <c r="I845" s="2" t="n">
        <v>70</v>
      </c>
      <c r="J845" s="0" t="n">
        <v>0.668</v>
      </c>
      <c r="K845" s="0" t="n">
        <v>0.718</v>
      </c>
      <c r="L845" s="3" t="str">
        <f aca="false">IF(K845&gt;0.66,"High",IF(K845&gt;0.33&amp;K845&lt;=0.66,"Medium","Low"))</f>
        <v>High</v>
      </c>
      <c r="M845" s="0" t="n">
        <v>-4.736</v>
      </c>
      <c r="N845" s="3" t="n">
        <v>0.0605</v>
      </c>
      <c r="O845" s="3" t="n">
        <v>0.0165</v>
      </c>
      <c r="P845" s="4" t="n">
        <v>0</v>
      </c>
      <c r="Q845" s="3" t="n">
        <v>0.104</v>
      </c>
      <c r="R845" s="3" t="n">
        <v>0.345</v>
      </c>
      <c r="S845" s="3" t="str">
        <f aca="false">IF(R845 &gt;= 0.5, "Positive", "Negative")</f>
        <v>Negative</v>
      </c>
      <c r="T845" s="2" t="n">
        <v>91.993</v>
      </c>
      <c r="U845" s="0" t="s">
        <v>24</v>
      </c>
    </row>
    <row r="846" customFormat="false" ht="14.25" hidden="false" customHeight="false" outlineLevel="0" collapsed="false">
      <c r="A846" s="0" t="n">
        <v>82</v>
      </c>
      <c r="B846" s="0" t="str">
        <f aca="false">_xlfn.xlookup(A846, artists!A$2:A$836, artists!B$2:B$836)</f>
        <v>Shaggy</v>
      </c>
      <c r="C846" s="1" t="s">
        <v>885</v>
      </c>
      <c r="D846" s="2" t="n">
        <v>227600</v>
      </c>
      <c r="E846" s="2" t="n">
        <f aca="false">D846/1000</f>
        <v>227.6</v>
      </c>
      <c r="F846" s="10" t="b">
        <f aca="false">FALSE()</f>
        <v>0</v>
      </c>
      <c r="G846" s="0" t="n">
        <v>3</v>
      </c>
      <c r="H846" s="0" t="n">
        <f aca="false">_xlfn.xlookup(G846, years!A$2:A$836, years!B$2:B$836)</f>
        <v>2000</v>
      </c>
      <c r="I846" s="2" t="n">
        <v>76</v>
      </c>
      <c r="J846" s="0" t="n">
        <v>0.853</v>
      </c>
      <c r="K846" s="0" t="n">
        <v>0.606</v>
      </c>
      <c r="L846" s="3" t="str">
        <f aca="false">IF(K846&gt;0.66,"High",IF(K846&gt;0.33&amp;K846&lt;=0.66,"Medium","Low"))</f>
        <v>Low</v>
      </c>
      <c r="M846" s="0" t="n">
        <v>-4.596</v>
      </c>
      <c r="N846" s="3" t="n">
        <v>0.0713</v>
      </c>
      <c r="O846" s="3" t="n">
        <v>0.0561</v>
      </c>
      <c r="P846" s="4" t="n">
        <v>0</v>
      </c>
      <c r="Q846" s="3" t="n">
        <v>0.313</v>
      </c>
      <c r="R846" s="3" t="n">
        <v>0.654</v>
      </c>
      <c r="S846" s="3" t="str">
        <f aca="false">IF(R846 &gt;= 0.5, "Positive", "Negative")</f>
        <v>Positive</v>
      </c>
      <c r="T846" s="2" t="n">
        <v>94.759</v>
      </c>
      <c r="U846" s="0" t="s">
        <v>24</v>
      </c>
    </row>
    <row r="847" customFormat="false" ht="14.25" hidden="false" customHeight="false" outlineLevel="0" collapsed="false">
      <c r="A847" s="0" t="n">
        <v>469</v>
      </c>
      <c r="B847" s="0" t="str">
        <f aca="false">_xlfn.xlookup(A847, artists!A$2:A$836, artists!B$2:B$836)</f>
        <v>Bruno Mars</v>
      </c>
      <c r="C847" s="1" t="s">
        <v>886</v>
      </c>
      <c r="D847" s="2" t="n">
        <v>257720</v>
      </c>
      <c r="E847" s="2" t="n">
        <f aca="false">D847/1000</f>
        <v>257.72</v>
      </c>
      <c r="F847" s="10" t="b">
        <f aca="false">FALSE()</f>
        <v>0</v>
      </c>
      <c r="G847" s="0" t="n">
        <v>14</v>
      </c>
      <c r="H847" s="0" t="n">
        <f aca="false">_xlfn.xlookup(G847, years!A$2:A$836, years!B$2:B$836)</f>
        <v>2011</v>
      </c>
      <c r="I847" s="2" t="n">
        <v>74</v>
      </c>
      <c r="J847" s="0" t="n">
        <v>0.576</v>
      </c>
      <c r="K847" s="0" t="n">
        <v>0.835</v>
      </c>
      <c r="L847" s="3" t="str">
        <f aca="false">IF(K847&gt;0.66,"High",IF(K847&gt;0.33&amp;K847&lt;=0.66,"Medium","Low"))</f>
        <v>High</v>
      </c>
      <c r="M847" s="0" t="n">
        <v>-6.826</v>
      </c>
      <c r="N847" s="3" t="n">
        <v>0.0486</v>
      </c>
      <c r="O847" s="3" t="n">
        <v>0.337</v>
      </c>
      <c r="P847" s="4" t="n">
        <v>0</v>
      </c>
      <c r="Q847" s="3" t="n">
        <v>0.082</v>
      </c>
      <c r="R847" s="3" t="n">
        <v>0.476</v>
      </c>
      <c r="S847" s="3" t="str">
        <f aca="false">IF(R847 &gt;= 0.5, "Positive", "Negative")</f>
        <v>Negative</v>
      </c>
      <c r="T847" s="2" t="n">
        <v>150.017</v>
      </c>
      <c r="U847" s="0" t="s">
        <v>39</v>
      </c>
    </row>
    <row r="848" customFormat="false" ht="14.25" hidden="false" customHeight="false" outlineLevel="0" collapsed="false">
      <c r="A848" s="0" t="n">
        <v>576</v>
      </c>
      <c r="B848" s="0" t="str">
        <f aca="false">_xlfn.xlookup(A848, artists!A$2:A$836, artists!B$2:B$836)</f>
        <v>2 Chainz</v>
      </c>
      <c r="C848" s="1" t="s">
        <v>887</v>
      </c>
      <c r="D848" s="2" t="n">
        <v>210200</v>
      </c>
      <c r="E848" s="2" t="n">
        <f aca="false">D848/1000</f>
        <v>210.2</v>
      </c>
      <c r="F848" s="10" t="b">
        <f aca="false">TRUE()</f>
        <v>1</v>
      </c>
      <c r="G848" s="0" t="n">
        <v>20</v>
      </c>
      <c r="H848" s="0" t="n">
        <f aca="false">_xlfn.xlookup(G848, years!A$2:A$836, years!B$2:B$836)</f>
        <v>2017</v>
      </c>
      <c r="I848" s="2" t="n">
        <v>71</v>
      </c>
      <c r="J848" s="0" t="n">
        <v>0.822</v>
      </c>
      <c r="K848" s="0" t="n">
        <v>0.502</v>
      </c>
      <c r="L848" s="3" t="str">
        <f aca="false">IF(K848&gt;0.66,"High",IF(K848&gt;0.33&amp;K848&lt;=0.66,"Medium","Low"))</f>
        <v>Low</v>
      </c>
      <c r="M848" s="0" t="n">
        <v>-7.38</v>
      </c>
      <c r="N848" s="3" t="n">
        <v>0.148</v>
      </c>
      <c r="O848" s="3" t="n">
        <v>0.0312</v>
      </c>
      <c r="P848" s="4" t="n">
        <v>0.000887</v>
      </c>
      <c r="Q848" s="3" t="n">
        <v>0.114</v>
      </c>
      <c r="R848" s="3" t="n">
        <v>0.525</v>
      </c>
      <c r="S848" s="3" t="str">
        <f aca="false">IF(R848 &gt;= 0.5, "Positive", "Negative")</f>
        <v>Positive</v>
      </c>
      <c r="T848" s="2" t="n">
        <v>73.003</v>
      </c>
      <c r="U848" s="0" t="s">
        <v>24</v>
      </c>
    </row>
    <row r="849" customFormat="false" ht="14.25" hidden="false" customHeight="false" outlineLevel="0" collapsed="false">
      <c r="A849" s="0" t="n">
        <v>142</v>
      </c>
      <c r="B849" s="0" t="str">
        <f aca="false">_xlfn.xlookup(A849, artists!A$2:A$836, artists!B$2:B$836)</f>
        <v>Staind</v>
      </c>
      <c r="C849" s="1" t="s">
        <v>888</v>
      </c>
      <c r="D849" s="2" t="n">
        <v>264706</v>
      </c>
      <c r="E849" s="2" t="n">
        <f aca="false">D849/1000</f>
        <v>264.706</v>
      </c>
      <c r="F849" s="10" t="b">
        <f aca="false">TRUE()</f>
        <v>1</v>
      </c>
      <c r="G849" s="0" t="n">
        <v>4</v>
      </c>
      <c r="H849" s="0" t="n">
        <f aca="false">_xlfn.xlookup(G849, years!A$2:A$836, years!B$2:B$836)</f>
        <v>2001</v>
      </c>
      <c r="I849" s="2" t="n">
        <v>64</v>
      </c>
      <c r="J849" s="0" t="n">
        <v>0.509</v>
      </c>
      <c r="K849" s="0" t="n">
        <v>0.774</v>
      </c>
      <c r="L849" s="3" t="str">
        <f aca="false">IF(K849&gt;0.66,"High",IF(K849&gt;0.33&amp;K849&lt;=0.66,"Medium","Low"))</f>
        <v>High</v>
      </c>
      <c r="M849" s="0" t="n">
        <v>-4.054</v>
      </c>
      <c r="N849" s="3" t="n">
        <v>0.0338</v>
      </c>
      <c r="O849" s="3" t="n">
        <v>0.00189</v>
      </c>
      <c r="P849" s="4" t="n">
        <v>0.000549</v>
      </c>
      <c r="Q849" s="3" t="n">
        <v>0.143</v>
      </c>
      <c r="R849" s="3" t="n">
        <v>0.0824</v>
      </c>
      <c r="S849" s="3" t="str">
        <f aca="false">IF(R849 &gt;= 0.5, "Positive", "Negative")</f>
        <v>Negative</v>
      </c>
      <c r="T849" s="2" t="n">
        <v>116.529</v>
      </c>
      <c r="U849" s="0" t="s">
        <v>81</v>
      </c>
    </row>
    <row r="850" customFormat="false" ht="14.25" hidden="false" customHeight="false" outlineLevel="0" collapsed="false">
      <c r="A850" s="0" t="n">
        <v>330</v>
      </c>
      <c r="B850" s="0" t="str">
        <f aca="false">_xlfn.xlookup(A850, artists!A$2:A$836, artists!B$2:B$836)</f>
        <v>Yung Joc</v>
      </c>
      <c r="C850" s="1" t="s">
        <v>889</v>
      </c>
      <c r="D850" s="2" t="n">
        <v>241840</v>
      </c>
      <c r="E850" s="2" t="n">
        <f aca="false">D850/1000</f>
        <v>241.84</v>
      </c>
      <c r="F850" s="10" t="b">
        <f aca="false">TRUE()</f>
        <v>1</v>
      </c>
      <c r="G850" s="0" t="n">
        <v>9</v>
      </c>
      <c r="H850" s="0" t="n">
        <f aca="false">_xlfn.xlookup(G850, years!A$2:A$836, years!B$2:B$836)</f>
        <v>2006</v>
      </c>
      <c r="I850" s="2" t="n">
        <v>66</v>
      </c>
      <c r="J850" s="0" t="n">
        <v>0.888</v>
      </c>
      <c r="K850" s="0" t="n">
        <v>0.577</v>
      </c>
      <c r="L850" s="3" t="str">
        <f aca="false">IF(K850&gt;0.66,"High",IF(K850&gt;0.33&amp;K850&lt;=0.66,"Medium","Low"))</f>
        <v>Low</v>
      </c>
      <c r="M850" s="0" t="n">
        <v>-7.702</v>
      </c>
      <c r="N850" s="3" t="n">
        <v>0.0612</v>
      </c>
      <c r="O850" s="3" t="n">
        <v>0.0986</v>
      </c>
      <c r="P850" s="4" t="n">
        <v>0</v>
      </c>
      <c r="Q850" s="3" t="n">
        <v>0.131</v>
      </c>
      <c r="R850" s="3" t="n">
        <v>0.609</v>
      </c>
      <c r="S850" s="3" t="str">
        <f aca="false">IF(R850 &gt;= 0.5, "Positive", "Negative")</f>
        <v>Positive</v>
      </c>
      <c r="T850" s="2" t="n">
        <v>84.003</v>
      </c>
      <c r="U850" s="0" t="s">
        <v>24</v>
      </c>
    </row>
    <row r="851" customFormat="false" ht="14.25" hidden="false" customHeight="false" outlineLevel="0" collapsed="false">
      <c r="A851" s="0" t="n">
        <v>5</v>
      </c>
      <c r="B851" s="0" t="str">
        <f aca="false">_xlfn.xlookup(A851, artists!A$2:A$836, artists!B$2:B$836)</f>
        <v>*NSYNC</v>
      </c>
      <c r="C851" s="1" t="s">
        <v>890</v>
      </c>
      <c r="D851" s="2" t="n">
        <v>191040</v>
      </c>
      <c r="E851" s="2" t="n">
        <f aca="false">D851/1000</f>
        <v>191.04</v>
      </c>
      <c r="F851" s="10" t="b">
        <f aca="false">FALSE()</f>
        <v>0</v>
      </c>
      <c r="G851" s="0" t="n">
        <v>3</v>
      </c>
      <c r="H851" s="0" t="n">
        <f aca="false">_xlfn.xlookup(G851, years!A$2:A$836, years!B$2:B$836)</f>
        <v>2000</v>
      </c>
      <c r="I851" s="2" t="n">
        <v>60</v>
      </c>
      <c r="J851" s="0" t="n">
        <v>0.644</v>
      </c>
      <c r="K851" s="0" t="n">
        <v>0.874</v>
      </c>
      <c r="L851" s="3" t="str">
        <f aca="false">IF(K851&gt;0.66,"High",IF(K851&gt;0.33&amp;K851&lt;=0.66,"Medium","Low"))</f>
        <v>High</v>
      </c>
      <c r="M851" s="0" t="n">
        <v>-4.666</v>
      </c>
      <c r="N851" s="3" t="n">
        <v>0.0801</v>
      </c>
      <c r="O851" s="3" t="n">
        <v>0.0459</v>
      </c>
      <c r="P851" s="4" t="n">
        <v>2.24E-006</v>
      </c>
      <c r="Q851" s="3" t="n">
        <v>0.0584</v>
      </c>
      <c r="R851" s="3" t="n">
        <v>0.882</v>
      </c>
      <c r="S851" s="3" t="str">
        <f aca="false">IF(R851 &gt;= 0.5, "Positive", "Negative")</f>
        <v>Positive</v>
      </c>
      <c r="T851" s="2" t="n">
        <v>165.09</v>
      </c>
      <c r="U851" s="0" t="s">
        <v>39</v>
      </c>
    </row>
    <row r="852" customFormat="false" ht="14.25" hidden="false" customHeight="false" outlineLevel="0" collapsed="false">
      <c r="A852" s="0" t="n">
        <v>50</v>
      </c>
      <c r="B852" s="0" t="str">
        <f aca="false">_xlfn.xlookup(A852, artists!A$2:A$836, artists!B$2:B$836)</f>
        <v>Mariah Carey</v>
      </c>
      <c r="C852" s="1" t="s">
        <v>891</v>
      </c>
      <c r="D852" s="2" t="n">
        <v>203360</v>
      </c>
      <c r="E852" s="2" t="n">
        <f aca="false">D852/1000</f>
        <v>203.36</v>
      </c>
      <c r="F852" s="10" t="b">
        <f aca="false">FALSE()</f>
        <v>0</v>
      </c>
      <c r="G852" s="0" t="n">
        <v>8</v>
      </c>
      <c r="H852" s="0" t="n">
        <f aca="false">_xlfn.xlookup(G852, years!A$2:A$836, years!B$2:B$836)</f>
        <v>2005</v>
      </c>
      <c r="I852" s="2" t="n">
        <v>0</v>
      </c>
      <c r="J852" s="0" t="n">
        <v>0.8</v>
      </c>
      <c r="K852" s="0" t="n">
        <v>0.633</v>
      </c>
      <c r="L852" s="3" t="str">
        <f aca="false">IF(K852&gt;0.66,"High",IF(K852&gt;0.33&amp;K852&lt;=0.66,"Medium","Low"))</f>
        <v>Low</v>
      </c>
      <c r="M852" s="0" t="n">
        <v>-4.875</v>
      </c>
      <c r="N852" s="3" t="n">
        <v>0.0514</v>
      </c>
      <c r="O852" s="3" t="n">
        <v>0.0901</v>
      </c>
      <c r="P852" s="4" t="n">
        <v>0</v>
      </c>
      <c r="Q852" s="3" t="n">
        <v>0.0315</v>
      </c>
      <c r="R852" s="3" t="n">
        <v>0.836</v>
      </c>
      <c r="S852" s="3" t="str">
        <f aca="false">IF(R852 &gt;= 0.5, "Positive", "Negative")</f>
        <v>Positive</v>
      </c>
      <c r="T852" s="2" t="n">
        <v>95.953</v>
      </c>
      <c r="U852" s="0" t="s">
        <v>33</v>
      </c>
    </row>
    <row r="853" customFormat="false" ht="14.25" hidden="false" customHeight="false" outlineLevel="0" collapsed="false">
      <c r="A853" s="0" t="n">
        <v>4</v>
      </c>
      <c r="B853" s="0" t="str">
        <f aca="false">_xlfn.xlookup(A853, artists!A$2:A$836, artists!B$2:B$836)</f>
        <v>Bon Jovi</v>
      </c>
      <c r="C853" s="1" t="s">
        <v>892</v>
      </c>
      <c r="D853" s="2" t="n">
        <v>224493</v>
      </c>
      <c r="E853" s="2" t="n">
        <f aca="false">D853/1000</f>
        <v>224.493</v>
      </c>
      <c r="F853" s="10" t="b">
        <f aca="false">FALSE()</f>
        <v>0</v>
      </c>
      <c r="G853" s="0" t="n">
        <v>3</v>
      </c>
      <c r="H853" s="0" t="n">
        <f aca="false">_xlfn.xlookup(G853, years!A$2:A$836, years!B$2:B$836)</f>
        <v>2000</v>
      </c>
      <c r="I853" s="2" t="n">
        <v>78</v>
      </c>
      <c r="J853" s="0" t="n">
        <v>0.551</v>
      </c>
      <c r="K853" s="0" t="n">
        <v>0.913</v>
      </c>
      <c r="L853" s="3" t="str">
        <f aca="false">IF(K853&gt;0.66,"High",IF(K853&gt;0.33&amp;K853&lt;=0.66,"Medium","Low"))</f>
        <v>High</v>
      </c>
      <c r="M853" s="0" t="n">
        <v>-4.063</v>
      </c>
      <c r="N853" s="3" t="n">
        <v>0.0466</v>
      </c>
      <c r="O853" s="3" t="n">
        <v>0.0263</v>
      </c>
      <c r="P853" s="4" t="n">
        <v>1.35E-005</v>
      </c>
      <c r="Q853" s="3" t="n">
        <v>0.347</v>
      </c>
      <c r="R853" s="3" t="n">
        <v>0.544</v>
      </c>
      <c r="S853" s="3" t="str">
        <f aca="false">IF(R853 &gt;= 0.5, "Positive", "Negative")</f>
        <v>Positive</v>
      </c>
      <c r="T853" s="2" t="n">
        <v>119.992</v>
      </c>
      <c r="U853" s="0" t="s">
        <v>81</v>
      </c>
    </row>
    <row r="854" customFormat="false" ht="14.25" hidden="false" customHeight="false" outlineLevel="0" collapsed="false">
      <c r="A854" s="0" t="n">
        <v>149</v>
      </c>
      <c r="B854" s="0" t="str">
        <f aca="false">_xlfn.xlookup(A854, artists!A$2:A$836, artists!B$2:B$836)</f>
        <v>No Doubt</v>
      </c>
      <c r="C854" s="1" t="s">
        <v>892</v>
      </c>
      <c r="D854" s="2" t="n">
        <v>226053</v>
      </c>
      <c r="E854" s="2" t="n">
        <f aca="false">D854/1000</f>
        <v>226.053</v>
      </c>
      <c r="F854" s="10" t="b">
        <f aca="false">FALSE()</f>
        <v>0</v>
      </c>
      <c r="G854" s="0" t="n">
        <v>6</v>
      </c>
      <c r="H854" s="0" t="n">
        <f aca="false">_xlfn.xlookup(G854, years!A$2:A$836, years!B$2:B$836)</f>
        <v>2003</v>
      </c>
      <c r="I854" s="2" t="n">
        <v>60</v>
      </c>
      <c r="J854" s="0" t="n">
        <v>0.612</v>
      </c>
      <c r="K854" s="0" t="n">
        <v>0.735</v>
      </c>
      <c r="L854" s="3" t="str">
        <f aca="false">IF(K854&gt;0.66,"High",IF(K854&gt;0.33&amp;K854&lt;=0.66,"Medium","Low"))</f>
        <v>High</v>
      </c>
      <c r="M854" s="0" t="n">
        <v>-5.074</v>
      </c>
      <c r="N854" s="3" t="n">
        <v>0.0282</v>
      </c>
      <c r="O854" s="3" t="n">
        <v>0.00202</v>
      </c>
      <c r="P854" s="4" t="n">
        <v>0.00118</v>
      </c>
      <c r="Q854" s="3" t="n">
        <v>0.328</v>
      </c>
      <c r="R854" s="3" t="n">
        <v>0.783</v>
      </c>
      <c r="S854" s="3" t="str">
        <f aca="false">IF(R854 &gt;= 0.5, "Positive", "Negative")</f>
        <v>Positive</v>
      </c>
      <c r="T854" s="2" t="n">
        <v>126.326</v>
      </c>
      <c r="U854" s="0" t="s">
        <v>35</v>
      </c>
    </row>
    <row r="855" customFormat="false" ht="14.25" hidden="false" customHeight="false" outlineLevel="0" collapsed="false">
      <c r="A855" s="0" t="n">
        <v>66</v>
      </c>
      <c r="B855" s="0" t="str">
        <f aca="false">_xlfn.xlookup(A855, artists!A$2:A$836, artists!B$2:B$836)</f>
        <v>3 Doors Down</v>
      </c>
      <c r="C855" s="1" t="s">
        <v>893</v>
      </c>
      <c r="D855" s="2" t="n">
        <v>241960</v>
      </c>
      <c r="E855" s="2" t="n">
        <f aca="false">D855/1000</f>
        <v>241.96</v>
      </c>
      <c r="F855" s="10" t="b">
        <f aca="false">FALSE()</f>
        <v>0</v>
      </c>
      <c r="G855" s="0" t="n">
        <v>11</v>
      </c>
      <c r="H855" s="0" t="n">
        <f aca="false">_xlfn.xlookup(G855, years!A$2:A$836, years!B$2:B$836)</f>
        <v>2008</v>
      </c>
      <c r="I855" s="2" t="n">
        <v>56</v>
      </c>
      <c r="J855" s="0" t="n">
        <v>0.529</v>
      </c>
      <c r="K855" s="0" t="n">
        <v>0.934</v>
      </c>
      <c r="L855" s="3" t="str">
        <f aca="false">IF(K855&gt;0.66,"High",IF(K855&gt;0.33&amp;K855&lt;=0.66,"Medium","Low"))</f>
        <v>High</v>
      </c>
      <c r="M855" s="0" t="n">
        <v>-4.808</v>
      </c>
      <c r="N855" s="3" t="n">
        <v>0.0602</v>
      </c>
      <c r="O855" s="3" t="n">
        <v>0.00153</v>
      </c>
      <c r="P855" s="4" t="n">
        <v>5.16E-006</v>
      </c>
      <c r="Q855" s="3" t="n">
        <v>0.118</v>
      </c>
      <c r="R855" s="3" t="n">
        <v>0.282</v>
      </c>
      <c r="S855" s="3" t="str">
        <f aca="false">IF(R855 &gt;= 0.5, "Positive", "Negative")</f>
        <v>Negative</v>
      </c>
      <c r="T855" s="2" t="n">
        <v>127.962</v>
      </c>
      <c r="U855" s="0" t="s">
        <v>221</v>
      </c>
    </row>
    <row r="856" customFormat="false" ht="14.25" hidden="false" customHeight="false" outlineLevel="0" collapsed="false">
      <c r="A856" s="0" t="n">
        <v>706</v>
      </c>
      <c r="B856" s="0" t="str">
        <f aca="false">_xlfn.xlookup(A856, artists!A$2:A$836, artists!B$2:B$836)</f>
        <v>99 Souls</v>
      </c>
      <c r="C856" s="1" t="s">
        <v>894</v>
      </c>
      <c r="D856" s="2" t="n">
        <v>216613</v>
      </c>
      <c r="E856" s="2" t="n">
        <f aca="false">D856/1000</f>
        <v>216.613</v>
      </c>
      <c r="F856" s="10" t="b">
        <f aca="false">FALSE()</f>
        <v>0</v>
      </c>
      <c r="G856" s="0" t="n">
        <v>19</v>
      </c>
      <c r="H856" s="0" t="n">
        <f aca="false">_xlfn.xlookup(G856, years!A$2:A$836, years!B$2:B$836)</f>
        <v>2016</v>
      </c>
      <c r="I856" s="2" t="n">
        <v>55</v>
      </c>
      <c r="J856" s="0" t="n">
        <v>0.683</v>
      </c>
      <c r="K856" s="0" t="n">
        <v>0.943</v>
      </c>
      <c r="L856" s="3" t="str">
        <f aca="false">IF(K856&gt;0.66,"High",IF(K856&gt;0.33&amp;K856&lt;=0.66,"Medium","Low"))</f>
        <v>High</v>
      </c>
      <c r="M856" s="0" t="n">
        <v>-3.6</v>
      </c>
      <c r="N856" s="3" t="n">
        <v>0.0397</v>
      </c>
      <c r="O856" s="3" t="n">
        <v>0.00423</v>
      </c>
      <c r="P856" s="4" t="n">
        <v>0.0972</v>
      </c>
      <c r="Q856" s="3" t="n">
        <v>0.0356</v>
      </c>
      <c r="R856" s="3" t="n">
        <v>0.706</v>
      </c>
      <c r="S856" s="3" t="str">
        <f aca="false">IF(R856 &gt;= 0.5, "Positive", "Negative")</f>
        <v>Positive</v>
      </c>
      <c r="T856" s="2" t="n">
        <v>118.991</v>
      </c>
      <c r="U856" s="0" t="s">
        <v>48</v>
      </c>
    </row>
    <row r="857" customFormat="false" ht="14.25" hidden="false" customHeight="false" outlineLevel="0" collapsed="false">
      <c r="A857" s="0" t="n">
        <v>94</v>
      </c>
      <c r="B857" s="0" t="str">
        <f aca="false">_xlfn.xlookup(A857, artists!A$2:A$836, artists!B$2:B$836)</f>
        <v>112</v>
      </c>
      <c r="C857" s="1" t="s">
        <v>895</v>
      </c>
      <c r="D857" s="2" t="n">
        <v>264933</v>
      </c>
      <c r="E857" s="2" t="n">
        <f aca="false">D857/1000</f>
        <v>264.933</v>
      </c>
      <c r="F857" s="10" t="b">
        <f aca="false">FALSE()</f>
        <v>0</v>
      </c>
      <c r="G857" s="0" t="n">
        <v>4</v>
      </c>
      <c r="H857" s="0" t="n">
        <f aca="false">_xlfn.xlookup(G857, years!A$2:A$836, years!B$2:B$836)</f>
        <v>2001</v>
      </c>
      <c r="I857" s="2" t="n">
        <v>57</v>
      </c>
      <c r="J857" s="0" t="n">
        <v>0.66</v>
      </c>
      <c r="K857" s="0" t="n">
        <v>0.71</v>
      </c>
      <c r="L857" s="3" t="str">
        <f aca="false">IF(K857&gt;0.66,"High",IF(K857&gt;0.33&amp;K857&lt;=0.66,"Medium","Low"))</f>
        <v>High</v>
      </c>
      <c r="M857" s="0" t="n">
        <v>-4.541</v>
      </c>
      <c r="N857" s="3" t="n">
        <v>0.0409</v>
      </c>
      <c r="O857" s="3" t="n">
        <v>0.0106</v>
      </c>
      <c r="P857" s="4" t="n">
        <v>7.01E-006</v>
      </c>
      <c r="Q857" s="3" t="n">
        <v>0.0736</v>
      </c>
      <c r="R857" s="3" t="n">
        <v>0.233</v>
      </c>
      <c r="S857" s="3" t="str">
        <f aca="false">IF(R857 &gt;= 0.5, "Positive", "Negative")</f>
        <v>Negative</v>
      </c>
      <c r="T857" s="2" t="n">
        <v>97.988</v>
      </c>
      <c r="U857" s="0" t="s">
        <v>31</v>
      </c>
    </row>
    <row r="858" customFormat="false" ht="14.25" hidden="false" customHeight="false" outlineLevel="0" collapsed="false">
      <c r="A858" s="0" t="n">
        <v>87</v>
      </c>
      <c r="B858" s="0" t="str">
        <f aca="false">_xlfn.xlookup(A858, artists!A$2:A$836, artists!B$2:B$836)</f>
        <v>Geri Halliwell</v>
      </c>
      <c r="C858" s="1" t="s">
        <v>896</v>
      </c>
      <c r="D858" s="2" t="n">
        <v>254640</v>
      </c>
      <c r="E858" s="2" t="n">
        <f aca="false">D858/1000</f>
        <v>254.64</v>
      </c>
      <c r="F858" s="10" t="b">
        <f aca="false">FALSE()</f>
        <v>0</v>
      </c>
      <c r="G858" s="0" t="n">
        <v>4</v>
      </c>
      <c r="H858" s="0" t="n">
        <f aca="false">_xlfn.xlookup(G858, years!A$2:A$836, years!B$2:B$836)</f>
        <v>2001</v>
      </c>
      <c r="I858" s="2" t="n">
        <v>62</v>
      </c>
      <c r="J858" s="0" t="n">
        <v>0.637</v>
      </c>
      <c r="K858" s="0" t="n">
        <v>0.929</v>
      </c>
      <c r="L858" s="3" t="str">
        <f aca="false">IF(K858&gt;0.66,"High",IF(K858&gt;0.33&amp;K858&lt;=0.66,"Medium","Low"))</f>
        <v>High</v>
      </c>
      <c r="M858" s="0" t="n">
        <v>-6.03</v>
      </c>
      <c r="N858" s="3" t="n">
        <v>0.0447</v>
      </c>
      <c r="O858" s="3" t="n">
        <v>0.063</v>
      </c>
      <c r="P858" s="4" t="n">
        <v>0.00796</v>
      </c>
      <c r="Q858" s="3" t="n">
        <v>0.318</v>
      </c>
      <c r="R858" s="3" t="n">
        <v>0.604</v>
      </c>
      <c r="S858" s="3" t="str">
        <f aca="false">IF(R858 &gt;= 0.5, "Positive", "Negative")</f>
        <v>Positive</v>
      </c>
      <c r="T858" s="2" t="n">
        <v>136.482</v>
      </c>
      <c r="U858" s="0" t="s">
        <v>39</v>
      </c>
    </row>
    <row r="859" customFormat="false" ht="14.25" hidden="false" customHeight="false" outlineLevel="0" collapsed="false">
      <c r="A859" s="0" t="n">
        <v>127</v>
      </c>
      <c r="B859" s="0" t="str">
        <f aca="false">_xlfn.xlookup(A859, artists!A$2:A$836, artists!B$2:B$836)</f>
        <v>Steps</v>
      </c>
      <c r="C859" s="1" t="s">
        <v>897</v>
      </c>
      <c r="D859" s="2" t="n">
        <v>197360</v>
      </c>
      <c r="E859" s="2" t="n">
        <f aca="false">D859/1000</f>
        <v>197.36</v>
      </c>
      <c r="F859" s="10" t="b">
        <f aca="false">FALSE()</f>
        <v>0</v>
      </c>
      <c r="G859" s="0" t="n">
        <v>3</v>
      </c>
      <c r="H859" s="0" t="n">
        <f aca="false">_xlfn.xlookup(G859, years!A$2:A$836, years!B$2:B$836)</f>
        <v>2000</v>
      </c>
      <c r="I859" s="2" t="n">
        <v>53</v>
      </c>
      <c r="J859" s="0" t="n">
        <v>0.573</v>
      </c>
      <c r="K859" s="0" t="n">
        <v>0.665</v>
      </c>
      <c r="L859" s="3" t="str">
        <f aca="false">IF(K859&gt;0.66,"High",IF(K859&gt;0.33&amp;K859&lt;=0.66,"Medium","Low"))</f>
        <v>High</v>
      </c>
      <c r="M859" s="0" t="n">
        <v>-5.081</v>
      </c>
      <c r="N859" s="3" t="n">
        <v>0.0239</v>
      </c>
      <c r="O859" s="3" t="n">
        <v>0.108</v>
      </c>
      <c r="P859" s="4" t="n">
        <v>2.09E-006</v>
      </c>
      <c r="Q859" s="3" t="n">
        <v>0.095</v>
      </c>
      <c r="R859" s="3" t="n">
        <v>0.347</v>
      </c>
      <c r="S859" s="3" t="str">
        <f aca="false">IF(R859 &gt;= 0.5, "Positive", "Negative")</f>
        <v>Negative</v>
      </c>
      <c r="T859" s="2" t="n">
        <v>105.006</v>
      </c>
      <c r="U859" s="0" t="s">
        <v>22</v>
      </c>
    </row>
    <row r="860" customFormat="false" ht="14.25" hidden="false" customHeight="false" outlineLevel="0" collapsed="false">
      <c r="A860" s="0" t="n">
        <v>35</v>
      </c>
      <c r="B860" s="0" t="str">
        <f aca="false">_xlfn.xlookup(A860, artists!A$2:A$836, artists!B$2:B$836)</f>
        <v>JAY-Z</v>
      </c>
      <c r="C860" s="1" t="s">
        <v>898</v>
      </c>
      <c r="D860" s="2" t="n">
        <v>240626</v>
      </c>
      <c r="E860" s="2" t="n">
        <f aca="false">D860/1000</f>
        <v>240.626</v>
      </c>
      <c r="F860" s="10" t="b">
        <f aca="false">TRUE()</f>
        <v>1</v>
      </c>
      <c r="G860" s="0" t="n">
        <v>4</v>
      </c>
      <c r="H860" s="0" t="n">
        <f aca="false">_xlfn.xlookup(G860, years!A$2:A$836, years!B$2:B$836)</f>
        <v>2001</v>
      </c>
      <c r="I860" s="2" t="n">
        <v>63</v>
      </c>
      <c r="J860" s="0" t="n">
        <v>0.618</v>
      </c>
      <c r="K860" s="0" t="n">
        <v>0.844</v>
      </c>
      <c r="L860" s="3" t="str">
        <f aca="false">IF(K860&gt;0.66,"High",IF(K860&gt;0.33&amp;K860&lt;=0.66,"Medium","Low"))</f>
        <v>High</v>
      </c>
      <c r="M860" s="0" t="n">
        <v>-4.051</v>
      </c>
      <c r="N860" s="3" t="n">
        <v>0.342</v>
      </c>
      <c r="O860" s="3" t="n">
        <v>0.0178</v>
      </c>
      <c r="P860" s="4" t="n">
        <v>0.000126</v>
      </c>
      <c r="Q860" s="3" t="n">
        <v>0.0634</v>
      </c>
      <c r="R860" s="3" t="n">
        <v>0.697</v>
      </c>
      <c r="S860" s="3" t="str">
        <f aca="false">IF(R860 &gt;= 0.5, "Positive", "Negative")</f>
        <v>Positive</v>
      </c>
      <c r="T860" s="2" t="n">
        <v>84.411</v>
      </c>
      <c r="U860" s="0" t="s">
        <v>29</v>
      </c>
    </row>
    <row r="861" customFormat="false" ht="14.25" hidden="false" customHeight="false" outlineLevel="0" collapsed="false">
      <c r="A861" s="0" t="n">
        <v>81</v>
      </c>
      <c r="B861" s="0" t="str">
        <f aca="false">_xlfn.xlookup(A861, artists!A$2:A$836, artists!B$2:B$836)</f>
        <v>Nelly</v>
      </c>
      <c r="C861" s="1" t="s">
        <v>899</v>
      </c>
      <c r="D861" s="2" t="n">
        <v>293666</v>
      </c>
      <c r="E861" s="2" t="n">
        <f aca="false">D861/1000</f>
        <v>293.666</v>
      </c>
      <c r="F861" s="10" t="b">
        <f aca="false">FALSE()</f>
        <v>0</v>
      </c>
      <c r="G861" s="0" t="n">
        <v>19</v>
      </c>
      <c r="H861" s="0" t="n">
        <f aca="false">_xlfn.xlookup(G861, years!A$2:A$836, years!B$2:B$836)</f>
        <v>2016</v>
      </c>
      <c r="I861" s="2" t="n">
        <v>52</v>
      </c>
      <c r="J861" s="0" t="n">
        <v>0.527</v>
      </c>
      <c r="K861" s="0" t="n">
        <v>0.808</v>
      </c>
      <c r="L861" s="3" t="str">
        <f aca="false">IF(K861&gt;0.66,"High",IF(K861&gt;0.33&amp;K861&lt;=0.66,"Medium","Low"))</f>
        <v>High</v>
      </c>
      <c r="M861" s="0" t="n">
        <v>-4.749</v>
      </c>
      <c r="N861" s="3" t="n">
        <v>0.295</v>
      </c>
      <c r="O861" s="3" t="n">
        <v>0.176</v>
      </c>
      <c r="P861" s="4" t="n">
        <v>0</v>
      </c>
      <c r="Q861" s="3" t="n">
        <v>0.169</v>
      </c>
      <c r="R861" s="3" t="n">
        <v>0.907</v>
      </c>
      <c r="S861" s="3" t="str">
        <f aca="false">IF(R861 &gt;= 0.5, "Positive", "Negative")</f>
        <v>Positive</v>
      </c>
      <c r="T861" s="2" t="n">
        <v>87.025</v>
      </c>
      <c r="U861" s="0" t="s">
        <v>31</v>
      </c>
    </row>
    <row r="862" customFormat="false" ht="14.25" hidden="false" customHeight="false" outlineLevel="0" collapsed="false">
      <c r="A862" s="0" t="n">
        <v>454</v>
      </c>
      <c r="B862" s="0" t="str">
        <f aca="false">_xlfn.xlookup(A862, artists!A$2:A$836, artists!B$2:B$836)</f>
        <v>A.R. Rahman</v>
      </c>
      <c r="C862" s="1" t="s">
        <v>900</v>
      </c>
      <c r="D862" s="2" t="n">
        <v>222400</v>
      </c>
      <c r="E862" s="2" t="n">
        <f aca="false">D862/1000</f>
        <v>222.4</v>
      </c>
      <c r="F862" s="10" t="b">
        <f aca="false">FALSE()</f>
        <v>0</v>
      </c>
      <c r="G862" s="0" t="n">
        <v>12</v>
      </c>
      <c r="H862" s="0" t="n">
        <f aca="false">_xlfn.xlookup(G862, years!A$2:A$836, years!B$2:B$836)</f>
        <v>2009</v>
      </c>
      <c r="I862" s="2" t="n">
        <v>65</v>
      </c>
      <c r="J862" s="0" t="n">
        <v>0.657</v>
      </c>
      <c r="K862" s="0" t="n">
        <v>0.941</v>
      </c>
      <c r="L862" s="3" t="str">
        <f aca="false">IF(K862&gt;0.66,"High",IF(K862&gt;0.33&amp;K862&lt;=0.66,"Medium","Low"))</f>
        <v>High</v>
      </c>
      <c r="M862" s="0" t="n">
        <v>-3.919</v>
      </c>
      <c r="N862" s="3" t="n">
        <v>0.061</v>
      </c>
      <c r="O862" s="3" t="n">
        <v>0.0476</v>
      </c>
      <c r="P862" s="4" t="n">
        <v>0</v>
      </c>
      <c r="Q862" s="3" t="n">
        <v>0.0797</v>
      </c>
      <c r="R862" s="3" t="n">
        <v>0.879</v>
      </c>
      <c r="S862" s="3" t="str">
        <f aca="false">IF(R862 &gt;= 0.5, "Positive", "Negative")</f>
        <v>Positive</v>
      </c>
      <c r="T862" s="2" t="n">
        <v>136.202</v>
      </c>
      <c r="U862" s="0" t="s">
        <v>118</v>
      </c>
    </row>
    <row r="863" customFormat="false" ht="14.25" hidden="false" customHeight="false" outlineLevel="0" collapsed="false">
      <c r="A863" s="0" t="n">
        <v>533</v>
      </c>
      <c r="B863" s="0" t="str">
        <f aca="false">_xlfn.xlookup(A863, artists!A$2:A$836, artists!B$2:B$836)</f>
        <v>Christina Perri</v>
      </c>
      <c r="C863" s="1" t="s">
        <v>901</v>
      </c>
      <c r="D863" s="2" t="n">
        <v>246587</v>
      </c>
      <c r="E863" s="2" t="n">
        <f aca="false">D863/1000</f>
        <v>246.587</v>
      </c>
      <c r="F863" s="10" t="b">
        <f aca="false">FALSE()</f>
        <v>0</v>
      </c>
      <c r="G863" s="0" t="n">
        <v>14</v>
      </c>
      <c r="H863" s="0" t="n">
        <f aca="false">_xlfn.xlookup(G863, years!A$2:A$836, years!B$2:B$836)</f>
        <v>2011</v>
      </c>
      <c r="I863" s="2" t="n">
        <v>72</v>
      </c>
      <c r="J863" s="0" t="n">
        <v>0.349</v>
      </c>
      <c r="K863" s="0" t="n">
        <v>0.348</v>
      </c>
      <c r="L863" s="3" t="str">
        <f aca="false">IF(K863&gt;0.66,"High",IF(K863&gt;0.33&amp;K863&lt;=0.66,"Medium","Low"))</f>
        <v>Low</v>
      </c>
      <c r="M863" s="0" t="n">
        <v>-6.142</v>
      </c>
      <c r="N863" s="3" t="n">
        <v>0.0316</v>
      </c>
      <c r="O863" s="3" t="n">
        <v>0.726</v>
      </c>
      <c r="P863" s="4" t="n">
        <v>0</v>
      </c>
      <c r="Q863" s="3" t="n">
        <v>0.12</v>
      </c>
      <c r="R863" s="3" t="n">
        <v>0.0886</v>
      </c>
      <c r="S863" s="3" t="str">
        <f aca="false">IF(R863 &gt;= 0.5, "Positive", "Negative")</f>
        <v>Negative</v>
      </c>
      <c r="T863" s="2" t="n">
        <v>74.541</v>
      </c>
      <c r="U863" s="0" t="s">
        <v>39</v>
      </c>
    </row>
    <row r="864" customFormat="false" ht="14.25" hidden="false" customHeight="false" outlineLevel="0" collapsed="false">
      <c r="A864" s="0" t="n">
        <v>642</v>
      </c>
      <c r="B864" s="0" t="str">
        <f aca="false">_xlfn.xlookup(A864, artists!A$2:A$836, artists!B$2:B$836)</f>
        <v>Nick Jonas</v>
      </c>
      <c r="C864" s="1" t="s">
        <v>902</v>
      </c>
      <c r="D864" s="2" t="n">
        <v>222213</v>
      </c>
      <c r="E864" s="2" t="n">
        <f aca="false">D864/1000</f>
        <v>222.213</v>
      </c>
      <c r="F864" s="10" t="b">
        <f aca="false">TRUE()</f>
        <v>1</v>
      </c>
      <c r="G864" s="0" t="n">
        <v>17</v>
      </c>
      <c r="H864" s="0" t="n">
        <f aca="false">_xlfn.xlookup(G864, years!A$2:A$836, years!B$2:B$836)</f>
        <v>2014</v>
      </c>
      <c r="I864" s="2" t="n">
        <v>0</v>
      </c>
      <c r="J864" s="0" t="n">
        <v>0.685</v>
      </c>
      <c r="K864" s="0" t="n">
        <v>0.709</v>
      </c>
      <c r="L864" s="3" t="str">
        <f aca="false">IF(K864&gt;0.66,"High",IF(K864&gt;0.33&amp;K864&lt;=0.66,"Medium","Low"))</f>
        <v>High</v>
      </c>
      <c r="M864" s="0" t="n">
        <v>-3.578</v>
      </c>
      <c r="N864" s="3" t="n">
        <v>0.0748</v>
      </c>
      <c r="O864" s="3" t="n">
        <v>0.0132</v>
      </c>
      <c r="P864" s="4" t="n">
        <v>0</v>
      </c>
      <c r="Q864" s="3" t="n">
        <v>0.452</v>
      </c>
      <c r="R864" s="3" t="n">
        <v>0.504</v>
      </c>
      <c r="S864" s="3" t="str">
        <f aca="false">IF(R864 &gt;= 0.5, "Positive", "Negative")</f>
        <v>Positive</v>
      </c>
      <c r="T864" s="2" t="n">
        <v>93.047</v>
      </c>
      <c r="U864" s="0" t="s">
        <v>39</v>
      </c>
    </row>
    <row r="865" customFormat="false" ht="14.25" hidden="false" customHeight="false" outlineLevel="0" collapsed="false">
      <c r="A865" s="0" t="n">
        <v>100</v>
      </c>
      <c r="B865" s="0" t="str">
        <f aca="false">_xlfn.xlookup(A865, artists!A$2:A$836, artists!B$2:B$836)</f>
        <v>Jennifer Lopez</v>
      </c>
      <c r="C865" s="1" t="s">
        <v>903</v>
      </c>
      <c r="D865" s="2" t="n">
        <v>187840</v>
      </c>
      <c r="E865" s="2" t="n">
        <f aca="false">D865/1000</f>
        <v>187.84</v>
      </c>
      <c r="F865" s="10" t="b">
        <f aca="false">FALSE()</f>
        <v>0</v>
      </c>
      <c r="G865" s="0" t="n">
        <v>5</v>
      </c>
      <c r="H865" s="0" t="n">
        <f aca="false">_xlfn.xlookup(G865, years!A$2:A$836, years!B$2:B$836)</f>
        <v>2002</v>
      </c>
      <c r="I865" s="2" t="n">
        <v>70</v>
      </c>
      <c r="J865" s="0" t="n">
        <v>0.845</v>
      </c>
      <c r="K865" s="0" t="n">
        <v>0.768</v>
      </c>
      <c r="L865" s="3" t="str">
        <f aca="false">IF(K865&gt;0.66,"High",IF(K865&gt;0.33&amp;K865&lt;=0.66,"Medium","Low"))</f>
        <v>High</v>
      </c>
      <c r="M865" s="0" t="n">
        <v>-5.448</v>
      </c>
      <c r="N865" s="3" t="n">
        <v>0.188</v>
      </c>
      <c r="O865" s="3" t="n">
        <v>0.00733</v>
      </c>
      <c r="P865" s="4" t="n">
        <v>5.04E-006</v>
      </c>
      <c r="Q865" s="3" t="n">
        <v>0.0575</v>
      </c>
      <c r="R865" s="3" t="n">
        <v>0.96</v>
      </c>
      <c r="S865" s="3" t="str">
        <f aca="false">IF(R865 &gt;= 0.5, "Positive", "Negative")</f>
        <v>Positive</v>
      </c>
      <c r="T865" s="2" t="n">
        <v>100</v>
      </c>
      <c r="U865" s="0" t="s">
        <v>31</v>
      </c>
    </row>
    <row r="866" customFormat="false" ht="14.25" hidden="false" customHeight="false" outlineLevel="0" collapsed="false">
      <c r="A866" s="0" t="n">
        <v>269</v>
      </c>
      <c r="B866" s="0" t="str">
        <f aca="false">_xlfn.xlookup(A866, artists!A$2:A$836, artists!B$2:B$836)</f>
        <v>Kanye West</v>
      </c>
      <c r="C866" s="1" t="s">
        <v>904</v>
      </c>
      <c r="D866" s="2" t="n">
        <v>193733</v>
      </c>
      <c r="E866" s="2" t="n">
        <f aca="false">D866/1000</f>
        <v>193.733</v>
      </c>
      <c r="F866" s="10" t="b">
        <f aca="false">TRUE()</f>
        <v>1</v>
      </c>
      <c r="G866" s="0" t="n">
        <v>7</v>
      </c>
      <c r="H866" s="0" t="n">
        <f aca="false">_xlfn.xlookup(G866, years!A$2:A$836, years!B$2:B$836)</f>
        <v>2004</v>
      </c>
      <c r="I866" s="2" t="n">
        <v>73</v>
      </c>
      <c r="J866" s="0" t="n">
        <v>0.637</v>
      </c>
      <c r="K866" s="0" t="n">
        <v>0.834</v>
      </c>
      <c r="L866" s="3" t="str">
        <f aca="false">IF(K866&gt;0.66,"High",IF(K866&gt;0.33&amp;K866&lt;=0.66,"Medium","Low"))</f>
        <v>High</v>
      </c>
      <c r="M866" s="0" t="n">
        <v>-4.686</v>
      </c>
      <c r="N866" s="3" t="n">
        <v>0.323</v>
      </c>
      <c r="O866" s="3" t="n">
        <v>0.614</v>
      </c>
      <c r="P866" s="4" t="n">
        <v>0</v>
      </c>
      <c r="Q866" s="3" t="n">
        <v>0.317</v>
      </c>
      <c r="R866" s="3" t="n">
        <v>0.715</v>
      </c>
      <c r="S866" s="3" t="str">
        <f aca="false">IF(R866 &gt;= 0.5, "Positive", "Negative")</f>
        <v>Positive</v>
      </c>
      <c r="T866" s="2" t="n">
        <v>87.312</v>
      </c>
      <c r="U866" s="0" t="s">
        <v>29</v>
      </c>
    </row>
    <row r="867" customFormat="false" ht="14.25" hidden="false" customHeight="false" outlineLevel="0" collapsed="false">
      <c r="A867" s="0" t="n">
        <v>740</v>
      </c>
      <c r="B867" s="0" t="str">
        <f aca="false">_xlfn.xlookup(A867, artists!A$2:A$836, artists!B$2:B$836)</f>
        <v>XXXTENTACION</v>
      </c>
      <c r="C867" s="1" t="s">
        <v>905</v>
      </c>
      <c r="D867" s="2" t="n">
        <v>119133</v>
      </c>
      <c r="E867" s="2" t="n">
        <f aca="false">D867/1000</f>
        <v>119.133</v>
      </c>
      <c r="F867" s="10" t="b">
        <f aca="false">TRUE()</f>
        <v>1</v>
      </c>
      <c r="G867" s="0" t="n">
        <v>20</v>
      </c>
      <c r="H867" s="0" t="n">
        <f aca="false">_xlfn.xlookup(G867, years!A$2:A$836, years!B$2:B$836)</f>
        <v>2017</v>
      </c>
      <c r="I867" s="2" t="n">
        <v>83</v>
      </c>
      <c r="J867" s="0" t="n">
        <v>0.872</v>
      </c>
      <c r="K867" s="0" t="n">
        <v>0.391</v>
      </c>
      <c r="L867" s="3" t="str">
        <f aca="false">IF(K867&gt;0.66,"High",IF(K867&gt;0.33&amp;K867&lt;=0.66,"Medium","Low"))</f>
        <v>Low</v>
      </c>
      <c r="M867" s="0" t="n">
        <v>-9.144</v>
      </c>
      <c r="N867" s="3" t="n">
        <v>0.242</v>
      </c>
      <c r="O867" s="3" t="n">
        <v>0.469</v>
      </c>
      <c r="P867" s="4" t="n">
        <v>4.13E-006</v>
      </c>
      <c r="Q867" s="3" t="n">
        <v>0.297</v>
      </c>
      <c r="R867" s="3" t="n">
        <v>0.437</v>
      </c>
      <c r="S867" s="3" t="str">
        <f aca="false">IF(R867 &gt;= 0.5, "Positive", "Negative")</f>
        <v>Negative</v>
      </c>
      <c r="T867" s="2" t="n">
        <v>134.021</v>
      </c>
      <c r="U867" s="0" t="s">
        <v>29</v>
      </c>
    </row>
    <row r="868" customFormat="false" ht="14.25" hidden="false" customHeight="false" outlineLevel="0" collapsed="false">
      <c r="A868" s="0" t="n">
        <v>621</v>
      </c>
      <c r="B868" s="0" t="str">
        <f aca="false">_xlfn.xlookup(A868, artists!A$2:A$836, artists!B$2:B$836)</f>
        <v>Klingande</v>
      </c>
      <c r="C868" s="1" t="s">
        <v>906</v>
      </c>
      <c r="D868" s="2" t="n">
        <v>201626</v>
      </c>
      <c r="E868" s="2" t="n">
        <f aca="false">D868/1000</f>
        <v>201.626</v>
      </c>
      <c r="F868" s="10" t="b">
        <f aca="false">FALSE()</f>
        <v>0</v>
      </c>
      <c r="G868" s="0" t="n">
        <v>16</v>
      </c>
      <c r="H868" s="0" t="n">
        <f aca="false">_xlfn.xlookup(G868, years!A$2:A$836, years!B$2:B$836)</f>
        <v>2013</v>
      </c>
      <c r="I868" s="2" t="n">
        <v>50</v>
      </c>
      <c r="J868" s="0" t="n">
        <v>0.686</v>
      </c>
      <c r="K868" s="0" t="n">
        <v>0.524</v>
      </c>
      <c r="L868" s="3" t="str">
        <f aca="false">IF(K868&gt;0.66,"High",IF(K868&gt;0.33&amp;K868&lt;=0.66,"Medium","Low"))</f>
        <v>Low</v>
      </c>
      <c r="M868" s="0" t="n">
        <v>-7.251</v>
      </c>
      <c r="N868" s="3" t="n">
        <v>0.0343</v>
      </c>
      <c r="O868" s="3" t="n">
        <v>0.649</v>
      </c>
      <c r="P868" s="4" t="n">
        <v>0.0569</v>
      </c>
      <c r="Q868" s="3" t="n">
        <v>0.14</v>
      </c>
      <c r="R868" s="3" t="n">
        <v>0.0951</v>
      </c>
      <c r="S868" s="3" t="str">
        <f aca="false">IF(R868 &gt;= 0.5, "Positive", "Negative")</f>
        <v>Negative</v>
      </c>
      <c r="T868" s="2" t="n">
        <v>124.938</v>
      </c>
      <c r="U868" s="0" t="s">
        <v>22</v>
      </c>
    </row>
    <row r="869" customFormat="false" ht="14.25" hidden="false" customHeight="false" outlineLevel="0" collapsed="false">
      <c r="A869" s="0" t="n">
        <v>806</v>
      </c>
      <c r="B869" s="0" t="str">
        <f aca="false">_xlfn.xlookup(A869, artists!A$2:A$836, artists!B$2:B$836)</f>
        <v>Doja Cat</v>
      </c>
      <c r="C869" s="1" t="s">
        <v>907</v>
      </c>
      <c r="D869" s="2" t="n">
        <v>202333</v>
      </c>
      <c r="E869" s="2" t="n">
        <f aca="false">D869/1000</f>
        <v>202.333</v>
      </c>
      <c r="F869" s="10" t="b">
        <f aca="false">TRUE()</f>
        <v>1</v>
      </c>
      <c r="G869" s="0" t="n">
        <v>22</v>
      </c>
      <c r="H869" s="0" t="n">
        <f aca="false">_xlfn.xlookup(G869, years!A$2:A$836, years!B$2:B$836)</f>
        <v>2019</v>
      </c>
      <c r="I869" s="2" t="n">
        <v>57</v>
      </c>
      <c r="J869" s="0" t="n">
        <v>0.786</v>
      </c>
      <c r="K869" s="0" t="n">
        <v>0.658</v>
      </c>
      <c r="L869" s="3" t="str">
        <f aca="false">IF(K869&gt;0.66,"High",IF(K869&gt;0.33&amp;K869&lt;=0.66,"Medium","Low"))</f>
        <v>Low</v>
      </c>
      <c r="M869" s="0" t="n">
        <v>-2.61</v>
      </c>
      <c r="N869" s="3" t="n">
        <v>0.0661</v>
      </c>
      <c r="O869" s="3" t="n">
        <v>0.0856</v>
      </c>
      <c r="P869" s="4" t="n">
        <v>0</v>
      </c>
      <c r="Q869" s="3" t="n">
        <v>0.0689</v>
      </c>
      <c r="R869" s="3" t="n">
        <v>0.458</v>
      </c>
      <c r="S869" s="3" t="str">
        <f aca="false">IF(R869 &gt;= 0.5, "Positive", "Negative")</f>
        <v>Negative</v>
      </c>
      <c r="T869" s="2" t="n">
        <v>170.037</v>
      </c>
      <c r="U869" s="0" t="s">
        <v>39</v>
      </c>
    </row>
    <row r="870" customFormat="false" ht="14.25" hidden="false" customHeight="false" outlineLevel="0" collapsed="false">
      <c r="A870" s="0" t="n">
        <v>747</v>
      </c>
      <c r="B870" s="0" t="str">
        <f aca="false">_xlfn.xlookup(A870, artists!A$2:A$836, artists!B$2:B$836)</f>
        <v>Zay Hilfigerrr</v>
      </c>
      <c r="C870" s="1" t="s">
        <v>908</v>
      </c>
      <c r="D870" s="2" t="n">
        <v>144244</v>
      </c>
      <c r="E870" s="2" t="n">
        <f aca="false">D870/1000</f>
        <v>144.244</v>
      </c>
      <c r="F870" s="10" t="b">
        <f aca="false">FALSE()</f>
        <v>0</v>
      </c>
      <c r="G870" s="0" t="n">
        <v>19</v>
      </c>
      <c r="H870" s="0" t="n">
        <f aca="false">_xlfn.xlookup(G870, years!A$2:A$836, years!B$2:B$836)</f>
        <v>2016</v>
      </c>
      <c r="I870" s="2" t="n">
        <v>57</v>
      </c>
      <c r="J870" s="0" t="n">
        <v>0.807</v>
      </c>
      <c r="K870" s="0" t="n">
        <v>0.887</v>
      </c>
      <c r="L870" s="3" t="str">
        <f aca="false">IF(K870&gt;0.66,"High",IF(K870&gt;0.33&amp;K870&lt;=0.66,"Medium","Low"))</f>
        <v>High</v>
      </c>
      <c r="M870" s="0" t="n">
        <v>-3.892</v>
      </c>
      <c r="N870" s="3" t="n">
        <v>0.275</v>
      </c>
      <c r="O870" s="3" t="n">
        <v>0.00381</v>
      </c>
      <c r="P870" s="4" t="n">
        <v>0</v>
      </c>
      <c r="Q870" s="3" t="n">
        <v>0.391</v>
      </c>
      <c r="R870" s="3" t="n">
        <v>0.78</v>
      </c>
      <c r="S870" s="3" t="str">
        <f aca="false">IF(R870 &gt;= 0.5, "Positive", "Negative")</f>
        <v>Positive</v>
      </c>
      <c r="T870" s="2" t="n">
        <v>160.517</v>
      </c>
      <c r="U870" s="0" t="s">
        <v>118</v>
      </c>
    </row>
    <row r="871" customFormat="false" ht="14.25" hidden="false" customHeight="false" outlineLevel="0" collapsed="false">
      <c r="A871" s="0" t="n">
        <v>778</v>
      </c>
      <c r="B871" s="0" t="str">
        <f aca="false">_xlfn.xlookup(A871, artists!A$2:A$836, artists!B$2:B$836)</f>
        <v>B Young</v>
      </c>
      <c r="C871" s="1" t="s">
        <v>909</v>
      </c>
      <c r="D871" s="2" t="n">
        <v>173153</v>
      </c>
      <c r="E871" s="2" t="n">
        <f aca="false">D871/1000</f>
        <v>173.153</v>
      </c>
      <c r="F871" s="10" t="b">
        <f aca="false">FALSE()</f>
        <v>0</v>
      </c>
      <c r="G871" s="0" t="n">
        <v>21</v>
      </c>
      <c r="H871" s="0" t="n">
        <f aca="false">_xlfn.xlookup(G871, years!A$2:A$836, years!B$2:B$836)</f>
        <v>2018</v>
      </c>
      <c r="I871" s="2" t="n">
        <v>60</v>
      </c>
      <c r="J871" s="0" t="n">
        <v>0.791</v>
      </c>
      <c r="K871" s="0" t="n">
        <v>0.473</v>
      </c>
      <c r="L871" s="3" t="str">
        <f aca="false">IF(K871&gt;0.66,"High",IF(K871&gt;0.33&amp;K871&lt;=0.66,"Medium","Low"))</f>
        <v>Low</v>
      </c>
      <c r="M871" s="0" t="n">
        <v>-9.86</v>
      </c>
      <c r="N871" s="3" t="n">
        <v>0.25</v>
      </c>
      <c r="O871" s="3" t="n">
        <v>0.279</v>
      </c>
      <c r="P871" s="4" t="n">
        <v>0</v>
      </c>
      <c r="Q871" s="3" t="n">
        <v>0.0959</v>
      </c>
      <c r="R871" s="3" t="n">
        <v>0.603</v>
      </c>
      <c r="S871" s="3" t="str">
        <f aca="false">IF(R871 &gt;= 0.5, "Positive", "Negative")</f>
        <v>Positive</v>
      </c>
      <c r="T871" s="2" t="n">
        <v>95.948</v>
      </c>
      <c r="U871" s="0" t="s">
        <v>143</v>
      </c>
    </row>
    <row r="872" customFormat="false" ht="14.25" hidden="false" customHeight="false" outlineLevel="0" collapsed="false">
      <c r="A872" s="0" t="n">
        <v>209</v>
      </c>
      <c r="B872" s="0" t="str">
        <f aca="false">_xlfn.xlookup(A872, artists!A$2:A$836, artists!B$2:B$836)</f>
        <v>Girls Aloud</v>
      </c>
      <c r="C872" s="1" t="s">
        <v>910</v>
      </c>
      <c r="D872" s="2" t="n">
        <v>220360</v>
      </c>
      <c r="E872" s="2" t="n">
        <f aca="false">D872/1000</f>
        <v>220.36</v>
      </c>
      <c r="F872" s="10" t="b">
        <f aca="false">FALSE()</f>
        <v>0</v>
      </c>
      <c r="G872" s="0" t="n">
        <v>6</v>
      </c>
      <c r="H872" s="0" t="n">
        <f aca="false">_xlfn.xlookup(G872, years!A$2:A$836, years!B$2:B$836)</f>
        <v>2003</v>
      </c>
      <c r="I872" s="2" t="n">
        <v>60</v>
      </c>
      <c r="J872" s="0" t="n">
        <v>0.658</v>
      </c>
      <c r="K872" s="0" t="n">
        <v>0.826</v>
      </c>
      <c r="L872" s="3" t="str">
        <f aca="false">IF(K872&gt;0.66,"High",IF(K872&gt;0.33&amp;K872&lt;=0.66,"Medium","Low"))</f>
        <v>High</v>
      </c>
      <c r="M872" s="0" t="n">
        <v>-6.031</v>
      </c>
      <c r="N872" s="3" t="n">
        <v>0.0346</v>
      </c>
      <c r="O872" s="3" t="n">
        <v>0.00189</v>
      </c>
      <c r="P872" s="4" t="n">
        <v>0.00275</v>
      </c>
      <c r="Q872" s="3" t="n">
        <v>0.0492</v>
      </c>
      <c r="R872" s="3" t="n">
        <v>0.795</v>
      </c>
      <c r="S872" s="3" t="str">
        <f aca="false">IF(R872 &gt;= 0.5, "Positive", "Negative")</f>
        <v>Positive</v>
      </c>
      <c r="T872" s="2" t="n">
        <v>134.465</v>
      </c>
      <c r="U872" s="0" t="s">
        <v>22</v>
      </c>
    </row>
    <row r="873" customFormat="false" ht="14.25" hidden="false" customHeight="false" outlineLevel="0" collapsed="false">
      <c r="A873" s="0" t="n">
        <v>9</v>
      </c>
      <c r="B873" s="0" t="str">
        <f aca="false">_xlfn.xlookup(A873, artists!A$2:A$836, artists!B$2:B$836)</f>
        <v>Destiny's Child</v>
      </c>
      <c r="C873" s="1" t="s">
        <v>911</v>
      </c>
      <c r="D873" s="2" t="n">
        <v>230200</v>
      </c>
      <c r="E873" s="2" t="n">
        <f aca="false">D873/1000</f>
        <v>230.2</v>
      </c>
      <c r="F873" s="10" t="b">
        <f aca="false">FALSE()</f>
        <v>0</v>
      </c>
      <c r="G873" s="0" t="n">
        <v>2</v>
      </c>
      <c r="H873" s="0" t="n">
        <f aca="false">_xlfn.xlookup(G873, years!A$2:A$836, years!B$2:B$836)</f>
        <v>1999</v>
      </c>
      <c r="I873" s="2" t="n">
        <v>70</v>
      </c>
      <c r="J873" s="0" t="n">
        <v>0.771</v>
      </c>
      <c r="K873" s="0" t="n">
        <v>0.685</v>
      </c>
      <c r="L873" s="3" t="str">
        <f aca="false">IF(K873&gt;0.66,"High",IF(K873&gt;0.33&amp;K873&lt;=0.66,"Medium","Low"))</f>
        <v>High</v>
      </c>
      <c r="M873" s="0" t="n">
        <v>-4.639</v>
      </c>
      <c r="N873" s="3" t="n">
        <v>0.0567</v>
      </c>
      <c r="O873" s="3" t="n">
        <v>0.00543</v>
      </c>
      <c r="P873" s="4" t="n">
        <v>0.00157</v>
      </c>
      <c r="Q873" s="3" t="n">
        <v>0.0537</v>
      </c>
      <c r="R873" s="3" t="n">
        <v>0.683</v>
      </c>
      <c r="S873" s="3" t="str">
        <f aca="false">IF(R873 &gt;= 0.5, "Positive", "Negative")</f>
        <v>Positive</v>
      </c>
      <c r="T873" s="2" t="n">
        <v>88.997</v>
      </c>
      <c r="U873" s="0" t="s">
        <v>33</v>
      </c>
    </row>
    <row r="874" customFormat="false" ht="14.25" hidden="false" customHeight="false" outlineLevel="0" collapsed="false">
      <c r="A874" s="0" t="n">
        <v>455</v>
      </c>
      <c r="B874" s="0" t="str">
        <f aca="false">_xlfn.xlookup(A874, artists!A$2:A$836, artists!B$2:B$836)</f>
        <v>Drake</v>
      </c>
      <c r="C874" s="1" t="s">
        <v>912</v>
      </c>
      <c r="D874" s="2" t="n">
        <v>205879</v>
      </c>
      <c r="E874" s="2" t="n">
        <f aca="false">D874/1000</f>
        <v>205.879</v>
      </c>
      <c r="F874" s="10" t="b">
        <f aca="false">TRUE()</f>
        <v>1</v>
      </c>
      <c r="G874" s="0" t="n">
        <v>18</v>
      </c>
      <c r="H874" s="0" t="n">
        <f aca="false">_xlfn.xlookup(G874, years!A$2:A$836, years!B$2:B$836)</f>
        <v>2015</v>
      </c>
      <c r="I874" s="2" t="n">
        <v>0</v>
      </c>
      <c r="J874" s="0" t="n">
        <v>0.853</v>
      </c>
      <c r="K874" s="0" t="n">
        <v>0.558</v>
      </c>
      <c r="L874" s="3" t="str">
        <f aca="false">IF(K874&gt;0.66,"High",IF(K874&gt;0.33&amp;K874&lt;=0.66,"Medium","Low"))</f>
        <v>Low</v>
      </c>
      <c r="M874" s="0" t="n">
        <v>-7.448</v>
      </c>
      <c r="N874" s="3" t="n">
        <v>0.202</v>
      </c>
      <c r="O874" s="3" t="n">
        <v>0.0462</v>
      </c>
      <c r="P874" s="4" t="n">
        <v>0</v>
      </c>
      <c r="Q874" s="3" t="n">
        <v>0.341</v>
      </c>
      <c r="R874" s="3" t="n">
        <v>0.654</v>
      </c>
      <c r="S874" s="3" t="str">
        <f aca="false">IF(R874 &gt;= 0.5, "Positive", "Negative")</f>
        <v>Positive</v>
      </c>
      <c r="T874" s="2" t="n">
        <v>142.079</v>
      </c>
      <c r="U874" s="0" t="s">
        <v>31</v>
      </c>
    </row>
    <row r="875" customFormat="false" ht="14.25" hidden="false" customHeight="false" outlineLevel="0" collapsed="false">
      <c r="A875" s="0" t="n">
        <v>455</v>
      </c>
      <c r="B875" s="0" t="str">
        <f aca="false">_xlfn.xlookup(A875, artists!A$2:A$836, artists!B$2:B$836)</f>
        <v>Drake</v>
      </c>
      <c r="C875" s="1" t="s">
        <v>912</v>
      </c>
      <c r="D875" s="2" t="n">
        <v>205879</v>
      </c>
      <c r="E875" s="2" t="n">
        <f aca="false">D875/1000</f>
        <v>205.879</v>
      </c>
      <c r="F875" s="10" t="b">
        <f aca="false">TRUE()</f>
        <v>1</v>
      </c>
      <c r="G875" s="0" t="n">
        <v>18</v>
      </c>
      <c r="H875" s="0" t="n">
        <f aca="false">_xlfn.xlookup(G875, years!A$2:A$836, years!B$2:B$836)</f>
        <v>2015</v>
      </c>
      <c r="I875" s="2" t="n">
        <v>72</v>
      </c>
      <c r="J875" s="0" t="n">
        <v>0.852</v>
      </c>
      <c r="K875" s="0" t="n">
        <v>0.553</v>
      </c>
      <c r="L875" s="3" t="str">
        <f aca="false">IF(K875&gt;0.66,"High",IF(K875&gt;0.33&amp;K875&lt;=0.66,"Medium","Low"))</f>
        <v>Low</v>
      </c>
      <c r="M875" s="0" t="n">
        <v>-7.286</v>
      </c>
      <c r="N875" s="3" t="n">
        <v>0.187</v>
      </c>
      <c r="O875" s="3" t="n">
        <v>0.0559</v>
      </c>
      <c r="P875" s="4" t="n">
        <v>0</v>
      </c>
      <c r="Q875" s="3" t="n">
        <v>0.332</v>
      </c>
      <c r="R875" s="3" t="n">
        <v>0.656</v>
      </c>
      <c r="S875" s="3" t="str">
        <f aca="false">IF(R875 &gt;= 0.5, "Positive", "Negative")</f>
        <v>Positive</v>
      </c>
      <c r="T875" s="2" t="n">
        <v>142.079</v>
      </c>
      <c r="U875" s="0" t="s">
        <v>31</v>
      </c>
    </row>
    <row r="876" customFormat="false" ht="14.25" hidden="false" customHeight="false" outlineLevel="0" collapsed="false">
      <c r="A876" s="0" t="n">
        <v>81</v>
      </c>
      <c r="B876" s="0" t="str">
        <f aca="false">_xlfn.xlookup(A876, artists!A$2:A$836, artists!B$2:B$836)</f>
        <v>Nelly</v>
      </c>
      <c r="C876" s="1" t="s">
        <v>913</v>
      </c>
      <c r="D876" s="2" t="n">
        <v>237800</v>
      </c>
      <c r="E876" s="2" t="n">
        <f aca="false">D876/1000</f>
        <v>237.8</v>
      </c>
      <c r="F876" s="10" t="b">
        <f aca="false">FALSE()</f>
        <v>0</v>
      </c>
      <c r="G876" s="0" t="n">
        <v>13</v>
      </c>
      <c r="H876" s="0" t="n">
        <f aca="false">_xlfn.xlookup(G876, years!A$2:A$836, years!B$2:B$836)</f>
        <v>2010</v>
      </c>
      <c r="I876" s="2" t="n">
        <v>73</v>
      </c>
      <c r="J876" s="0" t="n">
        <v>0.531</v>
      </c>
      <c r="K876" s="0" t="n">
        <v>0.752</v>
      </c>
      <c r="L876" s="3" t="str">
        <f aca="false">IF(K876&gt;0.66,"High",IF(K876&gt;0.33&amp;K876&lt;=0.66,"Medium","Low"))</f>
        <v>High</v>
      </c>
      <c r="M876" s="0" t="n">
        <v>-6.161</v>
      </c>
      <c r="N876" s="3" t="n">
        <v>0.0305</v>
      </c>
      <c r="O876" s="3" t="n">
        <v>0.0421</v>
      </c>
      <c r="P876" s="4" t="n">
        <v>0</v>
      </c>
      <c r="Q876" s="3" t="n">
        <v>0.12</v>
      </c>
      <c r="R876" s="3" t="n">
        <v>0.103</v>
      </c>
      <c r="S876" s="3" t="str">
        <f aca="false">IF(R876 &gt;= 0.5, "Positive", "Negative")</f>
        <v>Negative</v>
      </c>
      <c r="T876" s="2" t="n">
        <v>89.917</v>
      </c>
      <c r="U876" s="0" t="s">
        <v>31</v>
      </c>
    </row>
    <row r="877" customFormat="false" ht="14.25" hidden="false" customHeight="false" outlineLevel="0" collapsed="false">
      <c r="A877" s="0" t="n">
        <v>504</v>
      </c>
      <c r="B877" s="0" t="str">
        <f aca="false">_xlfn.xlookup(A877, artists!A$2:A$836, artists!B$2:B$836)</f>
        <v>Lady A</v>
      </c>
      <c r="C877" s="1" t="s">
        <v>914</v>
      </c>
      <c r="D877" s="2" t="n">
        <v>218840</v>
      </c>
      <c r="E877" s="2" t="n">
        <f aca="false">D877/1000</f>
        <v>218.84</v>
      </c>
      <c r="F877" s="10" t="b">
        <f aca="false">FALSE()</f>
        <v>0</v>
      </c>
      <c r="G877" s="0" t="n">
        <v>14</v>
      </c>
      <c r="H877" s="0" t="n">
        <f aca="false">_xlfn.xlookup(G877, years!A$2:A$836, years!B$2:B$836)</f>
        <v>2011</v>
      </c>
      <c r="I877" s="2" t="n">
        <v>63</v>
      </c>
      <c r="J877" s="0" t="n">
        <v>0.593</v>
      </c>
      <c r="K877" s="0" t="n">
        <v>0.639</v>
      </c>
      <c r="L877" s="3" t="str">
        <f aca="false">IF(K877&gt;0.66,"High",IF(K877&gt;0.33&amp;K877&lt;=0.66,"Medium","Low"))</f>
        <v>Low</v>
      </c>
      <c r="M877" s="0" t="n">
        <v>-5.826</v>
      </c>
      <c r="N877" s="3" t="n">
        <v>0.0307</v>
      </c>
      <c r="O877" s="3" t="n">
        <v>0.446</v>
      </c>
      <c r="P877" s="4" t="n">
        <v>0</v>
      </c>
      <c r="Q877" s="3" t="n">
        <v>0.0998</v>
      </c>
      <c r="R877" s="3" t="n">
        <v>0.332</v>
      </c>
      <c r="S877" s="3" t="str">
        <f aca="false">IF(R877 &gt;= 0.5, "Positive", "Negative")</f>
        <v>Negative</v>
      </c>
      <c r="T877" s="2" t="n">
        <v>142.881</v>
      </c>
      <c r="U877" s="0" t="s">
        <v>204</v>
      </c>
    </row>
    <row r="878" customFormat="false" ht="14.25" hidden="false" customHeight="false" outlineLevel="0" collapsed="false">
      <c r="A878" s="0" t="n">
        <v>191</v>
      </c>
      <c r="B878" s="0" t="str">
        <f aca="false">_xlfn.xlookup(A878, artists!A$2:A$836, artists!B$2:B$836)</f>
        <v>50 Cent</v>
      </c>
      <c r="C878" s="1" t="s">
        <v>915</v>
      </c>
      <c r="D878" s="2" t="n">
        <v>237706</v>
      </c>
      <c r="E878" s="2" t="n">
        <f aca="false">D878/1000</f>
        <v>237.706</v>
      </c>
      <c r="F878" s="10" t="b">
        <f aca="false">TRUE()</f>
        <v>1</v>
      </c>
      <c r="G878" s="0" t="n">
        <v>8</v>
      </c>
      <c r="H878" s="0" t="n">
        <f aca="false">_xlfn.xlookup(G878, years!A$2:A$836, years!B$2:B$836)</f>
        <v>2005</v>
      </c>
      <c r="I878" s="2" t="n">
        <v>76</v>
      </c>
      <c r="J878" s="0" t="n">
        <v>0.489</v>
      </c>
      <c r="K878" s="0" t="n">
        <v>0.692</v>
      </c>
      <c r="L878" s="3" t="str">
        <f aca="false">IF(K878&gt;0.66,"High",IF(K878&gt;0.33&amp;K878&lt;=0.66,"Medium","Low"))</f>
        <v>High</v>
      </c>
      <c r="M878" s="0" t="n">
        <v>-6.672</v>
      </c>
      <c r="N878" s="3" t="n">
        <v>0.41</v>
      </c>
      <c r="O878" s="3" t="n">
        <v>0.0322</v>
      </c>
      <c r="P878" s="4" t="n">
        <v>0.00608</v>
      </c>
      <c r="Q878" s="3" t="n">
        <v>0.315</v>
      </c>
      <c r="R878" s="3" t="n">
        <v>0.527</v>
      </c>
      <c r="S878" s="3" t="str">
        <f aca="false">IF(R878 &gt;= 0.5, "Positive", "Negative")</f>
        <v>Positive</v>
      </c>
      <c r="T878" s="2" t="n">
        <v>96.946</v>
      </c>
      <c r="U878" s="0" t="s">
        <v>24</v>
      </c>
    </row>
    <row r="879" customFormat="false" ht="14.25" hidden="false" customHeight="false" outlineLevel="0" collapsed="false">
      <c r="A879" s="0" t="n">
        <v>167</v>
      </c>
      <c r="B879" s="0" t="str">
        <f aca="false">_xlfn.xlookup(A879, artists!A$2:A$836, artists!B$2:B$836)</f>
        <v>Liberty X</v>
      </c>
      <c r="C879" s="1" t="s">
        <v>916</v>
      </c>
      <c r="D879" s="2" t="n">
        <v>237359</v>
      </c>
      <c r="E879" s="2" t="n">
        <f aca="false">D879/1000</f>
        <v>237.359</v>
      </c>
      <c r="F879" s="10" t="b">
        <f aca="false">FALSE()</f>
        <v>0</v>
      </c>
      <c r="G879" s="0" t="n">
        <v>22</v>
      </c>
      <c r="H879" s="0" t="n">
        <f aca="false">_xlfn.xlookup(G879, years!A$2:A$836, years!B$2:B$836)</f>
        <v>2019</v>
      </c>
      <c r="I879" s="2" t="n">
        <v>43</v>
      </c>
      <c r="J879" s="0" t="n">
        <v>0.786</v>
      </c>
      <c r="K879" s="0" t="n">
        <v>0.614</v>
      </c>
      <c r="L879" s="3" t="str">
        <f aca="false">IF(K879&gt;0.66,"High",IF(K879&gt;0.33&amp;K879&lt;=0.66,"Medium","Low"))</f>
        <v>Low</v>
      </c>
      <c r="M879" s="0" t="n">
        <v>-6.554</v>
      </c>
      <c r="N879" s="3" t="n">
        <v>0.0574</v>
      </c>
      <c r="O879" s="3" t="n">
        <v>0.00616</v>
      </c>
      <c r="P879" s="4" t="n">
        <v>0</v>
      </c>
      <c r="Q879" s="3" t="n">
        <v>0.049</v>
      </c>
      <c r="R879" s="3" t="n">
        <v>0.742</v>
      </c>
      <c r="S879" s="3" t="str">
        <f aca="false">IF(R879 &gt;= 0.5, "Positive", "Negative")</f>
        <v>Positive</v>
      </c>
      <c r="T879" s="2" t="n">
        <v>103.887</v>
      </c>
      <c r="U879" s="0" t="s">
        <v>39</v>
      </c>
    </row>
    <row r="880" customFormat="false" ht="14.25" hidden="false" customHeight="false" outlineLevel="0" collapsed="false">
      <c r="A880" s="0" t="n">
        <v>194</v>
      </c>
      <c r="B880" s="0" t="str">
        <f aca="false">_xlfn.xlookup(A880, artists!A$2:A$836, artists!B$2:B$836)</f>
        <v>Black Eyed Peas</v>
      </c>
      <c r="C880" s="1" t="s">
        <v>917</v>
      </c>
      <c r="D880" s="2" t="n">
        <v>219426</v>
      </c>
      <c r="E880" s="2" t="n">
        <f aca="false">D880/1000</f>
        <v>219.426</v>
      </c>
      <c r="F880" s="10" t="b">
        <f aca="false">FALSE()</f>
        <v>0</v>
      </c>
      <c r="G880" s="0" t="n">
        <v>13</v>
      </c>
      <c r="H880" s="0" t="n">
        <f aca="false">_xlfn.xlookup(G880, years!A$2:A$836, years!B$2:B$836)</f>
        <v>2010</v>
      </c>
      <c r="I880" s="2" t="n">
        <v>76</v>
      </c>
      <c r="J880" s="0" t="n">
        <v>0.659</v>
      </c>
      <c r="K880" s="0" t="n">
        <v>0.628</v>
      </c>
      <c r="L880" s="3" t="str">
        <f aca="false">IF(K880&gt;0.66,"High",IF(K880&gt;0.33&amp;K880&lt;=0.66,"Medium","Low"))</f>
        <v>Low</v>
      </c>
      <c r="M880" s="0" t="n">
        <v>-8.685</v>
      </c>
      <c r="N880" s="3" t="n">
        <v>0.179</v>
      </c>
      <c r="O880" s="3" t="n">
        <v>0.186</v>
      </c>
      <c r="P880" s="4" t="n">
        <v>0</v>
      </c>
      <c r="Q880" s="3" t="n">
        <v>0.105</v>
      </c>
      <c r="R880" s="3" t="n">
        <v>0.262</v>
      </c>
      <c r="S880" s="3" t="str">
        <f aca="false">IF(R880 &gt;= 0.5, "Positive", "Negative")</f>
        <v>Negative</v>
      </c>
      <c r="T880" s="2" t="n">
        <v>94.05</v>
      </c>
      <c r="U880" s="0" t="s">
        <v>24</v>
      </c>
    </row>
    <row r="881" customFormat="false" ht="14.25" hidden="false" customHeight="false" outlineLevel="0" collapsed="false">
      <c r="A881" s="0" t="n">
        <v>437</v>
      </c>
      <c r="B881" s="0" t="str">
        <f aca="false">_xlfn.xlookup(A881, artists!A$2:A$836, artists!B$2:B$836)</f>
        <v>Lady Gaga</v>
      </c>
      <c r="C881" s="1" t="s">
        <v>918</v>
      </c>
      <c r="D881" s="2" t="n">
        <v>241933</v>
      </c>
      <c r="E881" s="2" t="n">
        <f aca="false">D881/1000</f>
        <v>241.933</v>
      </c>
      <c r="F881" s="10" t="b">
        <f aca="false">FALSE()</f>
        <v>0</v>
      </c>
      <c r="G881" s="0" t="n">
        <v>11</v>
      </c>
      <c r="H881" s="0" t="n">
        <f aca="false">_xlfn.xlookup(G881, years!A$2:A$836, years!B$2:B$836)</f>
        <v>2008</v>
      </c>
      <c r="I881" s="2" t="n">
        <v>76</v>
      </c>
      <c r="J881" s="0" t="n">
        <v>0.822</v>
      </c>
      <c r="K881" s="0" t="n">
        <v>0.739</v>
      </c>
      <c r="L881" s="3" t="str">
        <f aca="false">IF(K881&gt;0.66,"High",IF(K881&gt;0.33&amp;K881&lt;=0.66,"Medium","Low"))</f>
        <v>High</v>
      </c>
      <c r="M881" s="0" t="n">
        <v>-4.541</v>
      </c>
      <c r="N881" s="3" t="n">
        <v>0.0311</v>
      </c>
      <c r="O881" s="3" t="n">
        <v>0.0264</v>
      </c>
      <c r="P881" s="4" t="n">
        <v>4.26E-005</v>
      </c>
      <c r="Q881" s="3" t="n">
        <v>0.181</v>
      </c>
      <c r="R881" s="3" t="n">
        <v>0.745</v>
      </c>
      <c r="S881" s="3" t="str">
        <f aca="false">IF(R881 &gt;= 0.5, "Positive", "Negative")</f>
        <v>Positive</v>
      </c>
      <c r="T881" s="2" t="n">
        <v>118.992</v>
      </c>
      <c r="U881" s="0" t="s">
        <v>39</v>
      </c>
    </row>
    <row r="882" customFormat="false" ht="14.25" hidden="false" customHeight="false" outlineLevel="0" collapsed="false">
      <c r="A882" s="0" t="n">
        <v>89</v>
      </c>
      <c r="B882" s="0" t="str">
        <f aca="false">_xlfn.xlookup(A882, artists!A$2:A$836, artists!B$2:B$836)</f>
        <v>Mary J. Blige</v>
      </c>
      <c r="C882" s="1" t="s">
        <v>919</v>
      </c>
      <c r="D882" s="2" t="n">
        <v>242133</v>
      </c>
      <c r="E882" s="2" t="n">
        <f aca="false">D882/1000</f>
        <v>242.133</v>
      </c>
      <c r="F882" s="10" t="b">
        <f aca="false">FALSE()</f>
        <v>0</v>
      </c>
      <c r="G882" s="0" t="n">
        <v>10</v>
      </c>
      <c r="H882" s="0" t="n">
        <f aca="false">_xlfn.xlookup(G882, years!A$2:A$836, years!B$2:B$836)</f>
        <v>2007</v>
      </c>
      <c r="I882" s="2" t="n">
        <v>64</v>
      </c>
      <c r="J882" s="0" t="n">
        <v>0.923</v>
      </c>
      <c r="K882" s="0" t="n">
        <v>0.795</v>
      </c>
      <c r="L882" s="3" t="str">
        <f aca="false">IF(K882&gt;0.66,"High",IF(K882&gt;0.33&amp;K882&lt;=0.66,"Medium","Low"))</f>
        <v>High</v>
      </c>
      <c r="M882" s="0" t="n">
        <v>-3.61</v>
      </c>
      <c r="N882" s="3" t="n">
        <v>0.117</v>
      </c>
      <c r="O882" s="3" t="n">
        <v>0.0394</v>
      </c>
      <c r="P882" s="4" t="n">
        <v>0.000565</v>
      </c>
      <c r="Q882" s="3" t="n">
        <v>0.101</v>
      </c>
      <c r="R882" s="3" t="n">
        <v>0.588</v>
      </c>
      <c r="S882" s="3" t="str">
        <f aca="false">IF(R882 &gt;= 0.5, "Positive", "Negative")</f>
        <v>Positive</v>
      </c>
      <c r="T882" s="2" t="n">
        <v>123.021</v>
      </c>
      <c r="U882" s="0" t="s">
        <v>33</v>
      </c>
    </row>
    <row r="883" customFormat="false" ht="14.25" hidden="false" customHeight="false" outlineLevel="0" collapsed="false">
      <c r="A883" s="0" t="n">
        <v>710</v>
      </c>
      <c r="B883" s="0" t="str">
        <f aca="false">_xlfn.xlookup(A883, artists!A$2:A$836, artists!B$2:B$836)</f>
        <v>Steve Aoki</v>
      </c>
      <c r="C883" s="1" t="s">
        <v>920</v>
      </c>
      <c r="D883" s="2" t="n">
        <v>198774</v>
      </c>
      <c r="E883" s="2" t="n">
        <f aca="false">D883/1000</f>
        <v>198.774</v>
      </c>
      <c r="F883" s="10" t="b">
        <f aca="false">FALSE()</f>
        <v>0</v>
      </c>
      <c r="G883" s="0" t="n">
        <v>19</v>
      </c>
      <c r="H883" s="0" t="n">
        <f aca="false">_xlfn.xlookup(G883, years!A$2:A$836, years!B$2:B$836)</f>
        <v>2016</v>
      </c>
      <c r="I883" s="2" t="n">
        <v>63</v>
      </c>
      <c r="J883" s="0" t="n">
        <v>0.647</v>
      </c>
      <c r="K883" s="0" t="n">
        <v>0.932</v>
      </c>
      <c r="L883" s="3" t="str">
        <f aca="false">IF(K883&gt;0.66,"High",IF(K883&gt;0.33&amp;K883&lt;=0.66,"Medium","Low"))</f>
        <v>High</v>
      </c>
      <c r="M883" s="0" t="n">
        <v>-3.515</v>
      </c>
      <c r="N883" s="3" t="n">
        <v>0.0824</v>
      </c>
      <c r="O883" s="3" t="n">
        <v>0.00383</v>
      </c>
      <c r="P883" s="4" t="n">
        <v>1.5E-006</v>
      </c>
      <c r="Q883" s="3" t="n">
        <v>0.0574</v>
      </c>
      <c r="R883" s="3" t="n">
        <v>0.374</v>
      </c>
      <c r="S883" s="3" t="str">
        <f aca="false">IF(R883 &gt;= 0.5, "Positive", "Negative")</f>
        <v>Negative</v>
      </c>
      <c r="T883" s="2" t="n">
        <v>114.991</v>
      </c>
      <c r="U883" s="0" t="s">
        <v>53</v>
      </c>
    </row>
    <row r="884" customFormat="false" ht="14.25" hidden="false" customHeight="false" outlineLevel="0" collapsed="false">
      <c r="A884" s="0" t="n">
        <v>752</v>
      </c>
      <c r="B884" s="0" t="str">
        <f aca="false">_xlfn.xlookup(A884, artists!A$2:A$836, artists!B$2:B$836)</f>
        <v>Starley</v>
      </c>
      <c r="C884" s="1" t="s">
        <v>921</v>
      </c>
      <c r="D884" s="2" t="n">
        <v>222040</v>
      </c>
      <c r="E884" s="2" t="n">
        <f aca="false">D884/1000</f>
        <v>222.04</v>
      </c>
      <c r="F884" s="10" t="b">
        <f aca="false">FALSE()</f>
        <v>0</v>
      </c>
      <c r="G884" s="0" t="n">
        <v>19</v>
      </c>
      <c r="H884" s="0" t="n">
        <f aca="false">_xlfn.xlookup(G884, years!A$2:A$836, years!B$2:B$836)</f>
        <v>2016</v>
      </c>
      <c r="I884" s="2" t="n">
        <v>48</v>
      </c>
      <c r="J884" s="0" t="n">
        <v>0.67</v>
      </c>
      <c r="K884" s="0" t="n">
        <v>0.838</v>
      </c>
      <c r="L884" s="3" t="str">
        <f aca="false">IF(K884&gt;0.66,"High",IF(K884&gt;0.33&amp;K884&lt;=0.66,"Medium","Low"))</f>
        <v>High</v>
      </c>
      <c r="M884" s="0" t="n">
        <v>-4.031</v>
      </c>
      <c r="N884" s="3" t="n">
        <v>0.0362</v>
      </c>
      <c r="O884" s="3" t="n">
        <v>0.0605</v>
      </c>
      <c r="P884" s="4" t="n">
        <v>0.000611</v>
      </c>
      <c r="Q884" s="3" t="n">
        <v>0.159</v>
      </c>
      <c r="R884" s="3" t="n">
        <v>0.716</v>
      </c>
      <c r="S884" s="3" t="str">
        <f aca="false">IF(R884 &gt;= 0.5, "Positive", "Negative")</f>
        <v>Positive</v>
      </c>
      <c r="T884" s="2" t="n">
        <v>105</v>
      </c>
      <c r="U884" s="0" t="s">
        <v>22</v>
      </c>
    </row>
    <row r="885" customFormat="false" ht="14.25" hidden="false" customHeight="false" outlineLevel="0" collapsed="false">
      <c r="A885" s="0" t="n">
        <v>7</v>
      </c>
      <c r="B885" s="0" t="str">
        <f aca="false">_xlfn.xlookup(A885, artists!A$2:A$836, artists!B$2:B$836)</f>
        <v>Eminem</v>
      </c>
      <c r="C885" s="1" t="s">
        <v>922</v>
      </c>
      <c r="D885" s="2" t="n">
        <v>248680</v>
      </c>
      <c r="E885" s="2" t="n">
        <f aca="false">D885/1000</f>
        <v>248.68</v>
      </c>
      <c r="F885" s="10" t="b">
        <f aca="false">TRUE()</f>
        <v>1</v>
      </c>
      <c r="G885" s="0" t="n">
        <v>7</v>
      </c>
      <c r="H885" s="0" t="n">
        <f aca="false">_xlfn.xlookup(G885, years!A$2:A$836, years!B$2:B$836)</f>
        <v>2004</v>
      </c>
      <c r="I885" s="2" t="n">
        <v>67</v>
      </c>
      <c r="J885" s="0" t="n">
        <v>0.94</v>
      </c>
      <c r="K885" s="0" t="n">
        <v>0.633</v>
      </c>
      <c r="L885" s="3" t="str">
        <f aca="false">IF(K885&gt;0.66,"High",IF(K885&gt;0.33&amp;K885&lt;=0.66,"Medium","Low"))</f>
        <v>Low</v>
      </c>
      <c r="M885" s="0" t="n">
        <v>-3.56</v>
      </c>
      <c r="N885" s="3" t="n">
        <v>0.0467</v>
      </c>
      <c r="O885" s="3" t="n">
        <v>0.0581</v>
      </c>
      <c r="P885" s="4" t="n">
        <v>4.04E-005</v>
      </c>
      <c r="Q885" s="3" t="n">
        <v>0.281</v>
      </c>
      <c r="R885" s="3" t="n">
        <v>0.962</v>
      </c>
      <c r="S885" s="3" t="str">
        <f aca="false">IF(R885 &gt;= 0.5, "Positive", "Negative")</f>
        <v>Positive</v>
      </c>
      <c r="T885" s="2" t="n">
        <v>121.003</v>
      </c>
      <c r="U885" s="0" t="s">
        <v>29</v>
      </c>
    </row>
    <row r="886" customFormat="false" ht="14.25" hidden="false" customHeight="false" outlineLevel="0" collapsed="false">
      <c r="A886" s="0" t="n">
        <v>469</v>
      </c>
      <c r="B886" s="0" t="str">
        <f aca="false">_xlfn.xlookup(A886, artists!A$2:A$836, artists!B$2:B$836)</f>
        <v>Bruno Mars</v>
      </c>
      <c r="C886" s="1" t="s">
        <v>923</v>
      </c>
      <c r="D886" s="2" t="n">
        <v>220734</v>
      </c>
      <c r="E886" s="2" t="n">
        <f aca="false">D886/1000</f>
        <v>220.734</v>
      </c>
      <c r="F886" s="10" t="b">
        <f aca="false">FALSE()</f>
        <v>0</v>
      </c>
      <c r="G886" s="0" t="n">
        <v>13</v>
      </c>
      <c r="H886" s="0" t="n">
        <f aca="false">_xlfn.xlookup(G886, years!A$2:A$836, years!B$2:B$836)</f>
        <v>2010</v>
      </c>
      <c r="I886" s="2" t="n">
        <v>77</v>
      </c>
      <c r="J886" s="0" t="n">
        <v>0.635</v>
      </c>
      <c r="K886" s="0" t="n">
        <v>0.841</v>
      </c>
      <c r="L886" s="3" t="str">
        <f aca="false">IF(K886&gt;0.66,"High",IF(K886&gt;0.33&amp;K886&lt;=0.66,"Medium","Low"))</f>
        <v>High</v>
      </c>
      <c r="M886" s="0" t="n">
        <v>-5.379</v>
      </c>
      <c r="N886" s="3" t="n">
        <v>0.0422</v>
      </c>
      <c r="O886" s="3" t="n">
        <v>0.0134</v>
      </c>
      <c r="P886" s="4" t="n">
        <v>0</v>
      </c>
      <c r="Q886" s="3" t="n">
        <v>0.0622</v>
      </c>
      <c r="R886" s="3" t="n">
        <v>0.424</v>
      </c>
      <c r="S886" s="3" t="str">
        <f aca="false">IF(R886 &gt;= 0.5, "Positive", "Negative")</f>
        <v>Negative</v>
      </c>
      <c r="T886" s="2" t="n">
        <v>109.021</v>
      </c>
      <c r="U886" s="0" t="s">
        <v>39</v>
      </c>
    </row>
    <row r="887" customFormat="false" ht="14.25" hidden="false" customHeight="false" outlineLevel="0" collapsed="false">
      <c r="A887" s="0" t="n">
        <v>179</v>
      </c>
      <c r="B887" s="0" t="str">
        <f aca="false">_xlfn.xlookup(A887, artists!A$2:A$836, artists!B$2:B$836)</f>
        <v>Alicia Keys</v>
      </c>
      <c r="C887" s="1" t="s">
        <v>924</v>
      </c>
      <c r="D887" s="2" t="n">
        <v>256000</v>
      </c>
      <c r="E887" s="2" t="n">
        <f aca="false">D887/1000</f>
        <v>256</v>
      </c>
      <c r="F887" s="10" t="b">
        <f aca="false">FALSE()</f>
        <v>0</v>
      </c>
      <c r="G887" s="0" t="n">
        <v>6</v>
      </c>
      <c r="H887" s="0" t="n">
        <f aca="false">_xlfn.xlookup(G887, years!A$2:A$836, years!B$2:B$836)</f>
        <v>2003</v>
      </c>
      <c r="I887" s="2" t="n">
        <v>50</v>
      </c>
      <c r="J887" s="0" t="n">
        <v>0.727</v>
      </c>
      <c r="K887" s="0" t="n">
        <v>0.736</v>
      </c>
      <c r="L887" s="3" t="str">
        <f aca="false">IF(K887&gt;0.66,"High",IF(K887&gt;0.33&amp;K887&lt;=0.66,"Medium","Low"))</f>
        <v>High</v>
      </c>
      <c r="M887" s="0" t="n">
        <v>-6.203</v>
      </c>
      <c r="N887" s="3" t="n">
        <v>0.0615</v>
      </c>
      <c r="O887" s="3" t="n">
        <v>0.0743</v>
      </c>
      <c r="P887" s="4" t="n">
        <v>0.00311</v>
      </c>
      <c r="Q887" s="3" t="n">
        <v>0.0348</v>
      </c>
      <c r="R887" s="3" t="n">
        <v>0.687</v>
      </c>
      <c r="S887" s="3" t="str">
        <f aca="false">IF(R887 &gt;= 0.5, "Positive", "Negative")</f>
        <v>Positive</v>
      </c>
      <c r="T887" s="2" t="n">
        <v>85.098</v>
      </c>
      <c r="U887" s="0" t="s">
        <v>33</v>
      </c>
    </row>
    <row r="888" customFormat="false" ht="14.25" hidden="false" customHeight="false" outlineLevel="0" collapsed="false">
      <c r="A888" s="0" t="n">
        <v>805</v>
      </c>
      <c r="B888" s="0" t="str">
        <f aca="false">_xlfn.xlookup(A888, artists!A$2:A$836, artists!B$2:B$836)</f>
        <v>Russ Millions</v>
      </c>
      <c r="C888" s="1" t="s">
        <v>925</v>
      </c>
      <c r="D888" s="2" t="n">
        <v>252906</v>
      </c>
      <c r="E888" s="2" t="n">
        <f aca="false">D888/1000</f>
        <v>252.906</v>
      </c>
      <c r="F888" s="10" t="b">
        <f aca="false">TRUE()</f>
        <v>1</v>
      </c>
      <c r="G888" s="0" t="n">
        <v>22</v>
      </c>
      <c r="H888" s="0" t="n">
        <f aca="false">_xlfn.xlookup(G888, years!A$2:A$836, years!B$2:B$836)</f>
        <v>2019</v>
      </c>
      <c r="I888" s="2" t="n">
        <v>69</v>
      </c>
      <c r="J888" s="0" t="n">
        <v>0.863</v>
      </c>
      <c r="K888" s="0" t="n">
        <v>0.471</v>
      </c>
      <c r="L888" s="3" t="str">
        <f aca="false">IF(K888&gt;0.66,"High",IF(K888&gt;0.33&amp;K888&lt;=0.66,"Medium","Low"))</f>
        <v>Low</v>
      </c>
      <c r="M888" s="0" t="n">
        <v>-9.545</v>
      </c>
      <c r="N888" s="3" t="n">
        <v>0.478</v>
      </c>
      <c r="O888" s="3" t="n">
        <v>0.251</v>
      </c>
      <c r="P888" s="4" t="n">
        <v>0</v>
      </c>
      <c r="Q888" s="3" t="n">
        <v>0.121</v>
      </c>
      <c r="R888" s="3" t="n">
        <v>0.644</v>
      </c>
      <c r="S888" s="3" t="str">
        <f aca="false">IF(R888 &gt;= 0.5, "Positive", "Negative")</f>
        <v>Positive</v>
      </c>
      <c r="T888" s="2" t="n">
        <v>140.969</v>
      </c>
      <c r="U888" s="0" t="s">
        <v>39</v>
      </c>
    </row>
    <row r="889" customFormat="false" ht="14.25" hidden="false" customHeight="false" outlineLevel="0" collapsed="false">
      <c r="A889" s="0" t="n">
        <v>494</v>
      </c>
      <c r="B889" s="0" t="str">
        <f aca="false">_xlfn.xlookup(A889, artists!A$2:A$836, artists!B$2:B$836)</f>
        <v>Example</v>
      </c>
      <c r="C889" s="1" t="s">
        <v>926</v>
      </c>
      <c r="D889" s="2" t="n">
        <v>181826</v>
      </c>
      <c r="E889" s="2" t="n">
        <f aca="false">D889/1000</f>
        <v>181.826</v>
      </c>
      <c r="F889" s="10" t="b">
        <f aca="false">FALSE()</f>
        <v>0</v>
      </c>
      <c r="G889" s="0" t="n">
        <v>13</v>
      </c>
      <c r="H889" s="0" t="n">
        <f aca="false">_xlfn.xlookup(G889, years!A$2:A$836, years!B$2:B$836)</f>
        <v>2010</v>
      </c>
      <c r="I889" s="2" t="n">
        <v>63</v>
      </c>
      <c r="J889" s="0" t="n">
        <v>0.61</v>
      </c>
      <c r="K889" s="0" t="n">
        <v>0.836</v>
      </c>
      <c r="L889" s="3" t="str">
        <f aca="false">IF(K889&gt;0.66,"High",IF(K889&gt;0.33&amp;K889&lt;=0.66,"Medium","Low"))</f>
        <v>High</v>
      </c>
      <c r="M889" s="0" t="n">
        <v>-4.455</v>
      </c>
      <c r="N889" s="3" t="n">
        <v>0.0573</v>
      </c>
      <c r="O889" s="3" t="n">
        <v>0.00374</v>
      </c>
      <c r="P889" s="4" t="n">
        <v>0</v>
      </c>
      <c r="Q889" s="3" t="n">
        <v>0.358</v>
      </c>
      <c r="R889" s="3" t="n">
        <v>0.657</v>
      </c>
      <c r="S889" s="3" t="str">
        <f aca="false">IF(R889 &gt;= 0.5, "Positive", "Negative")</f>
        <v>Positive</v>
      </c>
      <c r="T889" s="2" t="n">
        <v>126.056</v>
      </c>
      <c r="U889" s="0" t="s">
        <v>22</v>
      </c>
    </row>
    <row r="890" customFormat="false" ht="14.25" hidden="false" customHeight="false" outlineLevel="0" collapsed="false">
      <c r="A890" s="0" t="n">
        <v>417</v>
      </c>
      <c r="B890" s="0" t="str">
        <f aca="false">_xlfn.xlookup(A890, artists!A$2:A$836, artists!B$2:B$836)</f>
        <v>MGMT</v>
      </c>
      <c r="C890" s="1" t="s">
        <v>927</v>
      </c>
      <c r="D890" s="2" t="n">
        <v>302840</v>
      </c>
      <c r="E890" s="2" t="n">
        <f aca="false">D890/1000</f>
        <v>302.84</v>
      </c>
      <c r="F890" s="10" t="b">
        <f aca="false">FALSE()</f>
        <v>0</v>
      </c>
      <c r="G890" s="0" t="n">
        <v>10</v>
      </c>
      <c r="H890" s="0" t="n">
        <f aca="false">_xlfn.xlookup(G890, years!A$2:A$836, years!B$2:B$836)</f>
        <v>2007</v>
      </c>
      <c r="I890" s="2" t="n">
        <v>77</v>
      </c>
      <c r="J890" s="0" t="n">
        <v>0.451</v>
      </c>
      <c r="K890" s="0" t="n">
        <v>0.931</v>
      </c>
      <c r="L890" s="3" t="str">
        <f aca="false">IF(K890&gt;0.66,"High",IF(K890&gt;0.33&amp;K890&lt;=0.66,"Medium","Low"))</f>
        <v>High</v>
      </c>
      <c r="M890" s="0" t="n">
        <v>-3.871</v>
      </c>
      <c r="N890" s="3" t="n">
        <v>0.0719</v>
      </c>
      <c r="O890" s="3" t="n">
        <v>0.00076</v>
      </c>
      <c r="P890" s="4" t="n">
        <v>0.0049</v>
      </c>
      <c r="Q890" s="3" t="n">
        <v>0.361</v>
      </c>
      <c r="R890" s="3" t="n">
        <v>0.172</v>
      </c>
      <c r="S890" s="3" t="str">
        <f aca="false">IF(R890 &gt;= 0.5, "Positive", "Negative")</f>
        <v>Negative</v>
      </c>
      <c r="T890" s="2" t="n">
        <v>122.961</v>
      </c>
      <c r="U890" s="0" t="s">
        <v>43</v>
      </c>
    </row>
    <row r="891" customFormat="false" ht="14.25" hidden="false" customHeight="false" outlineLevel="0" collapsed="false">
      <c r="A891" s="0" t="n">
        <v>28</v>
      </c>
      <c r="B891" s="0" t="str">
        <f aca="false">_xlfn.xlookup(A891, artists!A$2:A$836, artists!B$2:B$836)</f>
        <v>Chicane</v>
      </c>
      <c r="C891" s="1" t="s">
        <v>928</v>
      </c>
      <c r="D891" s="2" t="n">
        <v>210786</v>
      </c>
      <c r="E891" s="2" t="n">
        <f aca="false">D891/1000</f>
        <v>210.786</v>
      </c>
      <c r="F891" s="10" t="b">
        <f aca="false">FALSE()</f>
        <v>0</v>
      </c>
      <c r="G891" s="0" t="n">
        <v>19</v>
      </c>
      <c r="H891" s="0" t="n">
        <f aca="false">_xlfn.xlookup(G891, years!A$2:A$836, years!B$2:B$836)</f>
        <v>2016</v>
      </c>
      <c r="I891" s="2" t="n">
        <v>47</v>
      </c>
      <c r="J891" s="0" t="n">
        <v>0.644</v>
      </c>
      <c r="K891" s="0" t="n">
        <v>0.72</v>
      </c>
      <c r="L891" s="3" t="str">
        <f aca="false">IF(K891&gt;0.66,"High",IF(K891&gt;0.33&amp;K891&lt;=0.66,"Medium","Low"))</f>
        <v>High</v>
      </c>
      <c r="M891" s="0" t="n">
        <v>-9.635</v>
      </c>
      <c r="N891" s="3" t="n">
        <v>0.0419</v>
      </c>
      <c r="O891" s="3" t="n">
        <v>0.00145</v>
      </c>
      <c r="P891" s="4" t="n">
        <v>0.504</v>
      </c>
      <c r="Q891" s="3" t="n">
        <v>0.0839</v>
      </c>
      <c r="R891" s="3" t="n">
        <v>0.53</v>
      </c>
      <c r="S891" s="3" t="str">
        <f aca="false">IF(R891 &gt;= 0.5, "Positive", "Negative")</f>
        <v>Positive</v>
      </c>
      <c r="T891" s="2" t="n">
        <v>132.017</v>
      </c>
      <c r="U891" s="0" t="s">
        <v>48</v>
      </c>
    </row>
    <row r="892" customFormat="false" ht="14.25" hidden="false" customHeight="false" outlineLevel="0" collapsed="false">
      <c r="A892" s="0" t="n">
        <v>101</v>
      </c>
      <c r="B892" s="0" t="str">
        <f aca="false">_xlfn.xlookup(A892, artists!A$2:A$836, artists!B$2:B$836)</f>
        <v>Brandy</v>
      </c>
      <c r="C892" s="1" t="s">
        <v>929</v>
      </c>
      <c r="D892" s="2" t="n">
        <v>271626</v>
      </c>
      <c r="E892" s="2" t="n">
        <f aca="false">D892/1000</f>
        <v>271.626</v>
      </c>
      <c r="F892" s="10" t="b">
        <f aca="false">FALSE()</f>
        <v>0</v>
      </c>
      <c r="G892" s="0" t="n">
        <v>5</v>
      </c>
      <c r="H892" s="0" t="n">
        <f aca="false">_xlfn.xlookup(G892, years!A$2:A$836, years!B$2:B$836)</f>
        <v>2002</v>
      </c>
      <c r="I892" s="2" t="n">
        <v>50</v>
      </c>
      <c r="J892" s="0" t="n">
        <v>0.7</v>
      </c>
      <c r="K892" s="0" t="n">
        <v>0.787</v>
      </c>
      <c r="L892" s="3" t="str">
        <f aca="false">IF(K892&gt;0.66,"High",IF(K892&gt;0.33&amp;K892&lt;=0.66,"Medium","Low"))</f>
        <v>High</v>
      </c>
      <c r="M892" s="0" t="n">
        <v>-5.176</v>
      </c>
      <c r="N892" s="3" t="n">
        <v>0.0327</v>
      </c>
      <c r="O892" s="3" t="n">
        <v>0.00666</v>
      </c>
      <c r="P892" s="4" t="n">
        <v>3.68E-005</v>
      </c>
      <c r="Q892" s="3" t="n">
        <v>0.0724</v>
      </c>
      <c r="R892" s="3" t="n">
        <v>0.556</v>
      </c>
      <c r="S892" s="3" t="str">
        <f aca="false">IF(R892 &gt;= 0.5, "Positive", "Negative")</f>
        <v>Positive</v>
      </c>
      <c r="T892" s="2" t="n">
        <v>102.043</v>
      </c>
      <c r="U892" s="0" t="s">
        <v>31</v>
      </c>
    </row>
    <row r="893" customFormat="false" ht="14.25" hidden="false" customHeight="false" outlineLevel="0" collapsed="false">
      <c r="A893" s="0" t="n">
        <v>373</v>
      </c>
      <c r="B893" s="0" t="str">
        <f aca="false">_xlfn.xlookup(A893, artists!A$2:A$836, artists!B$2:B$836)</f>
        <v>Daughtry</v>
      </c>
      <c r="C893" s="1" t="s">
        <v>930</v>
      </c>
      <c r="D893" s="2" t="n">
        <v>215173</v>
      </c>
      <c r="E893" s="2" t="n">
        <f aca="false">D893/1000</f>
        <v>215.173</v>
      </c>
      <c r="F893" s="10" t="b">
        <f aca="false">FALSE()</f>
        <v>0</v>
      </c>
      <c r="G893" s="0" t="n">
        <v>19</v>
      </c>
      <c r="H893" s="0" t="n">
        <f aca="false">_xlfn.xlookup(G893, years!A$2:A$836, years!B$2:B$836)</f>
        <v>2016</v>
      </c>
      <c r="I893" s="2" t="n">
        <v>45</v>
      </c>
      <c r="J893" s="0" t="n">
        <v>0.45</v>
      </c>
      <c r="K893" s="0" t="n">
        <v>0.921</v>
      </c>
      <c r="L893" s="3" t="str">
        <f aca="false">IF(K893&gt;0.66,"High",IF(K893&gt;0.33&amp;K893&lt;=0.66,"Medium","Low"))</f>
        <v>High</v>
      </c>
      <c r="M893" s="0" t="n">
        <v>-3.476</v>
      </c>
      <c r="N893" s="3" t="n">
        <v>0.0538</v>
      </c>
      <c r="O893" s="3" t="n">
        <v>0.0467</v>
      </c>
      <c r="P893" s="4" t="n">
        <v>0</v>
      </c>
      <c r="Q893" s="3" t="n">
        <v>0.311</v>
      </c>
      <c r="R893" s="3" t="n">
        <v>0.413</v>
      </c>
      <c r="S893" s="3" t="str">
        <f aca="false">IF(R893 &gt;= 0.5, "Positive", "Negative")</f>
        <v>Negative</v>
      </c>
      <c r="T893" s="2" t="n">
        <v>145.959</v>
      </c>
      <c r="U893" s="0" t="s">
        <v>221</v>
      </c>
    </row>
    <row r="894" customFormat="false" ht="14.25" hidden="false" customHeight="false" outlineLevel="0" collapsed="false">
      <c r="A894" s="0" t="n">
        <v>120</v>
      </c>
      <c r="B894" s="0" t="str">
        <f aca="false">_xlfn.xlookup(A894, artists!A$2:A$836, artists!B$2:B$836)</f>
        <v>Usher</v>
      </c>
      <c r="C894" s="1" t="s">
        <v>931</v>
      </c>
      <c r="D894" s="2" t="n">
        <v>210813</v>
      </c>
      <c r="E894" s="2" t="n">
        <f aca="false">D894/1000</f>
        <v>210.813</v>
      </c>
      <c r="F894" s="10" t="b">
        <f aca="false">FALSE()</f>
        <v>0</v>
      </c>
      <c r="G894" s="0" t="n">
        <v>19</v>
      </c>
      <c r="H894" s="0" t="n">
        <f aca="false">_xlfn.xlookup(G894, years!A$2:A$836, years!B$2:B$836)</f>
        <v>2016</v>
      </c>
      <c r="I894" s="2" t="n">
        <v>26</v>
      </c>
      <c r="J894" s="0" t="n">
        <v>0.888</v>
      </c>
      <c r="K894" s="0" t="n">
        <v>0.8</v>
      </c>
      <c r="L894" s="3" t="str">
        <f aca="false">IF(K894&gt;0.66,"High",IF(K894&gt;0.33&amp;K894&lt;=0.66,"Medium","Low"))</f>
        <v>High</v>
      </c>
      <c r="M894" s="0" t="n">
        <v>-3.944</v>
      </c>
      <c r="N894" s="3" t="n">
        <v>0.0946</v>
      </c>
      <c r="O894" s="3" t="n">
        <v>0.0901</v>
      </c>
      <c r="P894" s="4" t="n">
        <v>2.12E-005</v>
      </c>
      <c r="Q894" s="3" t="n">
        <v>0.229</v>
      </c>
      <c r="R894" s="3" t="n">
        <v>0.866</v>
      </c>
      <c r="S894" s="3" t="str">
        <f aca="false">IF(R894 &gt;= 0.5, "Positive", "Negative")</f>
        <v>Positive</v>
      </c>
      <c r="T894" s="2" t="n">
        <v>106.957</v>
      </c>
      <c r="U894" s="0" t="s">
        <v>31</v>
      </c>
    </row>
    <row r="895" customFormat="false" ht="14.25" hidden="false" customHeight="false" outlineLevel="0" collapsed="false">
      <c r="A895" s="0" t="n">
        <v>155</v>
      </c>
      <c r="B895" s="0" t="str">
        <f aca="false">_xlfn.xlookup(A895, artists!A$2:A$836, artists!B$2:B$836)</f>
        <v>Holly Valance</v>
      </c>
      <c r="C895" s="1" t="s">
        <v>932</v>
      </c>
      <c r="D895" s="2" t="n">
        <v>204400</v>
      </c>
      <c r="E895" s="2" t="n">
        <f aca="false">D895/1000</f>
        <v>204.4</v>
      </c>
      <c r="F895" s="10" t="b">
        <f aca="false">FALSE()</f>
        <v>0</v>
      </c>
      <c r="G895" s="0" t="n">
        <v>5</v>
      </c>
      <c r="H895" s="0" t="n">
        <f aca="false">_xlfn.xlookup(G895, years!A$2:A$836, years!B$2:B$836)</f>
        <v>2002</v>
      </c>
      <c r="I895" s="2" t="n">
        <v>54</v>
      </c>
      <c r="J895" s="0" t="n">
        <v>0.705</v>
      </c>
      <c r="K895" s="0" t="n">
        <v>0.717</v>
      </c>
      <c r="L895" s="3" t="str">
        <f aca="false">IF(K895&gt;0.66,"High",IF(K895&gt;0.33&amp;K895&lt;=0.66,"Medium","Low"))</f>
        <v>High</v>
      </c>
      <c r="M895" s="0" t="n">
        <v>-4.944</v>
      </c>
      <c r="N895" s="3" t="n">
        <v>0.125</v>
      </c>
      <c r="O895" s="3" t="n">
        <v>0.00369</v>
      </c>
      <c r="P895" s="4" t="n">
        <v>0.461</v>
      </c>
      <c r="Q895" s="3" t="n">
        <v>0.0701</v>
      </c>
      <c r="R895" s="3" t="n">
        <v>0.554</v>
      </c>
      <c r="S895" s="3" t="str">
        <f aca="false">IF(R895 &gt;= 0.5, "Positive", "Negative")</f>
        <v>Positive</v>
      </c>
      <c r="T895" s="2" t="n">
        <v>97.036</v>
      </c>
      <c r="U895" s="0" t="s">
        <v>22</v>
      </c>
    </row>
    <row r="896" customFormat="false" ht="14.25" hidden="false" customHeight="false" outlineLevel="0" collapsed="false">
      <c r="A896" s="0" t="n">
        <v>291</v>
      </c>
      <c r="B896" s="0" t="str">
        <f aca="false">_xlfn.xlookup(A896, artists!A$2:A$836, artists!B$2:B$836)</f>
        <v>Chris Brown</v>
      </c>
      <c r="C896" s="1" t="s">
        <v>933</v>
      </c>
      <c r="D896" s="2" t="n">
        <v>250666</v>
      </c>
      <c r="E896" s="2" t="n">
        <f aca="false">D896/1000</f>
        <v>250.666</v>
      </c>
      <c r="F896" s="10" t="b">
        <f aca="false">FALSE()</f>
        <v>0</v>
      </c>
      <c r="G896" s="0" t="n">
        <v>10</v>
      </c>
      <c r="H896" s="0" t="n">
        <f aca="false">_xlfn.xlookup(G896, years!A$2:A$836, years!B$2:B$836)</f>
        <v>2007</v>
      </c>
      <c r="I896" s="2" t="n">
        <v>68</v>
      </c>
      <c r="J896" s="0" t="n">
        <v>0.729</v>
      </c>
      <c r="K896" s="0" t="n">
        <v>0.658</v>
      </c>
      <c r="L896" s="3" t="str">
        <f aca="false">IF(K896&gt;0.66,"High",IF(K896&gt;0.33&amp;K896&lt;=0.66,"Medium","Low"))</f>
        <v>Low</v>
      </c>
      <c r="M896" s="0" t="n">
        <v>-3.386</v>
      </c>
      <c r="N896" s="3" t="n">
        <v>0.225</v>
      </c>
      <c r="O896" s="3" t="n">
        <v>0.0506</v>
      </c>
      <c r="P896" s="4" t="n">
        <v>0</v>
      </c>
      <c r="Q896" s="3" t="n">
        <v>0.0693</v>
      </c>
      <c r="R896" s="3" t="n">
        <v>0.551</v>
      </c>
      <c r="S896" s="3" t="str">
        <f aca="false">IF(R896 &gt;= 0.5, "Positive", "Negative")</f>
        <v>Positive</v>
      </c>
      <c r="T896" s="2" t="n">
        <v>140.043</v>
      </c>
      <c r="U896" s="0" t="s">
        <v>31</v>
      </c>
    </row>
    <row r="897" customFormat="false" ht="14.25" hidden="false" customHeight="false" outlineLevel="0" collapsed="false">
      <c r="A897" s="0" t="n">
        <v>366</v>
      </c>
      <c r="B897" s="0" t="str">
        <f aca="false">_xlfn.xlookup(A897, artists!A$2:A$836, artists!B$2:B$836)</f>
        <v>Soulja Boy</v>
      </c>
      <c r="C897" s="1" t="s">
        <v>934</v>
      </c>
      <c r="D897" s="2" t="n">
        <v>193386</v>
      </c>
      <c r="E897" s="2" t="n">
        <f aca="false">D897/1000</f>
        <v>193.386</v>
      </c>
      <c r="F897" s="10" t="b">
        <f aca="false">TRUE()</f>
        <v>1</v>
      </c>
      <c r="G897" s="0" t="n">
        <v>11</v>
      </c>
      <c r="H897" s="0" t="n">
        <f aca="false">_xlfn.xlookup(G897, years!A$2:A$836, years!B$2:B$836)</f>
        <v>2008</v>
      </c>
      <c r="I897" s="2" t="n">
        <v>76</v>
      </c>
      <c r="J897" s="0" t="n">
        <v>0.758</v>
      </c>
      <c r="K897" s="0" t="n">
        <v>0.712</v>
      </c>
      <c r="L897" s="3" t="str">
        <f aca="false">IF(K897&gt;0.66,"High",IF(K897&gt;0.33&amp;K897&lt;=0.66,"Medium","Low"))</f>
        <v>High</v>
      </c>
      <c r="M897" s="0" t="n">
        <v>-3.781</v>
      </c>
      <c r="N897" s="3" t="n">
        <v>0.112</v>
      </c>
      <c r="O897" s="3" t="n">
        <v>0.0185</v>
      </c>
      <c r="P897" s="4" t="n">
        <v>0</v>
      </c>
      <c r="Q897" s="3" t="n">
        <v>0.0677</v>
      </c>
      <c r="R897" s="3" t="n">
        <v>0.795</v>
      </c>
      <c r="S897" s="3" t="str">
        <f aca="false">IF(R897 &gt;= 0.5, "Positive", "Negative")</f>
        <v>Positive</v>
      </c>
      <c r="T897" s="2" t="n">
        <v>149.998</v>
      </c>
      <c r="U897" s="0" t="s">
        <v>24</v>
      </c>
    </row>
    <row r="898" customFormat="false" ht="14.25" hidden="false" customHeight="false" outlineLevel="0" collapsed="false">
      <c r="A898" s="0" t="n">
        <v>448</v>
      </c>
      <c r="B898" s="0" t="str">
        <f aca="false">_xlfn.xlookup(A898, artists!A$2:A$836, artists!B$2:B$836)</f>
        <v>Keri Hilson</v>
      </c>
      <c r="C898" s="1" t="s">
        <v>935</v>
      </c>
      <c r="D898" s="2" t="n">
        <v>326186</v>
      </c>
      <c r="E898" s="2" t="n">
        <f aca="false">D898/1000</f>
        <v>326.186</v>
      </c>
      <c r="F898" s="10" t="b">
        <f aca="false">FALSE()</f>
        <v>0</v>
      </c>
      <c r="G898" s="0" t="n">
        <v>12</v>
      </c>
      <c r="H898" s="0" t="n">
        <f aca="false">_xlfn.xlookup(G898, years!A$2:A$836, years!B$2:B$836)</f>
        <v>2009</v>
      </c>
      <c r="I898" s="2" t="n">
        <v>57</v>
      </c>
      <c r="J898" s="0" t="n">
        <v>0.588</v>
      </c>
      <c r="K898" s="0" t="n">
        <v>0.877</v>
      </c>
      <c r="L898" s="3" t="str">
        <f aca="false">IF(K898&gt;0.66,"High",IF(K898&gt;0.33&amp;K898&lt;=0.66,"Medium","Low"))</f>
        <v>High</v>
      </c>
      <c r="M898" s="0" t="n">
        <v>-4.78</v>
      </c>
      <c r="N898" s="3" t="n">
        <v>0.16</v>
      </c>
      <c r="O898" s="3" t="n">
        <v>0.00952</v>
      </c>
      <c r="P898" s="4" t="n">
        <v>0</v>
      </c>
      <c r="Q898" s="3" t="n">
        <v>0.171</v>
      </c>
      <c r="R898" s="3" t="n">
        <v>0.645</v>
      </c>
      <c r="S898" s="3" t="str">
        <f aca="false">IF(R898 &gt;= 0.5, "Positive", "Negative")</f>
        <v>Positive</v>
      </c>
      <c r="T898" s="2" t="n">
        <v>155.165</v>
      </c>
      <c r="U898" s="0" t="s">
        <v>33</v>
      </c>
    </row>
    <row r="899" customFormat="false" ht="14.25" hidden="false" customHeight="false" outlineLevel="0" collapsed="false">
      <c r="A899" s="0" t="n">
        <v>66</v>
      </c>
      <c r="B899" s="0" t="str">
        <f aca="false">_xlfn.xlookup(A899, artists!A$2:A$836, artists!B$2:B$836)</f>
        <v>3 Doors Down</v>
      </c>
      <c r="C899" s="1" t="s">
        <v>936</v>
      </c>
      <c r="D899" s="2" t="n">
        <v>233933</v>
      </c>
      <c r="E899" s="2" t="n">
        <f aca="false">D899/1000</f>
        <v>233.933</v>
      </c>
      <c r="F899" s="10" t="b">
        <f aca="false">FALSE()</f>
        <v>0</v>
      </c>
      <c r="G899" s="0" t="n">
        <v>3</v>
      </c>
      <c r="H899" s="0" t="n">
        <f aca="false">_xlfn.xlookup(G899, years!A$2:A$836, years!B$2:B$836)</f>
        <v>2000</v>
      </c>
      <c r="I899" s="2" t="n">
        <v>78</v>
      </c>
      <c r="J899" s="0" t="n">
        <v>0.545</v>
      </c>
      <c r="K899" s="0" t="n">
        <v>0.865</v>
      </c>
      <c r="L899" s="3" t="str">
        <f aca="false">IF(K899&gt;0.66,"High",IF(K899&gt;0.33&amp;K899&lt;=0.66,"Medium","Low"))</f>
        <v>High</v>
      </c>
      <c r="M899" s="0" t="n">
        <v>-5.708</v>
      </c>
      <c r="N899" s="3" t="n">
        <v>0.0286</v>
      </c>
      <c r="O899" s="3" t="n">
        <v>0.00664</v>
      </c>
      <c r="P899" s="4" t="n">
        <v>1.1E-005</v>
      </c>
      <c r="Q899" s="3" t="n">
        <v>0.168</v>
      </c>
      <c r="R899" s="3" t="n">
        <v>0.543</v>
      </c>
      <c r="S899" s="3" t="str">
        <f aca="false">IF(R899 &gt;= 0.5, "Positive", "Negative")</f>
        <v>Positive</v>
      </c>
      <c r="T899" s="2" t="n">
        <v>99.009</v>
      </c>
      <c r="U899" s="0" t="s">
        <v>221</v>
      </c>
    </row>
    <row r="900" customFormat="false" ht="14.25" hidden="false" customHeight="false" outlineLevel="0" collapsed="false">
      <c r="A900" s="0" t="n">
        <v>255</v>
      </c>
      <c r="B900" s="0" t="str">
        <f aca="false">_xlfn.xlookup(A900, artists!A$2:A$836, artists!B$2:B$836)</f>
        <v>Juanes</v>
      </c>
      <c r="C900" s="1" t="s">
        <v>937</v>
      </c>
      <c r="D900" s="2" t="n">
        <v>216706</v>
      </c>
      <c r="E900" s="2" t="n">
        <f aca="false">D900/1000</f>
        <v>216.706</v>
      </c>
      <c r="F900" s="10" t="b">
        <f aca="false">FALSE()</f>
        <v>0</v>
      </c>
      <c r="G900" s="0" t="n">
        <v>7</v>
      </c>
      <c r="H900" s="0" t="n">
        <f aca="false">_xlfn.xlookup(G900, years!A$2:A$836, years!B$2:B$836)</f>
        <v>2004</v>
      </c>
      <c r="I900" s="2" t="n">
        <v>70</v>
      </c>
      <c r="J900" s="0" t="n">
        <v>0.751</v>
      </c>
      <c r="K900" s="0" t="n">
        <v>0.731</v>
      </c>
      <c r="L900" s="3" t="str">
        <f aca="false">IF(K900&gt;0.66,"High",IF(K900&gt;0.33&amp;K900&lt;=0.66,"Medium","Low"))</f>
        <v>High</v>
      </c>
      <c r="M900" s="0" t="n">
        <v>-4.419</v>
      </c>
      <c r="N900" s="3" t="n">
        <v>0.0308</v>
      </c>
      <c r="O900" s="3" t="n">
        <v>0.0838</v>
      </c>
      <c r="P900" s="4" t="n">
        <v>0</v>
      </c>
      <c r="Q900" s="3" t="n">
        <v>0.0556</v>
      </c>
      <c r="R900" s="3" t="n">
        <v>0.973</v>
      </c>
      <c r="S900" s="3" t="str">
        <f aca="false">IF(R900 &gt;= 0.5, "Positive", "Negative")</f>
        <v>Positive</v>
      </c>
      <c r="T900" s="2" t="n">
        <v>97.007</v>
      </c>
      <c r="U900" s="0" t="s">
        <v>75</v>
      </c>
    </row>
    <row r="901" customFormat="false" ht="14.25" hidden="false" customHeight="false" outlineLevel="0" collapsed="false">
      <c r="A901" s="0" t="n">
        <v>574</v>
      </c>
      <c r="B901" s="0" t="str">
        <f aca="false">_xlfn.xlookup(A901, artists!A$2:A$836, artists!B$2:B$836)</f>
        <v>Naughty Boy</v>
      </c>
      <c r="C901" s="1" t="s">
        <v>938</v>
      </c>
      <c r="D901" s="2" t="n">
        <v>220779</v>
      </c>
      <c r="E901" s="2" t="n">
        <f aca="false">D901/1000</f>
        <v>220.779</v>
      </c>
      <c r="F901" s="10" t="b">
        <f aca="false">FALSE()</f>
        <v>0</v>
      </c>
      <c r="G901" s="0" t="n">
        <v>16</v>
      </c>
      <c r="H901" s="0" t="n">
        <f aca="false">_xlfn.xlookup(G901, years!A$2:A$836, years!B$2:B$836)</f>
        <v>2013</v>
      </c>
      <c r="I901" s="2" t="n">
        <v>58</v>
      </c>
      <c r="J901" s="0" t="n">
        <v>0.754</v>
      </c>
      <c r="K901" s="0" t="n">
        <v>0.677</v>
      </c>
      <c r="L901" s="3" t="str">
        <f aca="false">IF(K901&gt;0.66,"High",IF(K901&gt;0.33&amp;K901&lt;=0.66,"Medium","Low"))</f>
        <v>High</v>
      </c>
      <c r="M901" s="0" t="n">
        <v>-4.399</v>
      </c>
      <c r="N901" s="3" t="n">
        <v>0.0316</v>
      </c>
      <c r="O901" s="3" t="n">
        <v>0.112</v>
      </c>
      <c r="P901" s="4" t="n">
        <v>0</v>
      </c>
      <c r="Q901" s="3" t="n">
        <v>0.111</v>
      </c>
      <c r="R901" s="3" t="n">
        <v>0.254</v>
      </c>
      <c r="S901" s="3" t="str">
        <f aca="false">IF(R901 &gt;= 0.5, "Positive", "Negative")</f>
        <v>Negative</v>
      </c>
      <c r="T901" s="2" t="n">
        <v>124.988</v>
      </c>
      <c r="U901" s="0" t="s">
        <v>48</v>
      </c>
    </row>
    <row r="902" customFormat="false" ht="14.25" hidden="false" customHeight="false" outlineLevel="0" collapsed="false">
      <c r="A902" s="0" t="n">
        <v>84</v>
      </c>
      <c r="B902" s="0" t="str">
        <f aca="false">_xlfn.xlookup(A902, artists!A$2:A$836, artists!B$2:B$836)</f>
        <v>Shakira</v>
      </c>
      <c r="C902" s="1" t="s">
        <v>939</v>
      </c>
      <c r="D902" s="2" t="n">
        <v>212893</v>
      </c>
      <c r="E902" s="2" t="n">
        <f aca="false">D902/1000</f>
        <v>212.893</v>
      </c>
      <c r="F902" s="10" t="b">
        <f aca="false">FALSE()</f>
        <v>0</v>
      </c>
      <c r="G902" s="0" t="n">
        <v>8</v>
      </c>
      <c r="H902" s="0" t="n">
        <f aca="false">_xlfn.xlookup(G902, years!A$2:A$836, years!B$2:B$836)</f>
        <v>2005</v>
      </c>
      <c r="I902" s="2" t="n">
        <v>72</v>
      </c>
      <c r="J902" s="0" t="n">
        <v>0.74</v>
      </c>
      <c r="K902" s="0" t="n">
        <v>0.783</v>
      </c>
      <c r="L902" s="3" t="str">
        <f aca="false">IF(K902&gt;0.66,"High",IF(K902&gt;0.33&amp;K902&lt;=0.66,"Medium","Low"))</f>
        <v>High</v>
      </c>
      <c r="M902" s="0" t="n">
        <v>-5.367</v>
      </c>
      <c r="N902" s="3" t="n">
        <v>0.0427</v>
      </c>
      <c r="O902" s="3" t="n">
        <v>0.0297</v>
      </c>
      <c r="P902" s="4" t="n">
        <v>0.000308</v>
      </c>
      <c r="Q902" s="3" t="n">
        <v>0.123</v>
      </c>
      <c r="R902" s="3" t="n">
        <v>0.812</v>
      </c>
      <c r="S902" s="3" t="str">
        <f aca="false">IF(R902 &gt;= 0.5, "Positive", "Negative")</f>
        <v>Positive</v>
      </c>
      <c r="T902" s="2" t="n">
        <v>100.011</v>
      </c>
      <c r="U902" s="0" t="s">
        <v>75</v>
      </c>
    </row>
    <row r="903" customFormat="false" ht="14.25" hidden="false" customHeight="false" outlineLevel="0" collapsed="false">
      <c r="A903" s="0" t="n">
        <v>823</v>
      </c>
      <c r="B903" s="0" t="str">
        <f aca="false">_xlfn.xlookup(A903, artists!A$2:A$836, artists!B$2:B$836)</f>
        <v>AJ Tracey</v>
      </c>
      <c r="C903" s="1" t="s">
        <v>940</v>
      </c>
      <c r="D903" s="2" t="n">
        <v>190537</v>
      </c>
      <c r="E903" s="2" t="n">
        <f aca="false">D903/1000</f>
        <v>190.537</v>
      </c>
      <c r="F903" s="10" t="b">
        <f aca="false">FALSE()</f>
        <v>0</v>
      </c>
      <c r="G903" s="0" t="n">
        <v>22</v>
      </c>
      <c r="H903" s="0" t="n">
        <f aca="false">_xlfn.xlookup(G903, years!A$2:A$836, years!B$2:B$836)</f>
        <v>2019</v>
      </c>
      <c r="I903" s="2" t="n">
        <v>69</v>
      </c>
      <c r="J903" s="0" t="n">
        <v>0.903</v>
      </c>
      <c r="K903" s="0" t="n">
        <v>0.839</v>
      </c>
      <c r="L903" s="3" t="str">
        <f aca="false">IF(K903&gt;0.66,"High",IF(K903&gt;0.33&amp;K903&lt;=0.66,"Medium","Low"))</f>
        <v>High</v>
      </c>
      <c r="M903" s="0" t="n">
        <v>-9.447</v>
      </c>
      <c r="N903" s="3" t="n">
        <v>0.208</v>
      </c>
      <c r="O903" s="3" t="n">
        <v>0.0939</v>
      </c>
      <c r="P903" s="4" t="n">
        <v>0</v>
      </c>
      <c r="Q903" s="3" t="n">
        <v>0.102</v>
      </c>
      <c r="R903" s="3" t="n">
        <v>0.727</v>
      </c>
      <c r="S903" s="3" t="str">
        <f aca="false">IF(R903 &gt;= 0.5, "Positive", "Negative")</f>
        <v>Positive</v>
      </c>
      <c r="T903" s="2" t="n">
        <v>133.986</v>
      </c>
      <c r="U903" s="0" t="s">
        <v>143</v>
      </c>
    </row>
    <row r="904" customFormat="false" ht="14.25" hidden="false" customHeight="false" outlineLevel="0" collapsed="false">
      <c r="A904" s="0" t="n">
        <v>10</v>
      </c>
      <c r="B904" s="0" t="str">
        <f aca="false">_xlfn.xlookup(A904, artists!A$2:A$836, artists!B$2:B$836)</f>
        <v>Modjo</v>
      </c>
      <c r="C904" s="1" t="s">
        <v>941</v>
      </c>
      <c r="D904" s="2" t="n">
        <v>307153</v>
      </c>
      <c r="E904" s="2" t="n">
        <f aca="false">D904/1000</f>
        <v>307.153</v>
      </c>
      <c r="F904" s="10" t="b">
        <f aca="false">FALSE()</f>
        <v>0</v>
      </c>
      <c r="G904" s="0" t="n">
        <v>4</v>
      </c>
      <c r="H904" s="0" t="n">
        <f aca="false">_xlfn.xlookup(G904, years!A$2:A$836, years!B$2:B$836)</f>
        <v>2001</v>
      </c>
      <c r="I904" s="2" t="n">
        <v>77</v>
      </c>
      <c r="J904" s="0" t="n">
        <v>0.72</v>
      </c>
      <c r="K904" s="0" t="n">
        <v>0.808</v>
      </c>
      <c r="L904" s="3" t="str">
        <f aca="false">IF(K904&gt;0.66,"High",IF(K904&gt;0.33&amp;K904&lt;=0.66,"Medium","Low"))</f>
        <v>High</v>
      </c>
      <c r="M904" s="0" t="n">
        <v>-5.627</v>
      </c>
      <c r="N904" s="3" t="n">
        <v>0.0379</v>
      </c>
      <c r="O904" s="3" t="n">
        <v>0.00793</v>
      </c>
      <c r="P904" s="4" t="n">
        <v>0.0293</v>
      </c>
      <c r="Q904" s="3" t="n">
        <v>0.0634</v>
      </c>
      <c r="R904" s="3" t="n">
        <v>0.869</v>
      </c>
      <c r="S904" s="3" t="str">
        <f aca="false">IF(R904 &gt;= 0.5, "Positive", "Negative")</f>
        <v>Positive</v>
      </c>
      <c r="T904" s="2" t="n">
        <v>126.041</v>
      </c>
      <c r="U904" s="0" t="s">
        <v>48</v>
      </c>
    </row>
    <row r="905" customFormat="false" ht="14.25" hidden="false" customHeight="false" outlineLevel="0" collapsed="false">
      <c r="A905" s="0" t="n">
        <v>57</v>
      </c>
      <c r="B905" s="0" t="str">
        <f aca="false">_xlfn.xlookup(A905, artists!A$2:A$836, artists!B$2:B$836)</f>
        <v>Christina Aguilera</v>
      </c>
      <c r="C905" s="1" t="s">
        <v>942</v>
      </c>
      <c r="D905" s="2" t="n">
        <v>264893</v>
      </c>
      <c r="E905" s="2" t="n">
        <f aca="false">D905/1000</f>
        <v>264.893</v>
      </c>
      <c r="F905" s="10" t="b">
        <f aca="false">FALSE()</f>
        <v>0</v>
      </c>
      <c r="G905" s="0" t="n">
        <v>4</v>
      </c>
      <c r="H905" s="0" t="n">
        <f aca="false">_xlfn.xlookup(G905, years!A$2:A$836, years!B$2:B$836)</f>
        <v>2001</v>
      </c>
      <c r="I905" s="2" t="n">
        <v>68</v>
      </c>
      <c r="J905" s="0" t="n">
        <v>0.76</v>
      </c>
      <c r="K905" s="0" t="n">
        <v>0.801</v>
      </c>
      <c r="L905" s="3" t="str">
        <f aca="false">IF(K905&gt;0.66,"High",IF(K905&gt;0.33&amp;K905&lt;=0.66,"Medium","Low"))</f>
        <v>High</v>
      </c>
      <c r="M905" s="0" t="n">
        <v>-3.769</v>
      </c>
      <c r="N905" s="3" t="n">
        <v>0.0534</v>
      </c>
      <c r="O905" s="3" t="n">
        <v>0.0144</v>
      </c>
      <c r="P905" s="4" t="n">
        <v>1.49E-005</v>
      </c>
      <c r="Q905" s="3" t="n">
        <v>0.665</v>
      </c>
      <c r="R905" s="3" t="n">
        <v>0.653</v>
      </c>
      <c r="S905" s="3" t="str">
        <f aca="false">IF(R905 &gt;= 0.5, "Positive", "Negative")</f>
        <v>Positive</v>
      </c>
      <c r="T905" s="2" t="n">
        <v>109.919</v>
      </c>
      <c r="U905" s="0" t="s">
        <v>39</v>
      </c>
    </row>
    <row r="906" customFormat="false" ht="14.25" hidden="false" customHeight="false" outlineLevel="0" collapsed="false">
      <c r="A906" s="0" t="n">
        <v>296</v>
      </c>
      <c r="B906" s="0" t="str">
        <f aca="false">_xlfn.xlookup(A906, artists!A$2:A$836, artists!B$2:B$836)</f>
        <v>D4L</v>
      </c>
      <c r="C906" s="1" t="s">
        <v>943</v>
      </c>
      <c r="D906" s="2" t="n">
        <v>224253</v>
      </c>
      <c r="E906" s="2" t="n">
        <f aca="false">D906/1000</f>
        <v>224.253</v>
      </c>
      <c r="F906" s="10" t="b">
        <f aca="false">TRUE()</f>
        <v>1</v>
      </c>
      <c r="G906" s="0" t="n">
        <v>8</v>
      </c>
      <c r="H906" s="0" t="n">
        <f aca="false">_xlfn.xlookup(G906, years!A$2:A$836, years!B$2:B$836)</f>
        <v>2005</v>
      </c>
      <c r="I906" s="2" t="n">
        <v>63</v>
      </c>
      <c r="J906" s="0" t="n">
        <v>0.891</v>
      </c>
      <c r="K906" s="0" t="n">
        <v>0.439</v>
      </c>
      <c r="L906" s="3" t="str">
        <f aca="false">IF(K906&gt;0.66,"High",IF(K906&gt;0.33&amp;K906&lt;=0.66,"Medium","Low"))</f>
        <v>Low</v>
      </c>
      <c r="M906" s="0" t="n">
        <v>-7.994</v>
      </c>
      <c r="N906" s="3" t="n">
        <v>0.428</v>
      </c>
      <c r="O906" s="3" t="n">
        <v>0.0351</v>
      </c>
      <c r="P906" s="4" t="n">
        <v>0</v>
      </c>
      <c r="Q906" s="3" t="n">
        <v>0.0932</v>
      </c>
      <c r="R906" s="3" t="n">
        <v>0.622</v>
      </c>
      <c r="S906" s="3" t="str">
        <f aca="false">IF(R906 &gt;= 0.5, "Positive", "Negative")</f>
        <v>Positive</v>
      </c>
      <c r="T906" s="2" t="n">
        <v>77.499</v>
      </c>
      <c r="U906" s="0" t="s">
        <v>24</v>
      </c>
    </row>
    <row r="907" customFormat="false" ht="14.25" hidden="false" customHeight="false" outlineLevel="0" collapsed="false">
      <c r="A907" s="0" t="n">
        <v>11</v>
      </c>
      <c r="B907" s="0" t="str">
        <f aca="false">_xlfn.xlookup(A907, artists!A$2:A$836, artists!B$2:B$836)</f>
        <v>Gigi D'Agostino</v>
      </c>
      <c r="C907" s="1" t="s">
        <v>944</v>
      </c>
      <c r="D907" s="2" t="n">
        <v>238759</v>
      </c>
      <c r="E907" s="2" t="n">
        <f aca="false">D907/1000</f>
        <v>238.759</v>
      </c>
      <c r="F907" s="10" t="b">
        <f aca="false">FALSE()</f>
        <v>0</v>
      </c>
      <c r="G907" s="0" t="n">
        <v>14</v>
      </c>
      <c r="H907" s="0" t="n">
        <f aca="false">_xlfn.xlookup(G907, years!A$2:A$836, years!B$2:B$836)</f>
        <v>2011</v>
      </c>
      <c r="I907" s="2" t="n">
        <v>1</v>
      </c>
      <c r="J907" s="0" t="n">
        <v>0.617</v>
      </c>
      <c r="K907" s="0" t="n">
        <v>0.728</v>
      </c>
      <c r="L907" s="3" t="str">
        <f aca="false">IF(K907&gt;0.66,"High",IF(K907&gt;0.33&amp;K907&lt;=0.66,"Medium","Low"))</f>
        <v>High</v>
      </c>
      <c r="M907" s="0" t="n">
        <v>-7.932</v>
      </c>
      <c r="N907" s="3" t="n">
        <v>0.0292</v>
      </c>
      <c r="O907" s="3" t="n">
        <v>0.0328</v>
      </c>
      <c r="P907" s="4" t="n">
        <v>0.0482</v>
      </c>
      <c r="Q907" s="3" t="n">
        <v>0.36</v>
      </c>
      <c r="R907" s="3" t="n">
        <v>0.808</v>
      </c>
      <c r="S907" s="3" t="str">
        <f aca="false">IF(R907 &gt;= 0.5, "Positive", "Negative")</f>
        <v>Positive</v>
      </c>
      <c r="T907" s="2" t="n">
        <v>139.066</v>
      </c>
      <c r="U907" s="0" t="s">
        <v>39</v>
      </c>
    </row>
    <row r="908" customFormat="false" ht="14.25" hidden="false" customHeight="false" outlineLevel="0" collapsed="false">
      <c r="A908" s="0" t="n">
        <v>398</v>
      </c>
      <c r="B908" s="0" t="str">
        <f aca="false">_xlfn.xlookup(A908, artists!A$2:A$836, artists!B$2:B$836)</f>
        <v>Katy Perry</v>
      </c>
      <c r="C908" s="1" t="s">
        <v>945</v>
      </c>
      <c r="D908" s="2" t="n">
        <v>230746</v>
      </c>
      <c r="E908" s="2" t="n">
        <f aca="false">D908/1000</f>
        <v>230.746</v>
      </c>
      <c r="F908" s="10" t="b">
        <f aca="false">FALSE()</f>
        <v>0</v>
      </c>
      <c r="G908" s="0" t="n">
        <v>15</v>
      </c>
      <c r="H908" s="0" t="n">
        <f aca="false">_xlfn.xlookup(G908, years!A$2:A$836, years!B$2:B$836)</f>
        <v>2012</v>
      </c>
      <c r="I908" s="2" t="n">
        <v>74</v>
      </c>
      <c r="J908" s="0" t="n">
        <v>0.649</v>
      </c>
      <c r="K908" s="0" t="n">
        <v>0.815</v>
      </c>
      <c r="L908" s="3" t="str">
        <f aca="false">IF(K908&gt;0.66,"High",IF(K908&gt;0.33&amp;K908&lt;=0.66,"Medium","Low"))</f>
        <v>High</v>
      </c>
      <c r="M908" s="0" t="n">
        <v>-3.796</v>
      </c>
      <c r="N908" s="3" t="n">
        <v>0.0415</v>
      </c>
      <c r="O908" s="3" t="n">
        <v>0.00125</v>
      </c>
      <c r="P908" s="4" t="n">
        <v>4.31E-005</v>
      </c>
      <c r="Q908" s="3" t="n">
        <v>0.671</v>
      </c>
      <c r="R908" s="3" t="n">
        <v>0.765</v>
      </c>
      <c r="S908" s="3" t="str">
        <f aca="false">IF(R908 &gt;= 0.5, "Positive", "Negative")</f>
        <v>Positive</v>
      </c>
      <c r="T908" s="2" t="n">
        <v>126.03</v>
      </c>
      <c r="U908" s="0" t="s">
        <v>39</v>
      </c>
    </row>
    <row r="909" customFormat="false" ht="14.25" hidden="false" customHeight="false" outlineLevel="0" collapsed="false">
      <c r="A909" s="0" t="n">
        <v>341</v>
      </c>
      <c r="B909" s="0" t="str">
        <f aca="false">_xlfn.xlookup(A909, artists!A$2:A$836, artists!B$2:B$836)</f>
        <v>Keyshia Cole</v>
      </c>
      <c r="C909" s="1" t="s">
        <v>946</v>
      </c>
      <c r="D909" s="2" t="n">
        <v>255706</v>
      </c>
      <c r="E909" s="2" t="n">
        <f aca="false">D909/1000</f>
        <v>255.706</v>
      </c>
      <c r="F909" s="10" t="b">
        <f aca="false">FALSE()</f>
        <v>0</v>
      </c>
      <c r="G909" s="0" t="n">
        <v>10</v>
      </c>
      <c r="H909" s="0" t="n">
        <f aca="false">_xlfn.xlookup(G909, years!A$2:A$836, years!B$2:B$836)</f>
        <v>2007</v>
      </c>
      <c r="I909" s="2" t="n">
        <v>60</v>
      </c>
      <c r="J909" s="0" t="n">
        <v>0.918</v>
      </c>
      <c r="K909" s="0" t="n">
        <v>0.857</v>
      </c>
      <c r="L909" s="3" t="str">
        <f aca="false">IF(K909&gt;0.66,"High",IF(K909&gt;0.33&amp;K909&lt;=0.66,"Medium","Low"))</f>
        <v>High</v>
      </c>
      <c r="M909" s="0" t="n">
        <v>-5.032</v>
      </c>
      <c r="N909" s="3" t="n">
        <v>0.0623</v>
      </c>
      <c r="O909" s="3" t="n">
        <v>0.166</v>
      </c>
      <c r="P909" s="4" t="n">
        <v>0.0003</v>
      </c>
      <c r="Q909" s="3" t="n">
        <v>0.0855</v>
      </c>
      <c r="R909" s="3" t="n">
        <v>0.972</v>
      </c>
      <c r="S909" s="3" t="str">
        <f aca="false">IF(R909 &gt;= 0.5, "Positive", "Negative")</f>
        <v>Positive</v>
      </c>
      <c r="T909" s="2" t="n">
        <v>121.006</v>
      </c>
      <c r="U909" s="0" t="s">
        <v>31</v>
      </c>
    </row>
    <row r="910" customFormat="false" ht="14.25" hidden="false" customHeight="false" outlineLevel="0" collapsed="false">
      <c r="A910" s="0" t="n">
        <v>563</v>
      </c>
      <c r="B910" s="0" t="str">
        <f aca="false">_xlfn.xlookup(A910, artists!A$2:A$836, artists!B$2:B$836)</f>
        <v>Disclosure</v>
      </c>
      <c r="C910" s="1" t="s">
        <v>947</v>
      </c>
      <c r="D910" s="2" t="n">
        <v>255631</v>
      </c>
      <c r="E910" s="2" t="n">
        <f aca="false">D910/1000</f>
        <v>255.631</v>
      </c>
      <c r="F910" s="10" t="b">
        <f aca="false">FALSE()</f>
        <v>0</v>
      </c>
      <c r="G910" s="0" t="n">
        <v>16</v>
      </c>
      <c r="H910" s="0" t="n">
        <f aca="false">_xlfn.xlookup(G910, years!A$2:A$836, years!B$2:B$836)</f>
        <v>2013</v>
      </c>
      <c r="I910" s="2" t="n">
        <v>74</v>
      </c>
      <c r="J910" s="0" t="n">
        <v>0.503</v>
      </c>
      <c r="K910" s="0" t="n">
        <v>0.727</v>
      </c>
      <c r="L910" s="3" t="str">
        <f aca="false">IF(K910&gt;0.66,"High",IF(K910&gt;0.33&amp;K910&lt;=0.66,"Medium","Low"))</f>
        <v>High</v>
      </c>
      <c r="M910" s="0" t="n">
        <v>-5.456</v>
      </c>
      <c r="N910" s="3" t="n">
        <v>0.167</v>
      </c>
      <c r="O910" s="3" t="n">
        <v>0.0159</v>
      </c>
      <c r="P910" s="4" t="n">
        <v>9.45E-005</v>
      </c>
      <c r="Q910" s="3" t="n">
        <v>0.0895</v>
      </c>
      <c r="R910" s="3" t="n">
        <v>0.521</v>
      </c>
      <c r="S910" s="3" t="str">
        <f aca="false">IF(R910 &gt;= 0.5, "Positive", "Negative")</f>
        <v>Positive</v>
      </c>
      <c r="T910" s="2" t="n">
        <v>121.985</v>
      </c>
      <c r="U910" s="0" t="s">
        <v>22</v>
      </c>
    </row>
    <row r="911" customFormat="false" ht="14.25" hidden="false" customHeight="false" outlineLevel="0" collapsed="false">
      <c r="A911" s="0" t="n">
        <v>240</v>
      </c>
      <c r="B911" s="0" t="str">
        <f aca="false">_xlfn.xlookup(A911, artists!A$2:A$836, artists!B$2:B$836)</f>
        <v>Terror Squad</v>
      </c>
      <c r="C911" s="1" t="s">
        <v>948</v>
      </c>
      <c r="D911" s="2" t="n">
        <v>247426</v>
      </c>
      <c r="E911" s="2" t="n">
        <f aca="false">D911/1000</f>
        <v>247.426</v>
      </c>
      <c r="F911" s="10" t="b">
        <f aca="false">TRUE()</f>
        <v>1</v>
      </c>
      <c r="G911" s="0" t="n">
        <v>7</v>
      </c>
      <c r="H911" s="0" t="n">
        <f aca="false">_xlfn.xlookup(G911, years!A$2:A$836, years!B$2:B$836)</f>
        <v>2004</v>
      </c>
      <c r="I911" s="2" t="n">
        <v>67</v>
      </c>
      <c r="J911" s="0" t="n">
        <v>0.783</v>
      </c>
      <c r="K911" s="0" t="n">
        <v>0.916</v>
      </c>
      <c r="L911" s="3" t="str">
        <f aca="false">IF(K911&gt;0.66,"High",IF(K911&gt;0.33&amp;K911&lt;=0.66,"Medium","Low"))</f>
        <v>High</v>
      </c>
      <c r="M911" s="0" t="n">
        <v>-3.344</v>
      </c>
      <c r="N911" s="3" t="n">
        <v>0.415</v>
      </c>
      <c r="O911" s="3" t="n">
        <v>0.11</v>
      </c>
      <c r="P911" s="4" t="n">
        <v>0</v>
      </c>
      <c r="Q911" s="3" t="n">
        <v>0.0746</v>
      </c>
      <c r="R911" s="3" t="n">
        <v>0.695</v>
      </c>
      <c r="S911" s="3" t="str">
        <f aca="false">IF(R911 &gt;= 0.5, "Positive", "Negative")</f>
        <v>Positive</v>
      </c>
      <c r="T911" s="2" t="n">
        <v>95.321</v>
      </c>
      <c r="U911" s="0" t="s">
        <v>29</v>
      </c>
    </row>
    <row r="912" customFormat="false" ht="14.25" hidden="false" customHeight="false" outlineLevel="0" collapsed="false">
      <c r="A912" s="0" t="n">
        <v>643</v>
      </c>
      <c r="B912" s="0" t="str">
        <f aca="false">_xlfn.xlookup(A912, artists!A$2:A$836, artists!B$2:B$836)</f>
        <v>Major Lazer</v>
      </c>
      <c r="C912" s="1" t="s">
        <v>949</v>
      </c>
      <c r="D912" s="2" t="n">
        <v>176561</v>
      </c>
      <c r="E912" s="2" t="n">
        <f aca="false">D912/1000</f>
        <v>176.561</v>
      </c>
      <c r="F912" s="10" t="b">
        <f aca="false">FALSE()</f>
        <v>0</v>
      </c>
      <c r="G912" s="0" t="n">
        <v>18</v>
      </c>
      <c r="H912" s="0" t="n">
        <f aca="false">_xlfn.xlookup(G912, years!A$2:A$836, years!B$2:B$836)</f>
        <v>2015</v>
      </c>
      <c r="I912" s="2" t="n">
        <v>73</v>
      </c>
      <c r="J912" s="0" t="n">
        <v>0.723</v>
      </c>
      <c r="K912" s="0" t="n">
        <v>0.809</v>
      </c>
      <c r="L912" s="3" t="str">
        <f aca="false">IF(K912&gt;0.66,"High",IF(K912&gt;0.33&amp;K912&lt;=0.66,"Medium","Low"))</f>
        <v>High</v>
      </c>
      <c r="M912" s="0" t="n">
        <v>-3.081</v>
      </c>
      <c r="N912" s="3" t="n">
        <v>0.0625</v>
      </c>
      <c r="O912" s="3" t="n">
        <v>0.00346</v>
      </c>
      <c r="P912" s="4" t="n">
        <v>0.00123</v>
      </c>
      <c r="Q912" s="3" t="n">
        <v>0.565</v>
      </c>
      <c r="R912" s="3" t="n">
        <v>0.274</v>
      </c>
      <c r="S912" s="3" t="str">
        <f aca="false">IF(R912 &gt;= 0.5, "Positive", "Negative")</f>
        <v>Negative</v>
      </c>
      <c r="T912" s="2" t="n">
        <v>98.007</v>
      </c>
      <c r="U912" s="0" t="s">
        <v>53</v>
      </c>
    </row>
    <row r="913" customFormat="false" ht="14.25" hidden="false" customHeight="false" outlineLevel="0" collapsed="false">
      <c r="A913" s="0" t="n">
        <v>335</v>
      </c>
      <c r="B913" s="0" t="str">
        <f aca="false">_xlfn.xlookup(A913, artists!A$2:A$836, artists!B$2:B$836)</f>
        <v>Dem Franchize Boyz</v>
      </c>
      <c r="C913" s="1" t="s">
        <v>950</v>
      </c>
      <c r="D913" s="2" t="n">
        <v>229813</v>
      </c>
      <c r="E913" s="2" t="n">
        <f aca="false">D913/1000</f>
        <v>229.813</v>
      </c>
      <c r="F913" s="10" t="b">
        <f aca="false">TRUE()</f>
        <v>1</v>
      </c>
      <c r="G913" s="0" t="n">
        <v>9</v>
      </c>
      <c r="H913" s="0" t="n">
        <f aca="false">_xlfn.xlookup(G913, years!A$2:A$836, years!B$2:B$836)</f>
        <v>2006</v>
      </c>
      <c r="I913" s="2" t="n">
        <v>60</v>
      </c>
      <c r="J913" s="0" t="n">
        <v>0.886</v>
      </c>
      <c r="K913" s="0" t="n">
        <v>0.62</v>
      </c>
      <c r="L913" s="3" t="str">
        <f aca="false">IF(K913&gt;0.66,"High",IF(K913&gt;0.33&amp;K913&lt;=0.66,"Medium","Low"))</f>
        <v>Low</v>
      </c>
      <c r="M913" s="0" t="n">
        <v>-5.854</v>
      </c>
      <c r="N913" s="3" t="n">
        <v>0.307</v>
      </c>
      <c r="O913" s="3" t="n">
        <v>0.082</v>
      </c>
      <c r="P913" s="4" t="n">
        <v>0</v>
      </c>
      <c r="Q913" s="3" t="n">
        <v>0.1</v>
      </c>
      <c r="R913" s="3" t="n">
        <v>0.6</v>
      </c>
      <c r="S913" s="3" t="str">
        <f aca="false">IF(R913 &gt;= 0.5, "Positive", "Negative")</f>
        <v>Positive</v>
      </c>
      <c r="T913" s="2" t="n">
        <v>76.035</v>
      </c>
      <c r="U913" s="0" t="s">
        <v>24</v>
      </c>
    </row>
    <row r="914" customFormat="false" ht="14.25" hidden="false" customHeight="false" outlineLevel="0" collapsed="false">
      <c r="A914" s="0" t="n">
        <v>257</v>
      </c>
      <c r="B914" s="0" t="str">
        <f aca="false">_xlfn.xlookup(A914, artists!A$2:A$836, artists!B$2:B$836)</f>
        <v>JoJo</v>
      </c>
      <c r="C914" s="1" t="s">
        <v>951</v>
      </c>
      <c r="D914" s="2" t="n">
        <v>242746</v>
      </c>
      <c r="E914" s="2" t="n">
        <f aca="false">D914/1000</f>
        <v>242.746</v>
      </c>
      <c r="F914" s="10" t="b">
        <f aca="false">FALSE()</f>
        <v>0</v>
      </c>
      <c r="G914" s="0" t="n">
        <v>8</v>
      </c>
      <c r="H914" s="0" t="n">
        <f aca="false">_xlfn.xlookup(G914, years!A$2:A$836, years!B$2:B$836)</f>
        <v>2005</v>
      </c>
      <c r="I914" s="2" t="n">
        <v>49</v>
      </c>
      <c r="J914" s="0" t="n">
        <v>0.656</v>
      </c>
      <c r="K914" s="0" t="n">
        <v>0.513</v>
      </c>
      <c r="L914" s="3" t="str">
        <f aca="false">IF(K914&gt;0.66,"High",IF(K914&gt;0.33&amp;K914&lt;=0.66,"Medium","Low"))</f>
        <v>Low</v>
      </c>
      <c r="M914" s="0" t="n">
        <v>-8.691</v>
      </c>
      <c r="N914" s="3" t="n">
        <v>0.253</v>
      </c>
      <c r="O914" s="3" t="n">
        <v>0.156</v>
      </c>
      <c r="P914" s="4" t="n">
        <v>6.45E-005</v>
      </c>
      <c r="Q914" s="3" t="n">
        <v>0.0763</v>
      </c>
      <c r="R914" s="3" t="n">
        <v>0.464</v>
      </c>
      <c r="S914" s="3" t="str">
        <f aca="false">IF(R914 &gt;= 0.5, "Positive", "Negative")</f>
        <v>Negative</v>
      </c>
      <c r="T914" s="2" t="n">
        <v>86.891</v>
      </c>
      <c r="U914" s="0" t="s">
        <v>31</v>
      </c>
    </row>
    <row r="915" customFormat="false" ht="14.25" hidden="false" customHeight="false" outlineLevel="0" collapsed="false">
      <c r="A915" s="0" t="n">
        <v>768</v>
      </c>
      <c r="B915" s="0" t="str">
        <f aca="false">_xlfn.xlookup(A915, artists!A$2:A$836, artists!B$2:B$836)</f>
        <v>Tom Walker</v>
      </c>
      <c r="C915" s="1" t="s">
        <v>952</v>
      </c>
      <c r="D915" s="2" t="n">
        <v>185863</v>
      </c>
      <c r="E915" s="2" t="n">
        <f aca="false">D915/1000</f>
        <v>185.863</v>
      </c>
      <c r="F915" s="10" t="b">
        <f aca="false">FALSE()</f>
        <v>0</v>
      </c>
      <c r="G915" s="0" t="n">
        <v>20</v>
      </c>
      <c r="H915" s="0" t="n">
        <f aca="false">_xlfn.xlookup(G915, years!A$2:A$836, years!B$2:B$836)</f>
        <v>2017</v>
      </c>
      <c r="I915" s="2" t="n">
        <v>70</v>
      </c>
      <c r="J915" s="0" t="n">
        <v>0.586</v>
      </c>
      <c r="K915" s="0" t="n">
        <v>0.624</v>
      </c>
      <c r="L915" s="3" t="str">
        <f aca="false">IF(K915&gt;0.66,"High",IF(K915&gt;0.33&amp;K915&lt;=0.66,"Medium","Low"))</f>
        <v>Low</v>
      </c>
      <c r="M915" s="0" t="n">
        <v>-5.946</v>
      </c>
      <c r="N915" s="3" t="n">
        <v>0.113</v>
      </c>
      <c r="O915" s="3" t="n">
        <v>0.0153</v>
      </c>
      <c r="P915" s="4" t="n">
        <v>1.78E-006</v>
      </c>
      <c r="Q915" s="3" t="n">
        <v>0.133</v>
      </c>
      <c r="R915" s="3" t="n">
        <v>0.267</v>
      </c>
      <c r="S915" s="3" t="str">
        <f aca="false">IF(R915 &gt;= 0.5, "Positive", "Negative")</f>
        <v>Negative</v>
      </c>
      <c r="T915" s="2" t="n">
        <v>68.976</v>
      </c>
      <c r="U915" s="0" t="s">
        <v>35</v>
      </c>
    </row>
    <row r="916" customFormat="false" ht="14.25" hidden="false" customHeight="false" outlineLevel="0" collapsed="false">
      <c r="A916" s="0" t="n">
        <v>813</v>
      </c>
      <c r="B916" s="0" t="str">
        <f aca="false">_xlfn.xlookup(A916, artists!A$2:A$836, artists!B$2:B$836)</f>
        <v>Flipp Dinero</v>
      </c>
      <c r="C916" s="1" t="s">
        <v>953</v>
      </c>
      <c r="D916" s="2" t="n">
        <v>195637</v>
      </c>
      <c r="E916" s="2" t="n">
        <f aca="false">D916/1000</f>
        <v>195.637</v>
      </c>
      <c r="F916" s="10" t="b">
        <f aca="false">TRUE()</f>
        <v>1</v>
      </c>
      <c r="G916" s="0" t="n">
        <v>22</v>
      </c>
      <c r="H916" s="0" t="n">
        <f aca="false">_xlfn.xlookup(G916, years!A$2:A$836, years!B$2:B$836)</f>
        <v>2019</v>
      </c>
      <c r="I916" s="2" t="n">
        <v>69</v>
      </c>
      <c r="J916" s="0" t="n">
        <v>0.792</v>
      </c>
      <c r="K916" s="0" t="n">
        <v>0.743</v>
      </c>
      <c r="L916" s="3" t="str">
        <f aca="false">IF(K916&gt;0.66,"High",IF(K916&gt;0.33&amp;K916&lt;=0.66,"Medium","Low"))</f>
        <v>High</v>
      </c>
      <c r="M916" s="0" t="n">
        <v>-2.806</v>
      </c>
      <c r="N916" s="3" t="n">
        <v>0.0851</v>
      </c>
      <c r="O916" s="3" t="n">
        <v>0.107</v>
      </c>
      <c r="P916" s="4" t="n">
        <v>0</v>
      </c>
      <c r="Q916" s="3" t="n">
        <v>0.183</v>
      </c>
      <c r="R916" s="3" t="n">
        <v>0.742</v>
      </c>
      <c r="S916" s="3" t="str">
        <f aca="false">IF(R916 &gt;= 0.5, "Positive", "Negative")</f>
        <v>Positive</v>
      </c>
      <c r="T916" s="2" t="n">
        <v>150.024</v>
      </c>
      <c r="U916" s="0" t="s">
        <v>24</v>
      </c>
    </row>
    <row r="917" customFormat="false" ht="14.25" hidden="false" customHeight="false" outlineLevel="0" collapsed="false">
      <c r="A917" s="0" t="n">
        <v>235</v>
      </c>
      <c r="B917" s="0" t="str">
        <f aca="false">_xlfn.xlookup(A917, artists!A$2:A$836, artists!B$2:B$836)</f>
        <v>Will Young</v>
      </c>
      <c r="C917" s="1" t="s">
        <v>954</v>
      </c>
      <c r="D917" s="2" t="n">
        <v>214733</v>
      </c>
      <c r="E917" s="2" t="n">
        <f aca="false">D917/1000</f>
        <v>214.733</v>
      </c>
      <c r="F917" s="10" t="b">
        <f aca="false">FALSE()</f>
        <v>0</v>
      </c>
      <c r="G917" s="0" t="n">
        <v>6</v>
      </c>
      <c r="H917" s="0" t="n">
        <f aca="false">_xlfn.xlookup(G917, years!A$2:A$836, years!B$2:B$836)</f>
        <v>2003</v>
      </c>
      <c r="I917" s="2" t="n">
        <v>55</v>
      </c>
      <c r="J917" s="0" t="n">
        <v>0.641</v>
      </c>
      <c r="K917" s="0" t="n">
        <v>0.445</v>
      </c>
      <c r="L917" s="3" t="str">
        <f aca="false">IF(K917&gt;0.66,"High",IF(K917&gt;0.33&amp;K917&lt;=0.66,"Medium","Low"))</f>
        <v>Low</v>
      </c>
      <c r="M917" s="0" t="n">
        <v>-8.674</v>
      </c>
      <c r="N917" s="3" t="n">
        <v>0.0368</v>
      </c>
      <c r="O917" s="3" t="n">
        <v>0.145</v>
      </c>
      <c r="P917" s="4" t="n">
        <v>0</v>
      </c>
      <c r="Q917" s="3" t="n">
        <v>0.108</v>
      </c>
      <c r="R917" s="3" t="n">
        <v>0.383</v>
      </c>
      <c r="S917" s="3" t="str">
        <f aca="false">IF(R917 &gt;= 0.5, "Positive", "Negative")</f>
        <v>Negative</v>
      </c>
      <c r="T917" s="2" t="n">
        <v>81.931</v>
      </c>
      <c r="U917" s="0" t="s">
        <v>39</v>
      </c>
    </row>
    <row r="918" customFormat="false" ht="14.25" hidden="false" customHeight="false" outlineLevel="0" collapsed="false">
      <c r="A918" s="0" t="n">
        <v>17</v>
      </c>
      <c r="B918" s="0" t="str">
        <f aca="false">_xlfn.xlookup(A918, artists!A$2:A$836, artists!B$2:B$836)</f>
        <v>Anastacia</v>
      </c>
      <c r="C918" s="1" t="s">
        <v>955</v>
      </c>
      <c r="D918" s="2" t="n">
        <v>257426</v>
      </c>
      <c r="E918" s="2" t="n">
        <f aca="false">D918/1000</f>
        <v>257.426</v>
      </c>
      <c r="F918" s="10" t="b">
        <f aca="false">FALSE()</f>
        <v>0</v>
      </c>
      <c r="G918" s="0" t="n">
        <v>7</v>
      </c>
      <c r="H918" s="0" t="n">
        <f aca="false">_xlfn.xlookup(G918, years!A$2:A$836, years!B$2:B$836)</f>
        <v>2004</v>
      </c>
      <c r="I918" s="2" t="n">
        <v>65</v>
      </c>
      <c r="J918" s="0" t="n">
        <v>0.663</v>
      </c>
      <c r="K918" s="0" t="n">
        <v>0.746</v>
      </c>
      <c r="L918" s="3" t="str">
        <f aca="false">IF(K918&gt;0.66,"High",IF(K918&gt;0.33&amp;K918&lt;=0.66,"Medium","Low"))</f>
        <v>High</v>
      </c>
      <c r="M918" s="0" t="n">
        <v>-3.567</v>
      </c>
      <c r="N918" s="3" t="n">
        <v>0.0321</v>
      </c>
      <c r="O918" s="3" t="n">
        <v>0.0697</v>
      </c>
      <c r="P918" s="4" t="n">
        <v>0</v>
      </c>
      <c r="Q918" s="3" t="n">
        <v>0.0929</v>
      </c>
      <c r="R918" s="3" t="n">
        <v>0.325</v>
      </c>
      <c r="S918" s="3" t="str">
        <f aca="false">IF(R918 &gt;= 0.5, "Positive", "Negative")</f>
        <v>Negative</v>
      </c>
      <c r="T918" s="2" t="n">
        <v>102.847</v>
      </c>
      <c r="U918" s="0" t="s">
        <v>39</v>
      </c>
    </row>
    <row r="919" customFormat="false" ht="14.25" hidden="false" customHeight="false" outlineLevel="0" collapsed="false">
      <c r="A919" s="0" t="n">
        <v>599</v>
      </c>
      <c r="B919" s="0" t="str">
        <f aca="false">_xlfn.xlookup(A919, artists!A$2:A$836, artists!B$2:B$836)</f>
        <v>Passenger</v>
      </c>
      <c r="C919" s="1" t="s">
        <v>956</v>
      </c>
      <c r="D919" s="2" t="n">
        <v>252866</v>
      </c>
      <c r="E919" s="2" t="n">
        <f aca="false">D919/1000</f>
        <v>252.866</v>
      </c>
      <c r="F919" s="10" t="b">
        <f aca="false">FALSE()</f>
        <v>0</v>
      </c>
      <c r="G919" s="0" t="n">
        <v>15</v>
      </c>
      <c r="H919" s="0" t="n">
        <f aca="false">_xlfn.xlookup(G919, years!A$2:A$836, years!B$2:B$836)</f>
        <v>2012</v>
      </c>
      <c r="I919" s="2" t="n">
        <v>73</v>
      </c>
      <c r="J919" s="0" t="n">
        <v>0.509</v>
      </c>
      <c r="K919" s="0" t="n">
        <v>0.538</v>
      </c>
      <c r="L919" s="3" t="str">
        <f aca="false">IF(K919&gt;0.66,"High",IF(K919&gt;0.33&amp;K919&lt;=0.66,"Medium","Low"))</f>
        <v>Low</v>
      </c>
      <c r="M919" s="0" t="n">
        <v>-7.335</v>
      </c>
      <c r="N919" s="3" t="n">
        <v>0.0572</v>
      </c>
      <c r="O919" s="3" t="n">
        <v>0.385</v>
      </c>
      <c r="P919" s="4" t="n">
        <v>0</v>
      </c>
      <c r="Q919" s="3" t="n">
        <v>0.104</v>
      </c>
      <c r="R919" s="3" t="n">
        <v>0.244</v>
      </c>
      <c r="S919" s="3" t="str">
        <f aca="false">IF(R919 &gt;= 0.5, "Positive", "Negative")</f>
        <v>Negative</v>
      </c>
      <c r="T919" s="2" t="n">
        <v>75.089</v>
      </c>
      <c r="U919" s="0" t="s">
        <v>39</v>
      </c>
    </row>
    <row r="920" customFormat="false" ht="14.25" hidden="false" customHeight="false" outlineLevel="0" collapsed="false">
      <c r="A920" s="0" t="n">
        <v>591</v>
      </c>
      <c r="B920" s="0" t="str">
        <f aca="false">_xlfn.xlookup(A920, artists!A$2:A$836, artists!B$2:B$836)</f>
        <v>Birdy</v>
      </c>
      <c r="C920" s="1" t="s">
        <v>957</v>
      </c>
      <c r="D920" s="2" t="n">
        <v>280757</v>
      </c>
      <c r="E920" s="2" t="n">
        <f aca="false">D920/1000</f>
        <v>280.757</v>
      </c>
      <c r="F920" s="10" t="b">
        <f aca="false">FALSE()</f>
        <v>0</v>
      </c>
      <c r="G920" s="0" t="n">
        <v>18</v>
      </c>
      <c r="H920" s="0" t="n">
        <f aca="false">_xlfn.xlookup(G920, years!A$2:A$836, years!B$2:B$836)</f>
        <v>2015</v>
      </c>
      <c r="I920" s="2" t="n">
        <v>68</v>
      </c>
      <c r="J920" s="0" t="n">
        <v>0.383</v>
      </c>
      <c r="K920" s="0" t="n">
        <v>0.43</v>
      </c>
      <c r="L920" s="3" t="str">
        <f aca="false">IF(K920&gt;0.66,"High",IF(K920&gt;0.33&amp;K920&lt;=0.66,"Medium","Low"))</f>
        <v>Low</v>
      </c>
      <c r="M920" s="0" t="n">
        <v>-8.644</v>
      </c>
      <c r="N920" s="3" t="n">
        <v>0.0302</v>
      </c>
      <c r="O920" s="3" t="n">
        <v>0.817</v>
      </c>
      <c r="P920" s="4" t="n">
        <v>1.04E-006</v>
      </c>
      <c r="Q920" s="3" t="n">
        <v>0.0869</v>
      </c>
      <c r="R920" s="3" t="n">
        <v>0.174</v>
      </c>
      <c r="S920" s="3" t="str">
        <f aca="false">IF(R920 &gt;= 0.5, "Positive", "Negative")</f>
        <v>Negative</v>
      </c>
      <c r="T920" s="2" t="n">
        <v>107.005</v>
      </c>
      <c r="U920" s="0" t="s">
        <v>39</v>
      </c>
    </row>
    <row r="921" customFormat="false" ht="14.25" hidden="false" customHeight="false" outlineLevel="0" collapsed="false">
      <c r="A921" s="0" t="n">
        <v>341</v>
      </c>
      <c r="B921" s="0" t="str">
        <f aca="false">_xlfn.xlookup(A921, artists!A$2:A$836, artists!B$2:B$836)</f>
        <v>Keyshia Cole</v>
      </c>
      <c r="C921" s="1" t="s">
        <v>958</v>
      </c>
      <c r="D921" s="2" t="n">
        <v>238360</v>
      </c>
      <c r="E921" s="2" t="n">
        <f aca="false">D921/1000</f>
        <v>238.36</v>
      </c>
      <c r="F921" s="10" t="b">
        <f aca="false">FALSE()</f>
        <v>0</v>
      </c>
      <c r="G921" s="0" t="n">
        <v>10</v>
      </c>
      <c r="H921" s="0" t="n">
        <f aca="false">_xlfn.xlookup(G921, years!A$2:A$836, years!B$2:B$836)</f>
        <v>2007</v>
      </c>
      <c r="I921" s="2" t="n">
        <v>58</v>
      </c>
      <c r="J921" s="0" t="n">
        <v>0.808</v>
      </c>
      <c r="K921" s="0" t="n">
        <v>0.721</v>
      </c>
      <c r="L921" s="3" t="str">
        <f aca="false">IF(K921&gt;0.66,"High",IF(K921&gt;0.33&amp;K921&lt;=0.66,"Medium","Low"))</f>
        <v>High</v>
      </c>
      <c r="M921" s="0" t="n">
        <v>-5.165</v>
      </c>
      <c r="N921" s="3" t="n">
        <v>0.213</v>
      </c>
      <c r="O921" s="3" t="n">
        <v>0.197</v>
      </c>
      <c r="P921" s="4" t="n">
        <v>0</v>
      </c>
      <c r="Q921" s="3" t="n">
        <v>0.205</v>
      </c>
      <c r="R921" s="3" t="n">
        <v>0.773</v>
      </c>
      <c r="S921" s="3" t="str">
        <f aca="false">IF(R921 &gt;= 0.5, "Positive", "Negative")</f>
        <v>Positive</v>
      </c>
      <c r="T921" s="2" t="n">
        <v>94.955</v>
      </c>
      <c r="U921" s="0" t="s">
        <v>31</v>
      </c>
    </row>
    <row r="922" customFormat="false" ht="14.25" hidden="false" customHeight="false" outlineLevel="0" collapsed="false">
      <c r="A922" s="0" t="n">
        <v>446</v>
      </c>
      <c r="B922" s="0" t="str">
        <f aca="false">_xlfn.xlookup(A922, artists!A$2:A$836, artists!B$2:B$836)</f>
        <v>Kevin Rudolf</v>
      </c>
      <c r="C922" s="1" t="s">
        <v>959</v>
      </c>
      <c r="D922" s="2" t="n">
        <v>231173</v>
      </c>
      <c r="E922" s="2" t="n">
        <f aca="false">D922/1000</f>
        <v>231.173</v>
      </c>
      <c r="F922" s="10" t="b">
        <f aca="false">TRUE()</f>
        <v>1</v>
      </c>
      <c r="G922" s="0" t="n">
        <v>11</v>
      </c>
      <c r="H922" s="0" t="n">
        <f aca="false">_xlfn.xlookup(G922, years!A$2:A$836, years!B$2:B$836)</f>
        <v>2008</v>
      </c>
      <c r="I922" s="2" t="n">
        <v>66</v>
      </c>
      <c r="J922" s="0" t="n">
        <v>0.607</v>
      </c>
      <c r="K922" s="0" t="n">
        <v>0.783</v>
      </c>
      <c r="L922" s="3" t="str">
        <f aca="false">IF(K922&gt;0.66,"High",IF(K922&gt;0.33&amp;K922&lt;=0.66,"Medium","Low"))</f>
        <v>High</v>
      </c>
      <c r="M922" s="0" t="n">
        <v>-4.41</v>
      </c>
      <c r="N922" s="3" t="n">
        <v>0.0397</v>
      </c>
      <c r="O922" s="3" t="n">
        <v>0.000683</v>
      </c>
      <c r="P922" s="4" t="n">
        <v>0</v>
      </c>
      <c r="Q922" s="3" t="n">
        <v>0.0678</v>
      </c>
      <c r="R922" s="3" t="n">
        <v>0.434</v>
      </c>
      <c r="S922" s="3" t="str">
        <f aca="false">IF(R922 &gt;= 0.5, "Positive", "Negative")</f>
        <v>Negative</v>
      </c>
      <c r="T922" s="2" t="n">
        <v>113.172</v>
      </c>
      <c r="U922" s="0" t="s">
        <v>24</v>
      </c>
    </row>
    <row r="923" customFormat="false" ht="14.25" hidden="false" customHeight="false" outlineLevel="0" collapsed="false">
      <c r="A923" s="0" t="n">
        <v>99</v>
      </c>
      <c r="B923" s="0" t="str">
        <f aca="false">_xlfn.xlookup(A923, artists!A$2:A$836, artists!B$2:B$836)</f>
        <v>Eve</v>
      </c>
      <c r="C923" s="1" t="s">
        <v>960</v>
      </c>
      <c r="D923" s="2" t="n">
        <v>230133</v>
      </c>
      <c r="E923" s="2" t="n">
        <f aca="false">D923/1000</f>
        <v>230.133</v>
      </c>
      <c r="F923" s="10" t="b">
        <f aca="false">TRUE()</f>
        <v>1</v>
      </c>
      <c r="G923" s="0" t="n">
        <v>4</v>
      </c>
      <c r="H923" s="0" t="n">
        <f aca="false">_xlfn.xlookup(G923, years!A$2:A$836, years!B$2:B$836)</f>
        <v>2001</v>
      </c>
      <c r="I923" s="2" t="n">
        <v>73</v>
      </c>
      <c r="J923" s="0" t="n">
        <v>0.908</v>
      </c>
      <c r="K923" s="0" t="n">
        <v>0.557</v>
      </c>
      <c r="L923" s="3" t="str">
        <f aca="false">IF(K923&gt;0.66,"High",IF(K923&gt;0.33&amp;K923&lt;=0.66,"Medium","Low"))</f>
        <v>Low</v>
      </c>
      <c r="M923" s="0" t="n">
        <v>-4.243</v>
      </c>
      <c r="N923" s="3" t="n">
        <v>0.107</v>
      </c>
      <c r="O923" s="3" t="n">
        <v>0.242</v>
      </c>
      <c r="P923" s="4" t="n">
        <v>0</v>
      </c>
      <c r="Q923" s="3" t="n">
        <v>0.0709</v>
      </c>
      <c r="R923" s="3" t="n">
        <v>0.897</v>
      </c>
      <c r="S923" s="3" t="str">
        <f aca="false">IF(R923 &gt;= 0.5, "Positive", "Negative")</f>
        <v>Positive</v>
      </c>
      <c r="T923" s="2" t="n">
        <v>90.032</v>
      </c>
      <c r="U923" s="0" t="s">
        <v>31</v>
      </c>
    </row>
    <row r="924" customFormat="false" ht="14.25" hidden="false" customHeight="false" outlineLevel="0" collapsed="false">
      <c r="A924" s="0" t="n">
        <v>799</v>
      </c>
      <c r="B924" s="0" t="str">
        <f aca="false">_xlfn.xlookup(A924, artists!A$2:A$836, artists!B$2:B$836)</f>
        <v>Alec Benjamin</v>
      </c>
      <c r="C924" s="1" t="s">
        <v>961</v>
      </c>
      <c r="D924" s="2" t="n">
        <v>169353</v>
      </c>
      <c r="E924" s="2" t="n">
        <f aca="false">D924/1000</f>
        <v>169.353</v>
      </c>
      <c r="F924" s="10" t="b">
        <f aca="false">FALSE()</f>
        <v>0</v>
      </c>
      <c r="G924" s="0" t="n">
        <v>21</v>
      </c>
      <c r="H924" s="0" t="n">
        <f aca="false">_xlfn.xlookup(G924, years!A$2:A$836, years!B$2:B$836)</f>
        <v>2018</v>
      </c>
      <c r="I924" s="2" t="n">
        <v>82</v>
      </c>
      <c r="J924" s="0" t="n">
        <v>0.652</v>
      </c>
      <c r="K924" s="0" t="n">
        <v>0.557</v>
      </c>
      <c r="L924" s="3" t="str">
        <f aca="false">IF(K924&gt;0.66,"High",IF(K924&gt;0.33&amp;K924&lt;=0.66,"Medium","Low"))</f>
        <v>Low</v>
      </c>
      <c r="M924" s="0" t="n">
        <v>-5.714</v>
      </c>
      <c r="N924" s="3" t="n">
        <v>0.0318</v>
      </c>
      <c r="O924" s="3" t="n">
        <v>0.74</v>
      </c>
      <c r="P924" s="4" t="n">
        <v>0</v>
      </c>
      <c r="Q924" s="3" t="n">
        <v>0.124</v>
      </c>
      <c r="R924" s="3" t="n">
        <v>0.483</v>
      </c>
      <c r="S924" s="3" t="str">
        <f aca="false">IF(R924 &gt;= 0.5, "Positive", "Negative")</f>
        <v>Negative</v>
      </c>
      <c r="T924" s="2" t="n">
        <v>150.073</v>
      </c>
      <c r="U924" s="0" t="s">
        <v>632</v>
      </c>
    </row>
    <row r="925" customFormat="false" ht="14.25" hidden="false" customHeight="false" outlineLevel="0" collapsed="false">
      <c r="A925" s="0" t="n">
        <v>66</v>
      </c>
      <c r="B925" s="0" t="str">
        <f aca="false">_xlfn.xlookup(A925, artists!A$2:A$836, artists!B$2:B$836)</f>
        <v>3 Doors Down</v>
      </c>
      <c r="C925" s="1" t="s">
        <v>962</v>
      </c>
      <c r="D925" s="2" t="n">
        <v>243053</v>
      </c>
      <c r="E925" s="2" t="n">
        <f aca="false">D925/1000</f>
        <v>243.053</v>
      </c>
      <c r="F925" s="10" t="b">
        <f aca="false">FALSE()</f>
        <v>0</v>
      </c>
      <c r="G925" s="0" t="n">
        <v>15</v>
      </c>
      <c r="H925" s="0" t="n">
        <f aca="false">_xlfn.xlookup(G925, years!A$2:A$836, years!B$2:B$836)</f>
        <v>2012</v>
      </c>
      <c r="I925" s="2" t="n">
        <v>52</v>
      </c>
      <c r="J925" s="0" t="n">
        <v>0.478</v>
      </c>
      <c r="K925" s="0" t="n">
        <v>0.863</v>
      </c>
      <c r="L925" s="3" t="str">
        <f aca="false">IF(K925&gt;0.66,"High",IF(K925&gt;0.33&amp;K925&lt;=0.66,"Medium","Low"))</f>
        <v>High</v>
      </c>
      <c r="M925" s="0" t="n">
        <v>-4.914</v>
      </c>
      <c r="N925" s="3" t="n">
        <v>0.0387</v>
      </c>
      <c r="O925" s="3" t="n">
        <v>0.0181</v>
      </c>
      <c r="P925" s="4" t="n">
        <v>0</v>
      </c>
      <c r="Q925" s="3" t="n">
        <v>0.111</v>
      </c>
      <c r="R925" s="3" t="n">
        <v>0.491</v>
      </c>
      <c r="S925" s="3" t="str">
        <f aca="false">IF(R925 &gt;= 0.5, "Positive", "Negative")</f>
        <v>Negative</v>
      </c>
      <c r="T925" s="2" t="n">
        <v>92.004</v>
      </c>
      <c r="U925" s="0" t="s">
        <v>221</v>
      </c>
    </row>
    <row r="926" customFormat="false" ht="14.25" hidden="false" customHeight="false" outlineLevel="0" collapsed="false">
      <c r="A926" s="0" t="n">
        <v>40</v>
      </c>
      <c r="B926" s="0" t="str">
        <f aca="false">_xlfn.xlookup(A926, artists!A$2:A$836, artists!B$2:B$836)</f>
        <v>Bow Wow</v>
      </c>
      <c r="C926" s="1" t="s">
        <v>963</v>
      </c>
      <c r="D926" s="2" t="n">
        <v>175893</v>
      </c>
      <c r="E926" s="2" t="n">
        <f aca="false">D926/1000</f>
        <v>175.893</v>
      </c>
      <c r="F926" s="10" t="b">
        <f aca="false">FALSE()</f>
        <v>0</v>
      </c>
      <c r="G926" s="0" t="n">
        <v>3</v>
      </c>
      <c r="H926" s="0" t="n">
        <f aca="false">_xlfn.xlookup(G926, years!A$2:A$836, years!B$2:B$836)</f>
        <v>2000</v>
      </c>
      <c r="I926" s="2" t="n">
        <v>36</v>
      </c>
      <c r="J926" s="0" t="n">
        <v>0.852</v>
      </c>
      <c r="K926" s="0" t="n">
        <v>0.75</v>
      </c>
      <c r="L926" s="3" t="str">
        <f aca="false">IF(K926&gt;0.66,"High",IF(K926&gt;0.33&amp;K926&lt;=0.66,"Medium","Low"))</f>
        <v>High</v>
      </c>
      <c r="M926" s="0" t="n">
        <v>-5.153</v>
      </c>
      <c r="N926" s="3" t="n">
        <v>0.168</v>
      </c>
      <c r="O926" s="3" t="n">
        <v>0.434</v>
      </c>
      <c r="P926" s="4" t="n">
        <v>0</v>
      </c>
      <c r="Q926" s="3" t="n">
        <v>0.265</v>
      </c>
      <c r="R926" s="3" t="n">
        <v>0.934</v>
      </c>
      <c r="S926" s="3" t="str">
        <f aca="false">IF(R926 &gt;= 0.5, "Positive", "Negative")</f>
        <v>Positive</v>
      </c>
      <c r="T926" s="2" t="n">
        <v>72.016</v>
      </c>
      <c r="U926" s="0" t="s">
        <v>31</v>
      </c>
    </row>
    <row r="927" customFormat="false" ht="14.25" hidden="false" customHeight="false" outlineLevel="0" collapsed="false">
      <c r="A927" s="0" t="n">
        <v>282</v>
      </c>
      <c r="B927" s="0" t="str">
        <f aca="false">_xlfn.xlookup(A927, artists!A$2:A$836, artists!B$2:B$836)</f>
        <v>Mario</v>
      </c>
      <c r="C927" s="1" t="s">
        <v>581</v>
      </c>
      <c r="D927" s="2" t="n">
        <v>256733</v>
      </c>
      <c r="E927" s="2" t="n">
        <f aca="false">D927/1000</f>
        <v>256.733</v>
      </c>
      <c r="F927" s="10" t="b">
        <f aca="false">FALSE()</f>
        <v>0</v>
      </c>
      <c r="G927" s="0" t="n">
        <v>7</v>
      </c>
      <c r="H927" s="0" t="n">
        <f aca="false">_xlfn.xlookup(G927, years!A$2:A$836, years!B$2:B$836)</f>
        <v>2004</v>
      </c>
      <c r="I927" s="2" t="n">
        <v>72</v>
      </c>
      <c r="J927" s="0" t="n">
        <v>0.656</v>
      </c>
      <c r="K927" s="0" t="n">
        <v>0.578</v>
      </c>
      <c r="L927" s="3" t="str">
        <f aca="false">IF(K927&gt;0.66,"High",IF(K927&gt;0.33&amp;K927&lt;=0.66,"Medium","Low"))</f>
        <v>Low</v>
      </c>
      <c r="M927" s="0" t="n">
        <v>-8.97</v>
      </c>
      <c r="N927" s="3" t="n">
        <v>0.0922</v>
      </c>
      <c r="O927" s="3" t="n">
        <v>0.235</v>
      </c>
      <c r="P927" s="4" t="n">
        <v>0</v>
      </c>
      <c r="Q927" s="3" t="n">
        <v>0.118</v>
      </c>
      <c r="R927" s="3" t="n">
        <v>0.556</v>
      </c>
      <c r="S927" s="3" t="str">
        <f aca="false">IF(R927 &gt;= 0.5, "Positive", "Negative")</f>
        <v>Positive</v>
      </c>
      <c r="T927" s="2" t="n">
        <v>94.514</v>
      </c>
      <c r="U927" s="0" t="s">
        <v>33</v>
      </c>
    </row>
    <row r="928" customFormat="false" ht="14.25" hidden="false" customHeight="false" outlineLevel="0" collapsed="false">
      <c r="A928" s="0" t="n">
        <v>600</v>
      </c>
      <c r="B928" s="0" t="str">
        <f aca="false">_xlfn.xlookup(A928, artists!A$2:A$836, artists!B$2:B$836)</f>
        <v>Ariana Grande</v>
      </c>
      <c r="C928" s="1" t="s">
        <v>964</v>
      </c>
      <c r="D928" s="2" t="n">
        <v>244453</v>
      </c>
      <c r="E928" s="2" t="n">
        <f aca="false">D928/1000</f>
        <v>244.453</v>
      </c>
      <c r="F928" s="10" t="b">
        <f aca="false">FALSE()</f>
        <v>0</v>
      </c>
      <c r="G928" s="0" t="n">
        <v>19</v>
      </c>
      <c r="H928" s="0" t="n">
        <f aca="false">_xlfn.xlookup(G928, years!A$2:A$836, years!B$2:B$836)</f>
        <v>2016</v>
      </c>
      <c r="I928" s="2" t="n">
        <v>3</v>
      </c>
      <c r="J928" s="0" t="n">
        <v>0.623</v>
      </c>
      <c r="K928" s="0" t="n">
        <v>0.734</v>
      </c>
      <c r="L928" s="3" t="str">
        <f aca="false">IF(K928&gt;0.66,"High",IF(K928&gt;0.33&amp;K928&lt;=0.66,"Medium","Low"))</f>
        <v>High</v>
      </c>
      <c r="M928" s="0" t="n">
        <v>-5.948</v>
      </c>
      <c r="N928" s="3" t="n">
        <v>0.107</v>
      </c>
      <c r="O928" s="3" t="n">
        <v>0.0162</v>
      </c>
      <c r="P928" s="4" t="n">
        <v>1.75E-006</v>
      </c>
      <c r="Q928" s="3" t="n">
        <v>0.145</v>
      </c>
      <c r="R928" s="3" t="n">
        <v>0.37</v>
      </c>
      <c r="S928" s="3" t="str">
        <f aca="false">IF(R928 &gt;= 0.5, "Positive", "Negative")</f>
        <v>Negative</v>
      </c>
      <c r="T928" s="2" t="n">
        <v>107.853</v>
      </c>
      <c r="U928" s="0" t="s">
        <v>39</v>
      </c>
    </row>
    <row r="929" customFormat="false" ht="14.25" hidden="false" customHeight="false" outlineLevel="0" collapsed="false">
      <c r="A929" s="0" t="n">
        <v>343</v>
      </c>
      <c r="B929" s="0" t="str">
        <f aca="false">_xlfn.xlookup(A929, artists!A$2:A$836, artists!B$2:B$836)</f>
        <v>Ne-Yo</v>
      </c>
      <c r="C929" s="1" t="s">
        <v>965</v>
      </c>
      <c r="D929" s="2" t="n">
        <v>251626</v>
      </c>
      <c r="E929" s="2" t="n">
        <f aca="false">D929/1000</f>
        <v>251.626</v>
      </c>
      <c r="F929" s="10" t="b">
        <f aca="false">FALSE()</f>
        <v>0</v>
      </c>
      <c r="G929" s="0" t="n">
        <v>15</v>
      </c>
      <c r="H929" s="0" t="n">
        <f aca="false">_xlfn.xlookup(G929, years!A$2:A$836, years!B$2:B$836)</f>
        <v>2012</v>
      </c>
      <c r="I929" s="2" t="n">
        <v>69</v>
      </c>
      <c r="J929" s="0" t="n">
        <v>0.658</v>
      </c>
      <c r="K929" s="0" t="n">
        <v>0.677</v>
      </c>
      <c r="L929" s="3" t="str">
        <f aca="false">IF(K929&gt;0.66,"High",IF(K929&gt;0.33&amp;K929&lt;=0.66,"Medium","Low"))</f>
        <v>High</v>
      </c>
      <c r="M929" s="0" t="n">
        <v>-6.628</v>
      </c>
      <c r="N929" s="3" t="n">
        <v>0.0393</v>
      </c>
      <c r="O929" s="3" t="n">
        <v>0.248</v>
      </c>
      <c r="P929" s="4" t="n">
        <v>0</v>
      </c>
      <c r="Q929" s="3" t="n">
        <v>0.368</v>
      </c>
      <c r="R929" s="3" t="n">
        <v>0.248</v>
      </c>
      <c r="S929" s="3" t="str">
        <f aca="false">IF(R929 &gt;= 0.5, "Positive", "Negative")</f>
        <v>Negative</v>
      </c>
      <c r="T929" s="2" t="n">
        <v>124.91</v>
      </c>
      <c r="U929" s="0" t="s">
        <v>33</v>
      </c>
    </row>
    <row r="930" customFormat="false" ht="14.25" hidden="false" customHeight="false" outlineLevel="0" collapsed="false">
      <c r="A930" s="0" t="n">
        <v>362</v>
      </c>
      <c r="B930" s="0" t="str">
        <f aca="false">_xlfn.xlookup(A930, artists!A$2:A$836, artists!B$2:B$836)</f>
        <v>Ida Corr</v>
      </c>
      <c r="C930" s="1" t="s">
        <v>966</v>
      </c>
      <c r="D930" s="2" t="n">
        <v>151973</v>
      </c>
      <c r="E930" s="2" t="n">
        <f aca="false">D930/1000</f>
        <v>151.973</v>
      </c>
      <c r="F930" s="10" t="b">
        <f aca="false">FALSE()</f>
        <v>0</v>
      </c>
      <c r="G930" s="0" t="n">
        <v>15</v>
      </c>
      <c r="H930" s="0" t="n">
        <f aca="false">_xlfn.xlookup(G930, years!A$2:A$836, years!B$2:B$836)</f>
        <v>2012</v>
      </c>
      <c r="I930" s="2" t="n">
        <v>43</v>
      </c>
      <c r="J930" s="0" t="n">
        <v>0.762</v>
      </c>
      <c r="K930" s="0" t="n">
        <v>0.754</v>
      </c>
      <c r="L930" s="3" t="str">
        <f aca="false">IF(K930&gt;0.66,"High",IF(K930&gt;0.33&amp;K930&lt;=0.66,"Medium","Low"))</f>
        <v>High</v>
      </c>
      <c r="M930" s="0" t="n">
        <v>-3.425</v>
      </c>
      <c r="N930" s="3" t="n">
        <v>0.046</v>
      </c>
      <c r="O930" s="3" t="n">
        <v>0.00022</v>
      </c>
      <c r="P930" s="4" t="n">
        <v>0.0665</v>
      </c>
      <c r="Q930" s="3" t="n">
        <v>0.146</v>
      </c>
      <c r="R930" s="3" t="n">
        <v>0.715</v>
      </c>
      <c r="S930" s="3" t="str">
        <f aca="false">IF(R930 &gt;= 0.5, "Positive", "Negative")</f>
        <v>Positive</v>
      </c>
      <c r="T930" s="2" t="n">
        <v>129.026</v>
      </c>
      <c r="U930" s="0" t="s">
        <v>118</v>
      </c>
    </row>
    <row r="931" customFormat="false" ht="14.25" hidden="false" customHeight="false" outlineLevel="0" collapsed="false">
      <c r="A931" s="0" t="n">
        <v>715</v>
      </c>
      <c r="B931" s="0" t="str">
        <f aca="false">_xlfn.xlookup(A931, artists!A$2:A$836, artists!B$2:B$836)</f>
        <v>Daya</v>
      </c>
      <c r="C931" s="1" t="s">
        <v>967</v>
      </c>
      <c r="D931" s="2" t="n">
        <v>202221</v>
      </c>
      <c r="E931" s="2" t="n">
        <f aca="false">D931/1000</f>
        <v>202.221</v>
      </c>
      <c r="F931" s="10" t="b">
        <f aca="false">FALSE()</f>
        <v>0</v>
      </c>
      <c r="G931" s="0" t="n">
        <v>19</v>
      </c>
      <c r="H931" s="0" t="n">
        <f aca="false">_xlfn.xlookup(G931, years!A$2:A$836, years!B$2:B$836)</f>
        <v>2016</v>
      </c>
      <c r="I931" s="2" t="n">
        <v>1</v>
      </c>
      <c r="J931" s="0" t="n">
        <v>0.657</v>
      </c>
      <c r="K931" s="0" t="n">
        <v>0.739</v>
      </c>
      <c r="L931" s="3" t="str">
        <f aca="false">IF(K931&gt;0.66,"High",IF(K931&gt;0.33&amp;K931&lt;=0.66,"Medium","Low"))</f>
        <v>High</v>
      </c>
      <c r="M931" s="0" t="n">
        <v>-4.081</v>
      </c>
      <c r="N931" s="3" t="n">
        <v>0.274</v>
      </c>
      <c r="O931" s="3" t="n">
        <v>0.141</v>
      </c>
      <c r="P931" s="4" t="n">
        <v>0</v>
      </c>
      <c r="Q931" s="3" t="n">
        <v>0.178</v>
      </c>
      <c r="R931" s="3" t="n">
        <v>0.543</v>
      </c>
      <c r="S931" s="3" t="str">
        <f aca="false">IF(R931 &gt;= 0.5, "Positive", "Negative")</f>
        <v>Positive</v>
      </c>
      <c r="T931" s="2" t="n">
        <v>181.994</v>
      </c>
      <c r="U931" s="0" t="s">
        <v>632</v>
      </c>
    </row>
    <row r="932" customFormat="false" ht="14.25" hidden="false" customHeight="false" outlineLevel="0" collapsed="false">
      <c r="A932" s="0" t="n">
        <v>115</v>
      </c>
      <c r="B932" s="0" t="str">
        <f aca="false">_xlfn.xlookup(A932, artists!A$2:A$836, artists!B$2:B$836)</f>
        <v>Five</v>
      </c>
      <c r="C932" s="1" t="s">
        <v>968</v>
      </c>
      <c r="D932" s="2" t="n">
        <v>218626</v>
      </c>
      <c r="E932" s="2" t="n">
        <f aca="false">D932/1000</f>
        <v>218.626</v>
      </c>
      <c r="F932" s="10" t="b">
        <f aca="false">FALSE()</f>
        <v>0</v>
      </c>
      <c r="G932" s="0" t="n">
        <v>4</v>
      </c>
      <c r="H932" s="0" t="n">
        <f aca="false">_xlfn.xlookup(G932, years!A$2:A$836, years!B$2:B$836)</f>
        <v>2001</v>
      </c>
      <c r="I932" s="2" t="n">
        <v>47</v>
      </c>
      <c r="J932" s="0" t="n">
        <v>0.631</v>
      </c>
      <c r="K932" s="0" t="n">
        <v>0.821</v>
      </c>
      <c r="L932" s="3" t="str">
        <f aca="false">IF(K932&gt;0.66,"High",IF(K932&gt;0.33&amp;K932&lt;=0.66,"Medium","Low"))</f>
        <v>High</v>
      </c>
      <c r="M932" s="0" t="n">
        <v>-7.853</v>
      </c>
      <c r="N932" s="3" t="n">
        <v>0.0867</v>
      </c>
      <c r="O932" s="3" t="n">
        <v>0.00876</v>
      </c>
      <c r="P932" s="4" t="n">
        <v>0.000247</v>
      </c>
      <c r="Q932" s="3" t="n">
        <v>0.293</v>
      </c>
      <c r="R932" s="3" t="n">
        <v>0.547</v>
      </c>
      <c r="S932" s="3" t="str">
        <f aca="false">IF(R932 &gt;= 0.5, "Positive", "Negative")</f>
        <v>Positive</v>
      </c>
      <c r="T932" s="2" t="n">
        <v>118.007</v>
      </c>
      <c r="U932" s="0" t="s">
        <v>39</v>
      </c>
    </row>
    <row r="933" customFormat="false" ht="14.25" hidden="false" customHeight="false" outlineLevel="0" collapsed="false">
      <c r="A933" s="0" t="n">
        <v>784</v>
      </c>
      <c r="B933" s="0" t="str">
        <f aca="false">_xlfn.xlookup(A933, artists!A$2:A$836, artists!B$2:B$836)</f>
        <v>FINNEAS</v>
      </c>
      <c r="C933" s="1" t="s">
        <v>969</v>
      </c>
      <c r="D933" s="2" t="n">
        <v>190348</v>
      </c>
      <c r="E933" s="2" t="n">
        <f aca="false">D933/1000</f>
        <v>190.348</v>
      </c>
      <c r="F933" s="10" t="b">
        <f aca="false">TRUE()</f>
        <v>1</v>
      </c>
      <c r="G933" s="0" t="n">
        <v>21</v>
      </c>
      <c r="H933" s="0" t="n">
        <f aca="false">_xlfn.xlookup(G933, years!A$2:A$836, years!B$2:B$836)</f>
        <v>2018</v>
      </c>
      <c r="I933" s="2" t="n">
        <v>71</v>
      </c>
      <c r="J933" s="0" t="n">
        <v>0.737</v>
      </c>
      <c r="K933" s="0" t="n">
        <v>0.408</v>
      </c>
      <c r="L933" s="3" t="str">
        <f aca="false">IF(K933&gt;0.66,"High",IF(K933&gt;0.33&amp;K933&lt;=0.66,"Medium","Low"))</f>
        <v>Low</v>
      </c>
      <c r="M933" s="0" t="n">
        <v>-7.941</v>
      </c>
      <c r="N933" s="3" t="n">
        <v>0.104</v>
      </c>
      <c r="O933" s="3" t="n">
        <v>0.802</v>
      </c>
      <c r="P933" s="4" t="n">
        <v>0</v>
      </c>
      <c r="Q933" s="3" t="n">
        <v>0.171</v>
      </c>
      <c r="R933" s="3" t="n">
        <v>0.374</v>
      </c>
      <c r="S933" s="3" t="str">
        <f aca="false">IF(R933 &gt;= 0.5, "Positive", "Negative")</f>
        <v>Negative</v>
      </c>
      <c r="T933" s="2" t="n">
        <v>127.921</v>
      </c>
      <c r="U933" s="0" t="s">
        <v>632</v>
      </c>
    </row>
    <row r="934" customFormat="false" ht="14.25" hidden="false" customHeight="false" outlineLevel="0" collapsed="false">
      <c r="A934" s="0" t="n">
        <v>192</v>
      </c>
      <c r="B934" s="0" t="str">
        <f aca="false">_xlfn.xlookup(A934, artists!A$2:A$836, artists!B$2:B$836)</f>
        <v>Beyoncé</v>
      </c>
      <c r="C934" s="1" t="s">
        <v>970</v>
      </c>
      <c r="D934" s="2" t="n">
        <v>213506</v>
      </c>
      <c r="E934" s="2" t="n">
        <f aca="false">D934/1000</f>
        <v>213.506</v>
      </c>
      <c r="F934" s="10" t="b">
        <f aca="false">FALSE()</f>
        <v>0</v>
      </c>
      <c r="G934" s="0" t="n">
        <v>17</v>
      </c>
      <c r="H934" s="0" t="n">
        <f aca="false">_xlfn.xlookup(G934, years!A$2:A$836, years!B$2:B$836)</f>
        <v>2014</v>
      </c>
      <c r="I934" s="2" t="n">
        <v>69</v>
      </c>
      <c r="J934" s="0" t="n">
        <v>0.747</v>
      </c>
      <c r="K934" s="0" t="n">
        <v>0.705</v>
      </c>
      <c r="L934" s="3" t="str">
        <f aca="false">IF(K934&gt;0.66,"High",IF(K934&gt;0.33&amp;K934&lt;=0.66,"Medium","Low"))</f>
        <v>High</v>
      </c>
      <c r="M934" s="0" t="n">
        <v>-5.137</v>
      </c>
      <c r="N934" s="3" t="n">
        <v>0.126</v>
      </c>
      <c r="O934" s="3" t="n">
        <v>0.0128</v>
      </c>
      <c r="P934" s="4" t="n">
        <v>0</v>
      </c>
      <c r="Q934" s="3" t="n">
        <v>0.126</v>
      </c>
      <c r="R934" s="3" t="n">
        <v>0.56</v>
      </c>
      <c r="S934" s="3" t="str">
        <f aca="false">IF(R934 &gt;= 0.5, "Positive", "Negative")</f>
        <v>Positive</v>
      </c>
      <c r="T934" s="2" t="n">
        <v>136.024</v>
      </c>
      <c r="U934" s="0" t="s">
        <v>33</v>
      </c>
    </row>
    <row r="935" customFormat="false" ht="14.25" hidden="false" customHeight="false" outlineLevel="0" collapsed="false">
      <c r="A935" s="0" t="n">
        <v>372</v>
      </c>
      <c r="B935" s="0" t="str">
        <f aca="false">_xlfn.xlookup(A935, artists!A$2:A$836, artists!B$2:B$836)</f>
        <v>Calvin Harris</v>
      </c>
      <c r="C935" s="1" t="s">
        <v>971</v>
      </c>
      <c r="D935" s="2" t="n">
        <v>232800</v>
      </c>
      <c r="E935" s="2" t="n">
        <f aca="false">D935/1000</f>
        <v>232.8</v>
      </c>
      <c r="F935" s="10" t="b">
        <f aca="false">FALSE()</f>
        <v>0</v>
      </c>
      <c r="G935" s="0" t="n">
        <v>15</v>
      </c>
      <c r="H935" s="0" t="n">
        <f aca="false">_xlfn.xlookup(G935, years!A$2:A$836, years!B$2:B$836)</f>
        <v>2012</v>
      </c>
      <c r="I935" s="2" t="n">
        <v>66</v>
      </c>
      <c r="J935" s="0" t="n">
        <v>0.71</v>
      </c>
      <c r="K935" s="0" t="n">
        <v>0.882</v>
      </c>
      <c r="L935" s="3" t="str">
        <f aca="false">IF(K935&gt;0.66,"High",IF(K935&gt;0.33&amp;K935&lt;=0.66,"Medium","Low"))</f>
        <v>High</v>
      </c>
      <c r="M935" s="0" t="n">
        <v>-2.932</v>
      </c>
      <c r="N935" s="3" t="n">
        <v>0.0595</v>
      </c>
      <c r="O935" s="3" t="n">
        <v>0.00777</v>
      </c>
      <c r="P935" s="4" t="n">
        <v>0.00771</v>
      </c>
      <c r="Q935" s="3" t="n">
        <v>0.294</v>
      </c>
      <c r="R935" s="3" t="n">
        <v>0.875</v>
      </c>
      <c r="S935" s="3" t="str">
        <f aca="false">IF(R935 &gt;= 0.5, "Positive", "Negative")</f>
        <v>Positive</v>
      </c>
      <c r="T935" s="2" t="n">
        <v>128.016</v>
      </c>
      <c r="U935" s="0" t="s">
        <v>53</v>
      </c>
    </row>
    <row r="936" customFormat="false" ht="14.25" hidden="false" customHeight="false" outlineLevel="0" collapsed="false">
      <c r="A936" s="0" t="n">
        <v>542</v>
      </c>
      <c r="B936" s="0" t="str">
        <f aca="false">_xlfn.xlookup(A936, artists!A$2:A$836, artists!B$2:B$836)</f>
        <v>Avicii</v>
      </c>
      <c r="C936" s="1" t="s">
        <v>972</v>
      </c>
      <c r="D936" s="2" t="n">
        <v>199906</v>
      </c>
      <c r="E936" s="2" t="n">
        <f aca="false">D936/1000</f>
        <v>199.906</v>
      </c>
      <c r="F936" s="10" t="b">
        <f aca="false">FALSE()</f>
        <v>0</v>
      </c>
      <c r="G936" s="0" t="n">
        <v>14</v>
      </c>
      <c r="H936" s="0" t="n">
        <f aca="false">_xlfn.xlookup(G936, years!A$2:A$836, years!B$2:B$836)</f>
        <v>2011</v>
      </c>
      <c r="I936" s="2" t="n">
        <v>77</v>
      </c>
      <c r="J936" s="0" t="n">
        <v>0.584</v>
      </c>
      <c r="K936" s="0" t="n">
        <v>0.889</v>
      </c>
      <c r="L936" s="3" t="str">
        <f aca="false">IF(K936&gt;0.66,"High",IF(K936&gt;0.33&amp;K936&lt;=0.66,"Medium","Low"))</f>
        <v>High</v>
      </c>
      <c r="M936" s="0" t="n">
        <v>-5.941</v>
      </c>
      <c r="N936" s="3" t="n">
        <v>0.0343</v>
      </c>
      <c r="O936" s="3" t="n">
        <v>0.0462</v>
      </c>
      <c r="P936" s="4" t="n">
        <v>0.828</v>
      </c>
      <c r="Q936" s="3" t="n">
        <v>0.309</v>
      </c>
      <c r="R936" s="3" t="n">
        <v>0.464</v>
      </c>
      <c r="S936" s="3" t="str">
        <f aca="false">IF(R936 &gt;= 0.5, "Positive", "Negative")</f>
        <v>Negative</v>
      </c>
      <c r="T936" s="2" t="n">
        <v>126.04</v>
      </c>
      <c r="U936" s="0" t="s">
        <v>22</v>
      </c>
    </row>
    <row r="937" customFormat="false" ht="14.25" hidden="false" customHeight="false" outlineLevel="0" collapsed="false">
      <c r="A937" s="0" t="n">
        <v>720</v>
      </c>
      <c r="B937" s="0" t="str">
        <f aca="false">_xlfn.xlookup(A937, artists!A$2:A$836, artists!B$2:B$836)</f>
        <v>Camila Cabello</v>
      </c>
      <c r="C937" s="1" t="s">
        <v>973</v>
      </c>
      <c r="D937" s="2" t="n">
        <v>207038</v>
      </c>
      <c r="E937" s="2" t="n">
        <f aca="false">D937/1000</f>
        <v>207.038</v>
      </c>
      <c r="F937" s="10" t="b">
        <f aca="false">FALSE()</f>
        <v>0</v>
      </c>
      <c r="G937" s="0" t="n">
        <v>22</v>
      </c>
      <c r="H937" s="0" t="n">
        <f aca="false">_xlfn.xlookup(G937, years!A$2:A$836, years!B$2:B$836)</f>
        <v>2019</v>
      </c>
      <c r="I937" s="2" t="n">
        <v>65</v>
      </c>
      <c r="J937" s="0" t="n">
        <v>0.74</v>
      </c>
      <c r="K937" s="0" t="n">
        <v>0.498</v>
      </c>
      <c r="L937" s="3" t="str">
        <f aca="false">IF(K937&gt;0.66,"High",IF(K937&gt;0.33&amp;K937&lt;=0.66,"Medium","Low"))</f>
        <v>Low</v>
      </c>
      <c r="M937" s="0" t="n">
        <v>-6.684</v>
      </c>
      <c r="N937" s="3" t="n">
        <v>0.0456</v>
      </c>
      <c r="O937" s="3" t="n">
        <v>0.0169</v>
      </c>
      <c r="P937" s="4" t="n">
        <v>0.00282</v>
      </c>
      <c r="Q937" s="3" t="n">
        <v>0.319</v>
      </c>
      <c r="R937" s="3" t="n">
        <v>0.652</v>
      </c>
      <c r="S937" s="3" t="str">
        <f aca="false">IF(R937 &gt;= 0.5, "Positive", "Negative")</f>
        <v>Positive</v>
      </c>
      <c r="T937" s="2" t="n">
        <v>98.016</v>
      </c>
      <c r="U937" s="0" t="s">
        <v>39</v>
      </c>
    </row>
    <row r="938" customFormat="false" ht="14.25" hidden="false" customHeight="false" outlineLevel="0" collapsed="false">
      <c r="A938" s="0" t="n">
        <v>340</v>
      </c>
      <c r="B938" s="0" t="str">
        <f aca="false">_xlfn.xlookup(A938, artists!A$2:A$836, artists!B$2:B$836)</f>
        <v>Rascal Flatts</v>
      </c>
      <c r="C938" s="1" t="s">
        <v>974</v>
      </c>
      <c r="D938" s="2" t="n">
        <v>276773</v>
      </c>
      <c r="E938" s="2" t="n">
        <f aca="false">D938/1000</f>
        <v>276.773</v>
      </c>
      <c r="F938" s="10" t="b">
        <f aca="false">FALSE()</f>
        <v>0</v>
      </c>
      <c r="G938" s="0" t="n">
        <v>9</v>
      </c>
      <c r="H938" s="0" t="n">
        <f aca="false">_xlfn.xlookup(G938, years!A$2:A$836, years!B$2:B$836)</f>
        <v>2006</v>
      </c>
      <c r="I938" s="2" t="n">
        <v>0</v>
      </c>
      <c r="J938" s="0" t="n">
        <v>0.561</v>
      </c>
      <c r="K938" s="0" t="n">
        <v>0.936</v>
      </c>
      <c r="L938" s="3" t="str">
        <f aca="false">IF(K938&gt;0.66,"High",IF(K938&gt;0.33&amp;K938&lt;=0.66,"Medium","Low"))</f>
        <v>High</v>
      </c>
      <c r="M938" s="0" t="n">
        <v>-5.409</v>
      </c>
      <c r="N938" s="3" t="n">
        <v>0.0613</v>
      </c>
      <c r="O938" s="3" t="n">
        <v>0.00185</v>
      </c>
      <c r="P938" s="4" t="n">
        <v>0</v>
      </c>
      <c r="Q938" s="3" t="n">
        <v>0.102</v>
      </c>
      <c r="R938" s="3" t="n">
        <v>0.594</v>
      </c>
      <c r="S938" s="3" t="str">
        <f aca="false">IF(R938 &gt;= 0.5, "Positive", "Negative")</f>
        <v>Positive</v>
      </c>
      <c r="T938" s="2" t="n">
        <v>103.055</v>
      </c>
      <c r="U938" s="0" t="s">
        <v>150</v>
      </c>
    </row>
    <row r="939" customFormat="false" ht="14.25" hidden="false" customHeight="false" outlineLevel="0" collapsed="false">
      <c r="A939" s="0" t="n">
        <v>63</v>
      </c>
      <c r="B939" s="0" t="str">
        <f aca="false">_xlfn.xlookup(A939, artists!A$2:A$836, artists!B$2:B$836)</f>
        <v>Ronan Keating</v>
      </c>
      <c r="C939" s="1" t="s">
        <v>975</v>
      </c>
      <c r="D939" s="2" t="n">
        <v>234826</v>
      </c>
      <c r="E939" s="2" t="n">
        <f aca="false">D939/1000</f>
        <v>234.826</v>
      </c>
      <c r="F939" s="10" t="b">
        <f aca="false">FALSE()</f>
        <v>0</v>
      </c>
      <c r="G939" s="0" t="n">
        <v>3</v>
      </c>
      <c r="H939" s="0" t="n">
        <f aca="false">_xlfn.xlookup(G939, years!A$2:A$836, years!B$2:B$836)</f>
        <v>2000</v>
      </c>
      <c r="I939" s="2" t="n">
        <v>59</v>
      </c>
      <c r="J939" s="0" t="n">
        <v>0.655</v>
      </c>
      <c r="K939" s="0" t="n">
        <v>0.791</v>
      </c>
      <c r="L939" s="3" t="str">
        <f aca="false">IF(K939&gt;0.66,"High",IF(K939&gt;0.33&amp;K939&lt;=0.66,"Medium","Low"))</f>
        <v>High</v>
      </c>
      <c r="M939" s="0" t="n">
        <v>-8.923</v>
      </c>
      <c r="N939" s="3" t="n">
        <v>0.0302</v>
      </c>
      <c r="O939" s="3" t="n">
        <v>0.1</v>
      </c>
      <c r="P939" s="4" t="n">
        <v>0.000124</v>
      </c>
      <c r="Q939" s="3" t="n">
        <v>0.334</v>
      </c>
      <c r="R939" s="3" t="n">
        <v>0.862</v>
      </c>
      <c r="S939" s="3" t="str">
        <f aca="false">IF(R939 &gt;= 0.5, "Positive", "Negative")</f>
        <v>Positive</v>
      </c>
      <c r="T939" s="2" t="n">
        <v>118.981</v>
      </c>
      <c r="U939" s="0" t="s">
        <v>210</v>
      </c>
    </row>
    <row r="940" customFormat="false" ht="14.25" hidden="false" customHeight="false" outlineLevel="0" collapsed="false">
      <c r="A940" s="0" t="n">
        <v>232</v>
      </c>
      <c r="B940" s="0" t="str">
        <f aca="false">_xlfn.xlookup(A940, artists!A$2:A$836, artists!B$2:B$836)</f>
        <v>Good Charlotte</v>
      </c>
      <c r="C940" s="1" t="s">
        <v>976</v>
      </c>
      <c r="D940" s="2" t="n">
        <v>190173</v>
      </c>
      <c r="E940" s="2" t="n">
        <f aca="false">D940/1000</f>
        <v>190.173</v>
      </c>
      <c r="F940" s="10" t="b">
        <f aca="false">FALSE()</f>
        <v>0</v>
      </c>
      <c r="G940" s="0" t="n">
        <v>5</v>
      </c>
      <c r="H940" s="0" t="n">
        <f aca="false">_xlfn.xlookup(G940, years!A$2:A$836, years!B$2:B$836)</f>
        <v>2002</v>
      </c>
      <c r="I940" s="2" t="n">
        <v>68</v>
      </c>
      <c r="J940" s="0" t="n">
        <v>0.62</v>
      </c>
      <c r="K940" s="0" t="n">
        <v>0.93</v>
      </c>
      <c r="L940" s="3" t="str">
        <f aca="false">IF(K940&gt;0.66,"High",IF(K940&gt;0.33&amp;K940&lt;=0.66,"Medium","Low"))</f>
        <v>High</v>
      </c>
      <c r="M940" s="0" t="n">
        <v>-3.685</v>
      </c>
      <c r="N940" s="3" t="n">
        <v>0.0374</v>
      </c>
      <c r="O940" s="3" t="n">
        <v>0.00043</v>
      </c>
      <c r="P940" s="4" t="n">
        <v>0</v>
      </c>
      <c r="Q940" s="3" t="n">
        <v>0.0686</v>
      </c>
      <c r="R940" s="3" t="n">
        <v>0.609</v>
      </c>
      <c r="S940" s="3" t="str">
        <f aca="false">IF(R940 &gt;= 0.5, "Positive", "Negative")</f>
        <v>Positive</v>
      </c>
      <c r="T940" s="2" t="n">
        <v>106.22</v>
      </c>
      <c r="U940" s="0" t="s">
        <v>81</v>
      </c>
    </row>
    <row r="941" customFormat="false" ht="14.25" hidden="false" customHeight="false" outlineLevel="0" collapsed="false">
      <c r="A941" s="0" t="n">
        <v>643</v>
      </c>
      <c r="B941" s="0" t="str">
        <f aca="false">_xlfn.xlookup(A941, artists!A$2:A$836, artists!B$2:B$836)</f>
        <v>Major Lazer</v>
      </c>
      <c r="C941" s="1" t="s">
        <v>977</v>
      </c>
      <c r="D941" s="2" t="n">
        <v>166138</v>
      </c>
      <c r="E941" s="2" t="n">
        <f aca="false">D941/1000</f>
        <v>166.138</v>
      </c>
      <c r="F941" s="10" t="b">
        <f aca="false">FALSE()</f>
        <v>0</v>
      </c>
      <c r="G941" s="0" t="n">
        <v>18</v>
      </c>
      <c r="H941" s="0" t="n">
        <f aca="false">_xlfn.xlookup(G941, years!A$2:A$836, years!B$2:B$836)</f>
        <v>2015</v>
      </c>
      <c r="I941" s="2" t="n">
        <v>49</v>
      </c>
      <c r="J941" s="0" t="n">
        <v>0.746</v>
      </c>
      <c r="K941" s="0" t="n">
        <v>0.877</v>
      </c>
      <c r="L941" s="3" t="str">
        <f aca="false">IF(K941&gt;0.66,"High",IF(K941&gt;0.33&amp;K941&lt;=0.66,"Medium","Low"))</f>
        <v>High</v>
      </c>
      <c r="M941" s="0" t="n">
        <v>-3.782</v>
      </c>
      <c r="N941" s="3" t="n">
        <v>0.0666</v>
      </c>
      <c r="O941" s="3" t="n">
        <v>0.0375</v>
      </c>
      <c r="P941" s="4" t="n">
        <v>0.000833</v>
      </c>
      <c r="Q941" s="3" t="n">
        <v>0.233</v>
      </c>
      <c r="R941" s="3" t="n">
        <v>0.751</v>
      </c>
      <c r="S941" s="3" t="str">
        <f aca="false">IF(R941 &gt;= 0.5, "Positive", "Negative")</f>
        <v>Positive</v>
      </c>
      <c r="T941" s="2" t="n">
        <v>107.985</v>
      </c>
      <c r="U941" s="0" t="s">
        <v>53</v>
      </c>
    </row>
    <row r="942" customFormat="false" ht="14.25" hidden="false" customHeight="false" outlineLevel="0" collapsed="false">
      <c r="A942" s="0" t="n">
        <v>529</v>
      </c>
      <c r="B942" s="0" t="str">
        <f aca="false">_xlfn.xlookup(A942, artists!A$2:A$836, artists!B$2:B$836)</f>
        <v>Bad Meets Evil</v>
      </c>
      <c r="C942" s="1" t="s">
        <v>978</v>
      </c>
      <c r="D942" s="2" t="n">
        <v>303813</v>
      </c>
      <c r="E942" s="2" t="n">
        <f aca="false">D942/1000</f>
        <v>303.813</v>
      </c>
      <c r="F942" s="10" t="b">
        <f aca="false">TRUE()</f>
        <v>1</v>
      </c>
      <c r="G942" s="0" t="n">
        <v>14</v>
      </c>
      <c r="H942" s="0" t="n">
        <f aca="false">_xlfn.xlookup(G942, years!A$2:A$836, years!B$2:B$836)</f>
        <v>2011</v>
      </c>
      <c r="I942" s="2" t="n">
        <v>68</v>
      </c>
      <c r="J942" s="0" t="n">
        <v>0.676</v>
      </c>
      <c r="K942" s="0" t="n">
        <v>0.695</v>
      </c>
      <c r="L942" s="3" t="str">
        <f aca="false">IF(K942&gt;0.66,"High",IF(K942&gt;0.33&amp;K942&lt;=0.66,"Medium","Low"))</f>
        <v>High</v>
      </c>
      <c r="M942" s="0" t="n">
        <v>-8.327</v>
      </c>
      <c r="N942" s="3" t="n">
        <v>0.245</v>
      </c>
      <c r="O942" s="3" t="n">
        <v>0.352</v>
      </c>
      <c r="P942" s="4" t="n">
        <v>0</v>
      </c>
      <c r="Q942" s="3" t="n">
        <v>0.119</v>
      </c>
      <c r="R942" s="3" t="n">
        <v>0.144</v>
      </c>
      <c r="S942" s="3" t="str">
        <f aca="false">IF(R942 &gt;= 0.5, "Positive", "Negative")</f>
        <v>Negative</v>
      </c>
      <c r="T942" s="2" t="n">
        <v>90.268</v>
      </c>
      <c r="U942" s="0" t="s">
        <v>24</v>
      </c>
    </row>
    <row r="943" customFormat="false" ht="14.25" hidden="false" customHeight="false" outlineLevel="0" collapsed="false">
      <c r="A943" s="0" t="n">
        <v>498</v>
      </c>
      <c r="B943" s="0" t="str">
        <f aca="false">_xlfn.xlookup(A943, artists!A$2:A$836, artists!B$2:B$836)</f>
        <v>Ellie Goulding</v>
      </c>
      <c r="C943" s="1" t="s">
        <v>979</v>
      </c>
      <c r="D943" s="2" t="n">
        <v>210853</v>
      </c>
      <c r="E943" s="2" t="n">
        <f aca="false">D943/1000</f>
        <v>210.853</v>
      </c>
      <c r="F943" s="10" t="b">
        <f aca="false">FALSE()</f>
        <v>0</v>
      </c>
      <c r="G943" s="0" t="n">
        <v>13</v>
      </c>
      <c r="H943" s="0" t="n">
        <f aca="false">_xlfn.xlookup(G943, years!A$2:A$836, years!B$2:B$836)</f>
        <v>2010</v>
      </c>
      <c r="I943" s="2" t="n">
        <v>63</v>
      </c>
      <c r="J943" s="0" t="n">
        <v>0.682</v>
      </c>
      <c r="K943" s="0" t="n">
        <v>0.795</v>
      </c>
      <c r="L943" s="3" t="str">
        <f aca="false">IF(K943&gt;0.66,"High",IF(K943&gt;0.33&amp;K943&lt;=0.66,"Medium","Low"))</f>
        <v>High</v>
      </c>
      <c r="M943" s="0" t="n">
        <v>-6.17</v>
      </c>
      <c r="N943" s="3" t="n">
        <v>0.0367</v>
      </c>
      <c r="O943" s="3" t="n">
        <v>0.0297</v>
      </c>
      <c r="P943" s="4" t="n">
        <v>0.0391</v>
      </c>
      <c r="Q943" s="3" t="n">
        <v>0.131</v>
      </c>
      <c r="R943" s="3" t="n">
        <v>0.78</v>
      </c>
      <c r="S943" s="3" t="str">
        <f aca="false">IF(R943 &gt;= 0.5, "Positive", "Negative")</f>
        <v>Positive</v>
      </c>
      <c r="T943" s="2" t="n">
        <v>120.008</v>
      </c>
      <c r="U943" s="0" t="s">
        <v>292</v>
      </c>
    </row>
    <row r="944" customFormat="false" ht="14.25" hidden="false" customHeight="false" outlineLevel="0" collapsed="false">
      <c r="A944" s="0" t="n">
        <v>249</v>
      </c>
      <c r="B944" s="0" t="str">
        <f aca="false">_xlfn.xlookup(A944, artists!A$2:A$836, artists!B$2:B$836)</f>
        <v>Ciara</v>
      </c>
      <c r="C944" s="1" t="s">
        <v>980</v>
      </c>
      <c r="D944" s="2" t="n">
        <v>237053</v>
      </c>
      <c r="E944" s="2" t="n">
        <f aca="false">D944/1000</f>
        <v>237.053</v>
      </c>
      <c r="F944" s="10" t="b">
        <f aca="false">FALSE()</f>
        <v>0</v>
      </c>
      <c r="G944" s="0" t="n">
        <v>9</v>
      </c>
      <c r="H944" s="0" t="n">
        <f aca="false">_xlfn.xlookup(G944, years!A$2:A$836, years!B$2:B$836)</f>
        <v>2006</v>
      </c>
      <c r="I944" s="2" t="n">
        <v>68</v>
      </c>
      <c r="J944" s="0" t="n">
        <v>0.701</v>
      </c>
      <c r="K944" s="0" t="n">
        <v>0.724</v>
      </c>
      <c r="L944" s="3" t="str">
        <f aca="false">IF(K944&gt;0.66,"High",IF(K944&gt;0.33&amp;K944&lt;=0.66,"Medium","Low"))</f>
        <v>High</v>
      </c>
      <c r="M944" s="0" t="n">
        <v>-5.751</v>
      </c>
      <c r="N944" s="3" t="n">
        <v>0.145</v>
      </c>
      <c r="O944" s="3" t="n">
        <v>0.267</v>
      </c>
      <c r="P944" s="4" t="n">
        <v>0</v>
      </c>
      <c r="Q944" s="3" t="n">
        <v>0.0867</v>
      </c>
      <c r="R944" s="3" t="n">
        <v>0.425</v>
      </c>
      <c r="S944" s="3" t="str">
        <f aca="false">IF(R944 &gt;= 0.5, "Positive", "Negative")</f>
        <v>Negative</v>
      </c>
      <c r="T944" s="2" t="n">
        <v>132.035</v>
      </c>
      <c r="U944" s="0" t="s">
        <v>33</v>
      </c>
    </row>
    <row r="945" customFormat="false" ht="14.25" hidden="false" customHeight="false" outlineLevel="0" collapsed="false">
      <c r="A945" s="0" t="n">
        <v>474</v>
      </c>
      <c r="B945" s="0" t="str">
        <f aca="false">_xlfn.xlookup(A945, artists!A$2:A$836, artists!B$2:B$836)</f>
        <v>Far East Movement</v>
      </c>
      <c r="C945" s="1" t="s">
        <v>981</v>
      </c>
      <c r="D945" s="2" t="n">
        <v>216893</v>
      </c>
      <c r="E945" s="2" t="n">
        <f aca="false">D945/1000</f>
        <v>216.893</v>
      </c>
      <c r="F945" s="10" t="b">
        <f aca="false">FALSE()</f>
        <v>0</v>
      </c>
      <c r="G945" s="0" t="n">
        <v>13</v>
      </c>
      <c r="H945" s="0" t="n">
        <f aca="false">_xlfn.xlookup(G945, years!A$2:A$836, years!B$2:B$836)</f>
        <v>2010</v>
      </c>
      <c r="I945" s="2" t="n">
        <v>73</v>
      </c>
      <c r="J945" s="0" t="n">
        <v>0.435</v>
      </c>
      <c r="K945" s="0" t="n">
        <v>0.837</v>
      </c>
      <c r="L945" s="3" t="str">
        <f aca="false">IF(K945&gt;0.66,"High",IF(K945&gt;0.33&amp;K945&lt;=0.66,"Medium","Low"))</f>
        <v>High</v>
      </c>
      <c r="M945" s="0" t="n">
        <v>-8.126</v>
      </c>
      <c r="N945" s="3" t="n">
        <v>0.449</v>
      </c>
      <c r="O945" s="3" t="n">
        <v>0.00676</v>
      </c>
      <c r="P945" s="4" t="n">
        <v>0</v>
      </c>
      <c r="Q945" s="3" t="n">
        <v>0.117</v>
      </c>
      <c r="R945" s="3" t="n">
        <v>0.778</v>
      </c>
      <c r="S945" s="3" t="str">
        <f aca="false">IF(R945 &gt;= 0.5, "Positive", "Negative")</f>
        <v>Positive</v>
      </c>
      <c r="T945" s="2" t="n">
        <v>124.913</v>
      </c>
      <c r="U945" s="0" t="s">
        <v>24</v>
      </c>
    </row>
    <row r="946" customFormat="false" ht="14.25" hidden="false" customHeight="false" outlineLevel="0" collapsed="false">
      <c r="A946" s="0" t="n">
        <v>225</v>
      </c>
      <c r="B946" s="0" t="str">
        <f aca="false">_xlfn.xlookup(A946, artists!A$2:A$836, artists!B$2:B$836)</f>
        <v>Audioslave</v>
      </c>
      <c r="C946" s="1" t="s">
        <v>982</v>
      </c>
      <c r="D946" s="2" t="n">
        <v>293960</v>
      </c>
      <c r="E946" s="2" t="n">
        <f aca="false">D946/1000</f>
        <v>293.96</v>
      </c>
      <c r="F946" s="10" t="b">
        <f aca="false">FALSE()</f>
        <v>0</v>
      </c>
      <c r="G946" s="0" t="n">
        <v>5</v>
      </c>
      <c r="H946" s="0" t="n">
        <f aca="false">_xlfn.xlookup(G946, years!A$2:A$836, years!B$2:B$836)</f>
        <v>2002</v>
      </c>
      <c r="I946" s="2" t="n">
        <v>75</v>
      </c>
      <c r="J946" s="0" t="n">
        <v>0.614</v>
      </c>
      <c r="K946" s="0" t="n">
        <v>0.568</v>
      </c>
      <c r="L946" s="3" t="str">
        <f aca="false">IF(K946&gt;0.66,"High",IF(K946&gt;0.33&amp;K946&lt;=0.66,"Medium","Low"))</f>
        <v>Low</v>
      </c>
      <c r="M946" s="0" t="n">
        <v>-5.477</v>
      </c>
      <c r="N946" s="3" t="n">
        <v>0.0276</v>
      </c>
      <c r="O946" s="3" t="n">
        <v>0.00797</v>
      </c>
      <c r="P946" s="4" t="n">
        <v>0</v>
      </c>
      <c r="Q946" s="3" t="n">
        <v>0.0997</v>
      </c>
      <c r="R946" s="3" t="n">
        <v>0.516</v>
      </c>
      <c r="S946" s="3" t="str">
        <f aca="false">IF(R946 &gt;= 0.5, "Positive", "Negative")</f>
        <v>Positive</v>
      </c>
      <c r="T946" s="2" t="n">
        <v>107.849</v>
      </c>
      <c r="U946" s="0" t="s">
        <v>81</v>
      </c>
    </row>
    <row r="947" customFormat="false" ht="14.25" hidden="false" customHeight="false" outlineLevel="0" collapsed="false">
      <c r="A947" s="0" t="n">
        <v>169</v>
      </c>
      <c r="B947" s="0" t="str">
        <f aca="false">_xlfn.xlookup(A947, artists!A$2:A$836, artists!B$2:B$836)</f>
        <v>Sean Paul</v>
      </c>
      <c r="C947" s="1" t="s">
        <v>983</v>
      </c>
      <c r="D947" s="2" t="n">
        <v>232506</v>
      </c>
      <c r="E947" s="2" t="n">
        <f aca="false">D947/1000</f>
        <v>232.506</v>
      </c>
      <c r="F947" s="10" t="b">
        <f aca="false">FALSE()</f>
        <v>0</v>
      </c>
      <c r="G947" s="0" t="n">
        <v>5</v>
      </c>
      <c r="H947" s="0" t="n">
        <f aca="false">_xlfn.xlookup(G947, years!A$2:A$836, years!B$2:B$836)</f>
        <v>2002</v>
      </c>
      <c r="I947" s="2" t="n">
        <v>61</v>
      </c>
      <c r="J947" s="0" t="n">
        <v>0.757</v>
      </c>
      <c r="K947" s="0" t="n">
        <v>0.78</v>
      </c>
      <c r="L947" s="3" t="str">
        <f aca="false">IF(K947&gt;0.66,"High",IF(K947&gt;0.33&amp;K947&lt;=0.66,"Medium","Low"))</f>
        <v>High</v>
      </c>
      <c r="M947" s="0" t="n">
        <v>-5.038</v>
      </c>
      <c r="N947" s="3" t="n">
        <v>0.319</v>
      </c>
      <c r="O947" s="3" t="n">
        <v>0.0811</v>
      </c>
      <c r="P947" s="4" t="n">
        <v>0</v>
      </c>
      <c r="Q947" s="3" t="n">
        <v>0.113</v>
      </c>
      <c r="R947" s="3" t="n">
        <v>0.59</v>
      </c>
      <c r="S947" s="3" t="str">
        <f aca="false">IF(R947 &gt;= 0.5, "Positive", "Negative")</f>
        <v>Positive</v>
      </c>
      <c r="T947" s="2" t="n">
        <v>97.917</v>
      </c>
      <c r="U947" s="0" t="s">
        <v>24</v>
      </c>
    </row>
    <row r="948" customFormat="false" ht="14.25" hidden="false" customHeight="false" outlineLevel="0" collapsed="false">
      <c r="A948" s="0" t="n">
        <v>603</v>
      </c>
      <c r="B948" s="0" t="str">
        <f aca="false">_xlfn.xlookup(A948, artists!A$2:A$836, artists!B$2:B$836)</f>
        <v>Sam Smith</v>
      </c>
      <c r="C948" s="1" t="s">
        <v>984</v>
      </c>
      <c r="D948" s="2" t="n">
        <v>167065</v>
      </c>
      <c r="E948" s="2" t="n">
        <f aca="false">D948/1000</f>
        <v>167.065</v>
      </c>
      <c r="F948" s="10" t="b">
        <f aca="false">FALSE()</f>
        <v>0</v>
      </c>
      <c r="G948" s="0" t="n">
        <v>17</v>
      </c>
      <c r="H948" s="0" t="n">
        <f aca="false">_xlfn.xlookup(G948, years!A$2:A$836, years!B$2:B$836)</f>
        <v>2014</v>
      </c>
      <c r="I948" s="2" t="n">
        <v>79</v>
      </c>
      <c r="J948" s="0" t="n">
        <v>0.656</v>
      </c>
      <c r="K948" s="0" t="n">
        <v>0.627</v>
      </c>
      <c r="L948" s="3" t="str">
        <f aca="false">IF(K948&gt;0.66,"High",IF(K948&gt;0.33&amp;K948&lt;=0.66,"Medium","Low"))</f>
        <v>Low</v>
      </c>
      <c r="M948" s="0" t="n">
        <v>-6.627</v>
      </c>
      <c r="N948" s="3" t="n">
        <v>0.0379</v>
      </c>
      <c r="O948" s="3" t="n">
        <v>0.343</v>
      </c>
      <c r="P948" s="4" t="n">
        <v>2.17E-005</v>
      </c>
      <c r="Q948" s="3" t="n">
        <v>0.124</v>
      </c>
      <c r="R948" s="3" t="n">
        <v>0.481</v>
      </c>
      <c r="S948" s="3" t="str">
        <f aca="false">IF(R948 &gt;= 0.5, "Positive", "Negative")</f>
        <v>Negative</v>
      </c>
      <c r="T948" s="2" t="n">
        <v>99.933</v>
      </c>
      <c r="U948" s="0" t="s">
        <v>39</v>
      </c>
    </row>
    <row r="949" customFormat="false" ht="14.25" hidden="false" customHeight="false" outlineLevel="0" collapsed="false">
      <c r="A949" s="0" t="n">
        <v>176</v>
      </c>
      <c r="B949" s="0" t="str">
        <f aca="false">_xlfn.xlookup(A949, artists!A$2:A$836, artists!B$2:B$836)</f>
        <v>Justin Timberlake</v>
      </c>
      <c r="C949" s="1" t="s">
        <v>985</v>
      </c>
      <c r="D949" s="2" t="n">
        <v>283626</v>
      </c>
      <c r="E949" s="2" t="n">
        <f aca="false">D949/1000</f>
        <v>283.626</v>
      </c>
      <c r="F949" s="10" t="b">
        <f aca="false">FALSE()</f>
        <v>0</v>
      </c>
      <c r="G949" s="0" t="n">
        <v>5</v>
      </c>
      <c r="H949" s="0" t="n">
        <f aca="false">_xlfn.xlookup(G949, years!A$2:A$836, years!B$2:B$836)</f>
        <v>2002</v>
      </c>
      <c r="I949" s="2" t="n">
        <v>62</v>
      </c>
      <c r="J949" s="0" t="n">
        <v>0.853</v>
      </c>
      <c r="K949" s="0" t="n">
        <v>0.811</v>
      </c>
      <c r="L949" s="3" t="str">
        <f aca="false">IF(K949&gt;0.66,"High",IF(K949&gt;0.33&amp;K949&lt;=0.66,"Medium","Low"))</f>
        <v>High</v>
      </c>
      <c r="M949" s="0" t="n">
        <v>-4.927</v>
      </c>
      <c r="N949" s="3" t="n">
        <v>0.0646</v>
      </c>
      <c r="O949" s="3" t="n">
        <v>0.0439</v>
      </c>
      <c r="P949" s="4" t="n">
        <v>0.000307</v>
      </c>
      <c r="Q949" s="3" t="n">
        <v>0.0703</v>
      </c>
      <c r="R949" s="3" t="n">
        <v>0.9</v>
      </c>
      <c r="S949" s="3" t="str">
        <f aca="false">IF(R949 &gt;= 0.5, "Positive", "Negative")</f>
        <v>Positive</v>
      </c>
      <c r="T949" s="2" t="n">
        <v>114.964</v>
      </c>
      <c r="U949" s="0" t="s">
        <v>39</v>
      </c>
    </row>
    <row r="950" customFormat="false" ht="14.25" hidden="false" customHeight="false" outlineLevel="0" collapsed="false">
      <c r="A950" s="0" t="n">
        <v>7</v>
      </c>
      <c r="B950" s="0" t="str">
        <f aca="false">_xlfn.xlookup(A950, artists!A$2:A$836, artists!B$2:B$836)</f>
        <v>Eminem</v>
      </c>
      <c r="C950" s="1" t="s">
        <v>986</v>
      </c>
      <c r="D950" s="2" t="n">
        <v>296880</v>
      </c>
      <c r="E950" s="2" t="n">
        <f aca="false">D950/1000</f>
        <v>296.88</v>
      </c>
      <c r="F950" s="10" t="b">
        <f aca="false">TRUE()</f>
        <v>1</v>
      </c>
      <c r="G950" s="0" t="n">
        <v>7</v>
      </c>
      <c r="H950" s="0" t="n">
        <f aca="false">_xlfn.xlookup(G950, years!A$2:A$836, years!B$2:B$836)</f>
        <v>2004</v>
      </c>
      <c r="I950" s="2" t="n">
        <v>48</v>
      </c>
      <c r="J950" s="0" t="n">
        <v>0.52</v>
      </c>
      <c r="K950" s="0" t="n">
        <v>0.768</v>
      </c>
      <c r="L950" s="3" t="str">
        <f aca="false">IF(K950&gt;0.66,"High",IF(K950&gt;0.33&amp;K950&lt;=0.66,"Medium","Low"))</f>
        <v>High</v>
      </c>
      <c r="M950" s="0" t="n">
        <v>-3.489</v>
      </c>
      <c r="N950" s="3" t="n">
        <v>0.359</v>
      </c>
      <c r="O950" s="3" t="n">
        <v>0.0193</v>
      </c>
      <c r="P950" s="4" t="n">
        <v>0.00034</v>
      </c>
      <c r="Q950" s="3" t="n">
        <v>0.104</v>
      </c>
      <c r="R950" s="3" t="n">
        <v>0.398</v>
      </c>
      <c r="S950" s="3" t="str">
        <f aca="false">IF(R950 &gt;= 0.5, "Positive", "Negative")</f>
        <v>Negative</v>
      </c>
      <c r="T950" s="2" t="n">
        <v>79.178</v>
      </c>
      <c r="U950" s="0" t="s">
        <v>29</v>
      </c>
    </row>
    <row r="951" customFormat="false" ht="14.25" hidden="false" customHeight="false" outlineLevel="0" collapsed="false">
      <c r="A951" s="0" t="n">
        <v>7</v>
      </c>
      <c r="B951" s="0" t="str">
        <f aca="false">_xlfn.xlookup(A951, artists!A$2:A$836, artists!B$2:B$836)</f>
        <v>Eminem</v>
      </c>
      <c r="C951" s="1" t="s">
        <v>986</v>
      </c>
      <c r="D951" s="2" t="n">
        <v>296880</v>
      </c>
      <c r="E951" s="2" t="n">
        <f aca="false">D951/1000</f>
        <v>296.88</v>
      </c>
      <c r="F951" s="10" t="b">
        <f aca="false">TRUE()</f>
        <v>1</v>
      </c>
      <c r="G951" s="0" t="n">
        <v>7</v>
      </c>
      <c r="H951" s="0" t="n">
        <f aca="false">_xlfn.xlookup(G951, years!A$2:A$836, years!B$2:B$836)</f>
        <v>2004</v>
      </c>
      <c r="I951" s="2" t="n">
        <v>67</v>
      </c>
      <c r="J951" s="0" t="n">
        <v>0.52</v>
      </c>
      <c r="K951" s="0" t="n">
        <v>0.768</v>
      </c>
      <c r="L951" s="3" t="str">
        <f aca="false">IF(K951&gt;0.66,"High",IF(K951&gt;0.33&amp;K951&lt;=0.66,"Medium","Low"))</f>
        <v>High</v>
      </c>
      <c r="M951" s="0" t="n">
        <v>-3.489</v>
      </c>
      <c r="N951" s="3" t="n">
        <v>0.359</v>
      </c>
      <c r="O951" s="3" t="n">
        <v>0.0193</v>
      </c>
      <c r="P951" s="4" t="n">
        <v>0.00034</v>
      </c>
      <c r="Q951" s="3" t="n">
        <v>0.104</v>
      </c>
      <c r="R951" s="3" t="n">
        <v>0.398</v>
      </c>
      <c r="S951" s="3" t="str">
        <f aca="false">IF(R951 &gt;= 0.5, "Positive", "Negative")</f>
        <v>Negative</v>
      </c>
      <c r="T951" s="2" t="n">
        <v>79.178</v>
      </c>
      <c r="U951" s="0" t="s">
        <v>29</v>
      </c>
    </row>
    <row r="952" customFormat="false" ht="14.25" hidden="false" customHeight="false" outlineLevel="0" collapsed="false">
      <c r="A952" s="0" t="n">
        <v>469</v>
      </c>
      <c r="B952" s="0" t="str">
        <f aca="false">_xlfn.xlookup(A952, artists!A$2:A$836, artists!B$2:B$836)</f>
        <v>Bruno Mars</v>
      </c>
      <c r="C952" s="1" t="s">
        <v>987</v>
      </c>
      <c r="D952" s="2" t="n">
        <v>189109</v>
      </c>
      <c r="E952" s="2" t="n">
        <f aca="false">D952/1000</f>
        <v>189.109</v>
      </c>
      <c r="F952" s="10" t="b">
        <f aca="false">FALSE()</f>
        <v>0</v>
      </c>
      <c r="G952" s="0" t="n">
        <v>13</v>
      </c>
      <c r="H952" s="0" t="n">
        <f aca="false">_xlfn.xlookup(G952, years!A$2:A$836, years!B$2:B$836)</f>
        <v>2010</v>
      </c>
      <c r="I952" s="2" t="n">
        <v>75</v>
      </c>
      <c r="J952" s="0" t="n">
        <v>0.794</v>
      </c>
      <c r="K952" s="0" t="n">
        <v>0.711</v>
      </c>
      <c r="L952" s="3" t="str">
        <f aca="false">IF(K952&gt;0.66,"High",IF(K952&gt;0.33&amp;K952&lt;=0.66,"Medium","Low"))</f>
        <v>High</v>
      </c>
      <c r="M952" s="0" t="n">
        <v>-5.124</v>
      </c>
      <c r="N952" s="3" t="n">
        <v>0.0699</v>
      </c>
      <c r="O952" s="3" t="n">
        <v>0.3</v>
      </c>
      <c r="P952" s="4" t="n">
        <v>0</v>
      </c>
      <c r="Q952" s="3" t="n">
        <v>0.0955</v>
      </c>
      <c r="R952" s="3" t="n">
        <v>0.955</v>
      </c>
      <c r="S952" s="3" t="str">
        <f aca="false">IF(R952 &gt;= 0.5, "Positive", "Negative")</f>
        <v>Positive</v>
      </c>
      <c r="T952" s="2" t="n">
        <v>174.915</v>
      </c>
      <c r="U952" s="0" t="s">
        <v>39</v>
      </c>
    </row>
    <row r="953" customFormat="false" ht="14.25" hidden="false" customHeight="false" outlineLevel="0" collapsed="false">
      <c r="A953" s="0" t="n">
        <v>607</v>
      </c>
      <c r="B953" s="0" t="str">
        <f aca="false">_xlfn.xlookup(A953, artists!A$2:A$836, artists!B$2:B$836)</f>
        <v>Meghan Trainor</v>
      </c>
      <c r="C953" s="1" t="s">
        <v>988</v>
      </c>
      <c r="D953" s="2" t="n">
        <v>182666</v>
      </c>
      <c r="E953" s="2" t="n">
        <f aca="false">D953/1000</f>
        <v>182.666</v>
      </c>
      <c r="F953" s="10" t="b">
        <f aca="false">FALSE()</f>
        <v>0</v>
      </c>
      <c r="G953" s="0" t="n">
        <v>18</v>
      </c>
      <c r="H953" s="0" t="n">
        <f aca="false">_xlfn.xlookup(G953, years!A$2:A$836, years!B$2:B$836)</f>
        <v>2015</v>
      </c>
      <c r="I953" s="2" t="n">
        <v>70</v>
      </c>
      <c r="J953" s="0" t="n">
        <v>0.775</v>
      </c>
      <c r="K953" s="0" t="n">
        <v>0.825</v>
      </c>
      <c r="L953" s="3" t="str">
        <f aca="false">IF(K953&gt;0.66,"High",IF(K953&gt;0.33&amp;K953&lt;=0.66,"Medium","Low"))</f>
        <v>High</v>
      </c>
      <c r="M953" s="0" t="n">
        <v>-5.402</v>
      </c>
      <c r="N953" s="3" t="n">
        <v>0.0464</v>
      </c>
      <c r="O953" s="3" t="n">
        <v>0.0506</v>
      </c>
      <c r="P953" s="4" t="n">
        <v>1.03E-006</v>
      </c>
      <c r="Q953" s="3" t="n">
        <v>0.111</v>
      </c>
      <c r="R953" s="3" t="n">
        <v>0.95</v>
      </c>
      <c r="S953" s="3" t="str">
        <f aca="false">IF(R953 &gt;= 0.5, "Positive", "Negative")</f>
        <v>Positive</v>
      </c>
      <c r="T953" s="2" t="n">
        <v>139.091</v>
      </c>
      <c r="U953" s="0" t="s">
        <v>39</v>
      </c>
    </row>
    <row r="954" customFormat="false" ht="14.25" hidden="false" customHeight="false" outlineLevel="0" collapsed="false">
      <c r="A954" s="0" t="n">
        <v>345</v>
      </c>
      <c r="B954" s="0" t="str">
        <f aca="false">_xlfn.xlookup(A954, artists!A$2:A$836, artists!B$2:B$836)</f>
        <v>Hinder</v>
      </c>
      <c r="C954" s="1" t="s">
        <v>989</v>
      </c>
      <c r="D954" s="2" t="n">
        <v>261053</v>
      </c>
      <c r="E954" s="2" t="n">
        <f aca="false">D954/1000</f>
        <v>261.053</v>
      </c>
      <c r="F954" s="10" t="b">
        <f aca="false">FALSE()</f>
        <v>0</v>
      </c>
      <c r="G954" s="0" t="n">
        <v>22</v>
      </c>
      <c r="H954" s="0" t="n">
        <f aca="false">_xlfn.xlookup(G954, years!A$2:A$836, years!B$2:B$836)</f>
        <v>2019</v>
      </c>
      <c r="I954" s="2" t="n">
        <v>35</v>
      </c>
      <c r="J954" s="0" t="n">
        <v>0.474</v>
      </c>
      <c r="K954" s="0" t="n">
        <v>0.744</v>
      </c>
      <c r="L954" s="3" t="str">
        <f aca="false">IF(K954&gt;0.66,"High",IF(K954&gt;0.33&amp;K954&lt;=0.66,"Medium","Low"))</f>
        <v>High</v>
      </c>
      <c r="M954" s="0" t="n">
        <v>-5.386</v>
      </c>
      <c r="N954" s="3" t="n">
        <v>0.0341</v>
      </c>
      <c r="O954" s="3" t="n">
        <v>0.0208</v>
      </c>
      <c r="P954" s="4" t="n">
        <v>1.22E-006</v>
      </c>
      <c r="Q954" s="3" t="n">
        <v>0.209</v>
      </c>
      <c r="R954" s="3" t="n">
        <v>0.238</v>
      </c>
      <c r="S954" s="3" t="str">
        <f aca="false">IF(R954 &gt;= 0.5, "Positive", "Negative")</f>
        <v>Negative</v>
      </c>
      <c r="T954" s="2" t="n">
        <v>129.005</v>
      </c>
      <c r="U954" s="0" t="s">
        <v>221</v>
      </c>
    </row>
    <row r="955" customFormat="false" ht="14.25" hidden="false" customHeight="false" outlineLevel="0" collapsed="false">
      <c r="A955" s="0" t="n">
        <v>728</v>
      </c>
      <c r="B955" s="0" t="str">
        <f aca="false">_xlfn.xlookup(A955, artists!A$2:A$836, artists!B$2:B$836)</f>
        <v>Jax Jones</v>
      </c>
      <c r="C955" s="1" t="s">
        <v>990</v>
      </c>
      <c r="D955" s="2" t="n">
        <v>213946</v>
      </c>
      <c r="E955" s="2" t="n">
        <f aca="false">D955/1000</f>
        <v>213.946</v>
      </c>
      <c r="F955" s="10" t="b">
        <f aca="false">TRUE()</f>
        <v>1</v>
      </c>
      <c r="G955" s="0" t="n">
        <v>19</v>
      </c>
      <c r="H955" s="0" t="n">
        <f aca="false">_xlfn.xlookup(G955, years!A$2:A$836, years!B$2:B$836)</f>
        <v>2016</v>
      </c>
      <c r="I955" s="2" t="n">
        <v>1</v>
      </c>
      <c r="J955" s="0" t="n">
        <v>0.876</v>
      </c>
      <c r="K955" s="0" t="n">
        <v>0.669</v>
      </c>
      <c r="L955" s="3" t="str">
        <f aca="false">IF(K955&gt;0.66,"High",IF(K955&gt;0.33&amp;K955&lt;=0.66,"Medium","Low"))</f>
        <v>High</v>
      </c>
      <c r="M955" s="0" t="n">
        <v>-6.054</v>
      </c>
      <c r="N955" s="3" t="n">
        <v>0.138</v>
      </c>
      <c r="O955" s="3" t="n">
        <v>0.163</v>
      </c>
      <c r="P955" s="4" t="n">
        <v>0</v>
      </c>
      <c r="Q955" s="3" t="n">
        <v>0.185</v>
      </c>
      <c r="R955" s="3" t="n">
        <v>0.682</v>
      </c>
      <c r="S955" s="3" t="str">
        <f aca="false">IF(R955 &gt;= 0.5, "Positive", "Negative")</f>
        <v>Positive</v>
      </c>
      <c r="T955" s="2" t="n">
        <v>124.007</v>
      </c>
      <c r="U955" s="0" t="s">
        <v>53</v>
      </c>
    </row>
    <row r="956" customFormat="false" ht="14.25" hidden="false" customHeight="false" outlineLevel="0" collapsed="false">
      <c r="A956" s="0" t="n">
        <v>636</v>
      </c>
      <c r="B956" s="0" t="str">
        <f aca="false">_xlfn.xlookup(A956, artists!A$2:A$836, artists!B$2:B$836)</f>
        <v>Alex &amp; Sierra</v>
      </c>
      <c r="C956" s="1" t="s">
        <v>991</v>
      </c>
      <c r="D956" s="2" t="n">
        <v>185200</v>
      </c>
      <c r="E956" s="2" t="n">
        <f aca="false">D956/1000</f>
        <v>185.2</v>
      </c>
      <c r="F956" s="10" t="b">
        <f aca="false">FALSE()</f>
        <v>0</v>
      </c>
      <c r="G956" s="0" t="n">
        <v>17</v>
      </c>
      <c r="H956" s="0" t="n">
        <f aca="false">_xlfn.xlookup(G956, years!A$2:A$836, years!B$2:B$836)</f>
        <v>2014</v>
      </c>
      <c r="I956" s="2" t="n">
        <v>75</v>
      </c>
      <c r="J956" s="0" t="n">
        <v>0.5</v>
      </c>
      <c r="K956" s="0" t="n">
        <v>0.292</v>
      </c>
      <c r="L956" s="3" t="str">
        <f aca="false">IF(K956&gt;0.66,"High",IF(K956&gt;0.33&amp;K956&lt;=0.66,"Medium","Low"))</f>
        <v>Low</v>
      </c>
      <c r="M956" s="0" t="n">
        <v>-8.554</v>
      </c>
      <c r="N956" s="3" t="n">
        <v>0.0323</v>
      </c>
      <c r="O956" s="3" t="n">
        <v>0.746</v>
      </c>
      <c r="P956" s="4" t="n">
        <v>0</v>
      </c>
      <c r="Q956" s="3" t="n">
        <v>0.188</v>
      </c>
      <c r="R956" s="3" t="n">
        <v>0.37</v>
      </c>
      <c r="S956" s="3" t="str">
        <f aca="false">IF(R956 &gt;= 0.5, "Positive", "Negative")</f>
        <v>Negative</v>
      </c>
      <c r="T956" s="2" t="n">
        <v>145.879</v>
      </c>
      <c r="U956" s="0" t="s">
        <v>39</v>
      </c>
    </row>
    <row r="957" customFormat="false" ht="14.25" hidden="false" customHeight="false" outlineLevel="0" collapsed="false">
      <c r="A957" s="0" t="n">
        <v>113</v>
      </c>
      <c r="B957" s="0" t="str">
        <f aca="false">_xlfn.xlookup(A957, artists!A$2:A$836, artists!B$2:B$836)</f>
        <v>Jamiroquai</v>
      </c>
      <c r="C957" s="1" t="s">
        <v>992</v>
      </c>
      <c r="D957" s="2" t="n">
        <v>295400</v>
      </c>
      <c r="E957" s="2" t="n">
        <f aca="false">D957/1000</f>
        <v>295.4</v>
      </c>
      <c r="F957" s="10" t="b">
        <f aca="false">FALSE()</f>
        <v>0</v>
      </c>
      <c r="G957" s="0" t="n">
        <v>4</v>
      </c>
      <c r="H957" s="0" t="n">
        <f aca="false">_xlfn.xlookup(G957, years!A$2:A$836, years!B$2:B$836)</f>
        <v>2001</v>
      </c>
      <c r="I957" s="2" t="n">
        <v>65</v>
      </c>
      <c r="J957" s="0" t="n">
        <v>0.878</v>
      </c>
      <c r="K957" s="0" t="n">
        <v>0.724</v>
      </c>
      <c r="L957" s="3" t="str">
        <f aca="false">IF(K957&gt;0.66,"High",IF(K957&gt;0.33&amp;K957&lt;=0.66,"Medium","Low"))</f>
        <v>High</v>
      </c>
      <c r="M957" s="0" t="n">
        <v>-5.373</v>
      </c>
      <c r="N957" s="3" t="n">
        <v>0.129</v>
      </c>
      <c r="O957" s="3" t="n">
        <v>0.168</v>
      </c>
      <c r="P957" s="4" t="n">
        <v>0.0116</v>
      </c>
      <c r="Q957" s="3" t="n">
        <v>0.133</v>
      </c>
      <c r="R957" s="3" t="n">
        <v>0.904</v>
      </c>
      <c r="S957" s="3" t="str">
        <f aca="false">IF(R957 &gt;= 0.5, "Positive", "Negative")</f>
        <v>Positive</v>
      </c>
      <c r="T957" s="2" t="n">
        <v>121.906</v>
      </c>
      <c r="U957" s="0" t="s">
        <v>39</v>
      </c>
    </row>
    <row r="958" customFormat="false" ht="14.25" hidden="false" customHeight="false" outlineLevel="0" collapsed="false">
      <c r="A958" s="0" t="n">
        <v>468</v>
      </c>
      <c r="B958" s="0" t="str">
        <f aca="false">_xlfn.xlookup(A958, artists!A$2:A$836, artists!B$2:B$836)</f>
        <v>Mumford &amp; Sons</v>
      </c>
      <c r="C958" s="1" t="s">
        <v>993</v>
      </c>
      <c r="D958" s="2" t="n">
        <v>245173</v>
      </c>
      <c r="E958" s="2" t="n">
        <f aca="false">D958/1000</f>
        <v>245.173</v>
      </c>
      <c r="F958" s="10" t="b">
        <f aca="false">TRUE()</f>
        <v>1</v>
      </c>
      <c r="G958" s="0" t="n">
        <v>12</v>
      </c>
      <c r="H958" s="0" t="n">
        <f aca="false">_xlfn.xlookup(G958, years!A$2:A$836, years!B$2:B$836)</f>
        <v>2009</v>
      </c>
      <c r="I958" s="2" t="n">
        <v>68</v>
      </c>
      <c r="J958" s="0" t="n">
        <v>0.517</v>
      </c>
      <c r="K958" s="0" t="n">
        <v>0.492</v>
      </c>
      <c r="L958" s="3" t="str">
        <f aca="false">IF(K958&gt;0.66,"High",IF(K958&gt;0.33&amp;K958&lt;=0.66,"Medium","Low"))</f>
        <v>Low</v>
      </c>
      <c r="M958" s="0" t="n">
        <v>-8.05</v>
      </c>
      <c r="N958" s="3" t="n">
        <v>0.0272</v>
      </c>
      <c r="O958" s="3" t="n">
        <v>0.0275</v>
      </c>
      <c r="P958" s="4" t="n">
        <v>3.19E-005</v>
      </c>
      <c r="Q958" s="3" t="n">
        <v>0.0873</v>
      </c>
      <c r="R958" s="3" t="n">
        <v>0.455</v>
      </c>
      <c r="S958" s="3" t="str">
        <f aca="false">IF(R958 &gt;= 0.5, "Positive", "Negative")</f>
        <v>Negative</v>
      </c>
      <c r="T958" s="2" t="n">
        <v>138.585</v>
      </c>
      <c r="U958" s="0" t="s">
        <v>994</v>
      </c>
    </row>
    <row r="959" customFormat="false" ht="14.25" hidden="false" customHeight="false" outlineLevel="0" collapsed="false">
      <c r="A959" s="0" t="n">
        <v>596</v>
      </c>
      <c r="B959" s="0" t="str">
        <f aca="false">_xlfn.xlookup(A959, artists!A$2:A$836, artists!B$2:B$836)</f>
        <v>Of Monsters and Men</v>
      </c>
      <c r="C959" s="1" t="s">
        <v>995</v>
      </c>
      <c r="D959" s="2" t="n">
        <v>266600</v>
      </c>
      <c r="E959" s="2" t="n">
        <f aca="false">D959/1000</f>
        <v>266.6</v>
      </c>
      <c r="F959" s="10" t="b">
        <f aca="false">FALSE()</f>
        <v>0</v>
      </c>
      <c r="G959" s="0" t="n">
        <v>15</v>
      </c>
      <c r="H959" s="0" t="n">
        <f aca="false">_xlfn.xlookup(G959, years!A$2:A$836, years!B$2:B$836)</f>
        <v>2012</v>
      </c>
      <c r="I959" s="2" t="n">
        <v>79</v>
      </c>
      <c r="J959" s="0" t="n">
        <v>0.457</v>
      </c>
      <c r="K959" s="0" t="n">
        <v>0.757</v>
      </c>
      <c r="L959" s="3" t="str">
        <f aca="false">IF(K959&gt;0.66,"High",IF(K959&gt;0.33&amp;K959&lt;=0.66,"Medium","Low"))</f>
        <v>High</v>
      </c>
      <c r="M959" s="0" t="n">
        <v>-5.177</v>
      </c>
      <c r="N959" s="3" t="n">
        <v>0.032</v>
      </c>
      <c r="O959" s="3" t="n">
        <v>0.0206</v>
      </c>
      <c r="P959" s="4" t="n">
        <v>0</v>
      </c>
      <c r="Q959" s="3" t="n">
        <v>0.146</v>
      </c>
      <c r="R959" s="3" t="n">
        <v>0.417</v>
      </c>
      <c r="S959" s="3" t="str">
        <f aca="false">IF(R959 &gt;= 0.5, "Positive", "Negative")</f>
        <v>Negative</v>
      </c>
      <c r="T959" s="2" t="n">
        <v>102.961</v>
      </c>
      <c r="U959" s="0" t="s">
        <v>996</v>
      </c>
    </row>
    <row r="960" customFormat="false" ht="14.25" hidden="false" customHeight="false" outlineLevel="0" collapsed="false">
      <c r="A960" s="0" t="n">
        <v>506</v>
      </c>
      <c r="B960" s="0" t="str">
        <f aca="false">_xlfn.xlookup(A960, artists!A$2:A$836, artists!B$2:B$836)</f>
        <v>Kris Allen</v>
      </c>
      <c r="C960" s="1" t="s">
        <v>997</v>
      </c>
      <c r="D960" s="2" t="n">
        <v>212506</v>
      </c>
      <c r="E960" s="2" t="n">
        <f aca="false">D960/1000</f>
        <v>212.506</v>
      </c>
      <c r="F960" s="10" t="b">
        <f aca="false">FALSE()</f>
        <v>0</v>
      </c>
      <c r="G960" s="0" t="n">
        <v>12</v>
      </c>
      <c r="H960" s="0" t="n">
        <f aca="false">_xlfn.xlookup(G960, years!A$2:A$836, years!B$2:B$836)</f>
        <v>2009</v>
      </c>
      <c r="I960" s="2" t="n">
        <v>51</v>
      </c>
      <c r="J960" s="0" t="n">
        <v>0.589</v>
      </c>
      <c r="K960" s="0" t="n">
        <v>0.893</v>
      </c>
      <c r="L960" s="3" t="str">
        <f aca="false">IF(K960&gt;0.66,"High",IF(K960&gt;0.33&amp;K960&lt;=0.66,"Medium","Low"))</f>
        <v>High</v>
      </c>
      <c r="M960" s="0" t="n">
        <v>-2.948</v>
      </c>
      <c r="N960" s="3" t="n">
        <v>0.0397</v>
      </c>
      <c r="O960" s="3" t="n">
        <v>0.0273</v>
      </c>
      <c r="P960" s="4" t="n">
        <v>0</v>
      </c>
      <c r="Q960" s="3" t="n">
        <v>0.343</v>
      </c>
      <c r="R960" s="3" t="n">
        <v>0.94</v>
      </c>
      <c r="S960" s="3" t="str">
        <f aca="false">IF(R960 &gt;= 0.5, "Positive", "Negative")</f>
        <v>Positive</v>
      </c>
      <c r="T960" s="2" t="n">
        <v>92.011</v>
      </c>
      <c r="U960" s="0" t="s">
        <v>39</v>
      </c>
    </row>
    <row r="961" customFormat="false" ht="14.25" hidden="false" customHeight="false" outlineLevel="0" collapsed="false">
      <c r="A961" s="0" t="n">
        <v>560</v>
      </c>
      <c r="B961" s="0" t="str">
        <f aca="false">_xlfn.xlookup(A961, artists!A$2:A$836, artists!B$2:B$836)</f>
        <v>One Direction</v>
      </c>
      <c r="C961" s="1" t="s">
        <v>998</v>
      </c>
      <c r="D961" s="2" t="n">
        <v>200186</v>
      </c>
      <c r="E961" s="2" t="n">
        <f aca="false">D961/1000</f>
        <v>200.186</v>
      </c>
      <c r="F961" s="10" t="b">
        <f aca="false">FALSE()</f>
        <v>0</v>
      </c>
      <c r="G961" s="0" t="n">
        <v>15</v>
      </c>
      <c r="H961" s="0" t="n">
        <f aca="false">_xlfn.xlookup(G961, years!A$2:A$836, years!B$2:B$836)</f>
        <v>2012</v>
      </c>
      <c r="I961" s="2" t="n">
        <v>0</v>
      </c>
      <c r="J961" s="0" t="n">
        <v>0.658</v>
      </c>
      <c r="K961" s="0" t="n">
        <v>0.837</v>
      </c>
      <c r="L961" s="3" t="str">
        <f aca="false">IF(K961&gt;0.66,"High",IF(K961&gt;0.33&amp;K961&lt;=0.66,"Medium","Low"))</f>
        <v>High</v>
      </c>
      <c r="M961" s="0" t="n">
        <v>-2.063</v>
      </c>
      <c r="N961" s="3" t="n">
        <v>0.0543</v>
      </c>
      <c r="O961" s="3" t="n">
        <v>0.0629</v>
      </c>
      <c r="P961" s="4" t="n">
        <v>0</v>
      </c>
      <c r="Q961" s="3" t="n">
        <v>0.0969</v>
      </c>
      <c r="R961" s="3" t="n">
        <v>0.936</v>
      </c>
      <c r="S961" s="3" t="str">
        <f aca="false">IF(R961 &gt;= 0.5, "Positive", "Negative")</f>
        <v>Positive</v>
      </c>
      <c r="T961" s="2" t="n">
        <v>126.015</v>
      </c>
      <c r="U961" s="0" t="s">
        <v>39</v>
      </c>
    </row>
    <row r="962" customFormat="false" ht="14.25" hidden="false" customHeight="false" outlineLevel="0" collapsed="false">
      <c r="A962" s="0" t="n">
        <v>260</v>
      </c>
      <c r="B962" s="0" t="str">
        <f aca="false">_xlfn.xlookup(A962, artists!A$2:A$836, artists!B$2:B$836)</f>
        <v>T.I.</v>
      </c>
      <c r="C962" s="1" t="s">
        <v>999</v>
      </c>
      <c r="D962" s="2" t="n">
        <v>338853</v>
      </c>
      <c r="E962" s="2" t="n">
        <f aca="false">D962/1000</f>
        <v>338.853</v>
      </c>
      <c r="F962" s="10" t="b">
        <f aca="false">TRUE()</f>
        <v>1</v>
      </c>
      <c r="G962" s="0" t="n">
        <v>11</v>
      </c>
      <c r="H962" s="0" t="n">
        <f aca="false">_xlfn.xlookup(G962, years!A$2:A$836, years!B$2:B$836)</f>
        <v>2008</v>
      </c>
      <c r="I962" s="2" t="n">
        <v>75</v>
      </c>
      <c r="J962" s="0" t="n">
        <v>0.375</v>
      </c>
      <c r="K962" s="0" t="n">
        <v>0.862</v>
      </c>
      <c r="L962" s="3" t="str">
        <f aca="false">IF(K962&gt;0.66,"High",IF(K962&gt;0.33&amp;K962&lt;=0.66,"Medium","Low"))</f>
        <v>High</v>
      </c>
      <c r="M962" s="0" t="n">
        <v>-3.363</v>
      </c>
      <c r="N962" s="3" t="n">
        <v>0.255</v>
      </c>
      <c r="O962" s="3" t="n">
        <v>0.071</v>
      </c>
      <c r="P962" s="4" t="n">
        <v>0</v>
      </c>
      <c r="Q962" s="3" t="n">
        <v>0.211</v>
      </c>
      <c r="R962" s="3" t="n">
        <v>0.478</v>
      </c>
      <c r="S962" s="3" t="str">
        <f aca="false">IF(R962 &gt;= 0.5, "Positive", "Negative")</f>
        <v>Negative</v>
      </c>
      <c r="T962" s="2" t="n">
        <v>159.841</v>
      </c>
      <c r="U962" s="0" t="s">
        <v>24</v>
      </c>
    </row>
    <row r="963" customFormat="false" ht="14.25" hidden="false" customHeight="false" outlineLevel="0" collapsed="false">
      <c r="A963" s="0" t="n">
        <v>132</v>
      </c>
      <c r="B963" s="0" t="str">
        <f aca="false">_xlfn.xlookup(A963, artists!A$2:A$836, artists!B$2:B$836)</f>
        <v>Ja Rule</v>
      </c>
      <c r="C963" s="1" t="s">
        <v>1000</v>
      </c>
      <c r="D963" s="2" t="n">
        <v>257066</v>
      </c>
      <c r="E963" s="2" t="n">
        <f aca="false">D963/1000</f>
        <v>257.066</v>
      </c>
      <c r="F963" s="10" t="b">
        <f aca="false">FALSE()</f>
        <v>0</v>
      </c>
      <c r="G963" s="0" t="n">
        <v>4</v>
      </c>
      <c r="H963" s="0" t="n">
        <f aca="false">_xlfn.xlookup(G963, years!A$2:A$836, years!B$2:B$836)</f>
        <v>2001</v>
      </c>
      <c r="I963" s="2" t="n">
        <v>64</v>
      </c>
      <c r="J963" s="0" t="n">
        <v>0.874</v>
      </c>
      <c r="K963" s="0" t="n">
        <v>0.768</v>
      </c>
      <c r="L963" s="3" t="str">
        <f aca="false">IF(K963&gt;0.66,"High",IF(K963&gt;0.33&amp;K963&lt;=0.66,"Medium","Low"))</f>
        <v>High</v>
      </c>
      <c r="M963" s="0" t="n">
        <v>-4.086</v>
      </c>
      <c r="N963" s="3" t="n">
        <v>0.311</v>
      </c>
      <c r="O963" s="3" t="n">
        <v>0.0554</v>
      </c>
      <c r="P963" s="4" t="n">
        <v>0</v>
      </c>
      <c r="Q963" s="3" t="n">
        <v>0.041</v>
      </c>
      <c r="R963" s="3" t="n">
        <v>0.636</v>
      </c>
      <c r="S963" s="3" t="str">
        <f aca="false">IF(R963 &gt;= 0.5, "Positive", "Negative")</f>
        <v>Positive</v>
      </c>
      <c r="T963" s="2" t="n">
        <v>106.095</v>
      </c>
      <c r="U963" s="0" t="s">
        <v>31</v>
      </c>
    </row>
    <row r="964" customFormat="false" ht="14.25" hidden="false" customHeight="false" outlineLevel="0" collapsed="false">
      <c r="A964" s="0" t="n">
        <v>513</v>
      </c>
      <c r="B964" s="0" t="str">
        <f aca="false">_xlfn.xlookup(A964, artists!A$2:A$836, artists!B$2:B$836)</f>
        <v>Sak Noel</v>
      </c>
      <c r="C964" s="1" t="s">
        <v>1001</v>
      </c>
      <c r="D964" s="2" t="n">
        <v>215624</v>
      </c>
      <c r="E964" s="2" t="n">
        <f aca="false">D964/1000</f>
        <v>215.624</v>
      </c>
      <c r="F964" s="10" t="b">
        <f aca="false">TRUE()</f>
        <v>1</v>
      </c>
      <c r="G964" s="0" t="n">
        <v>14</v>
      </c>
      <c r="H964" s="0" t="n">
        <f aca="false">_xlfn.xlookup(G964, years!A$2:A$836, years!B$2:B$836)</f>
        <v>2011</v>
      </c>
      <c r="I964" s="2" t="n">
        <v>49</v>
      </c>
      <c r="J964" s="0" t="n">
        <v>0.926</v>
      </c>
      <c r="K964" s="0" t="n">
        <v>0.808</v>
      </c>
      <c r="L964" s="3" t="str">
        <f aca="false">IF(K964&gt;0.66,"High",IF(K964&gt;0.33&amp;K964&lt;=0.66,"Medium","Low"))</f>
        <v>High</v>
      </c>
      <c r="M964" s="0" t="n">
        <v>-3.148</v>
      </c>
      <c r="N964" s="3" t="n">
        <v>0.0599</v>
      </c>
      <c r="O964" s="3" t="n">
        <v>0.000915</v>
      </c>
      <c r="P964" s="4" t="n">
        <v>0.00327</v>
      </c>
      <c r="Q964" s="3" t="n">
        <v>0.0515</v>
      </c>
      <c r="R964" s="3" t="n">
        <v>0.701</v>
      </c>
      <c r="S964" s="3" t="str">
        <f aca="false">IF(R964 &gt;= 0.5, "Positive", "Negative")</f>
        <v>Positive</v>
      </c>
      <c r="T964" s="2" t="n">
        <v>127.998</v>
      </c>
      <c r="U964" s="0" t="s">
        <v>48</v>
      </c>
    </row>
    <row r="965" customFormat="false" ht="14.25" hidden="false" customHeight="false" outlineLevel="0" collapsed="false">
      <c r="A965" s="0" t="n">
        <v>814</v>
      </c>
      <c r="B965" s="0" t="str">
        <f aca="false">_xlfn.xlookup(A965, artists!A$2:A$836, artists!B$2:B$836)</f>
        <v>Dave</v>
      </c>
      <c r="C965" s="1" t="s">
        <v>1002</v>
      </c>
      <c r="D965" s="2" t="n">
        <v>241293</v>
      </c>
      <c r="E965" s="2" t="n">
        <f aca="false">D965/1000</f>
        <v>241.293</v>
      </c>
      <c r="F965" s="10" t="b">
        <f aca="false">TRUE()</f>
        <v>1</v>
      </c>
      <c r="G965" s="0" t="n">
        <v>22</v>
      </c>
      <c r="H965" s="0" t="n">
        <f aca="false">_xlfn.xlookup(G965, years!A$2:A$836, years!B$2:B$836)</f>
        <v>2019</v>
      </c>
      <c r="I965" s="2" t="n">
        <v>78</v>
      </c>
      <c r="J965" s="0" t="n">
        <v>0.812</v>
      </c>
      <c r="K965" s="0" t="n">
        <v>0.496</v>
      </c>
      <c r="L965" s="3" t="str">
        <f aca="false">IF(K965&gt;0.66,"High",IF(K965&gt;0.33&amp;K965&lt;=0.66,"Medium","Low"))</f>
        <v>Low</v>
      </c>
      <c r="M965" s="0" t="n">
        <v>-5.969</v>
      </c>
      <c r="N965" s="3" t="n">
        <v>0.297</v>
      </c>
      <c r="O965" s="3" t="n">
        <v>0.271</v>
      </c>
      <c r="P965" s="4" t="n">
        <v>0</v>
      </c>
      <c r="Q965" s="3" t="n">
        <v>0.0955</v>
      </c>
      <c r="R965" s="3" t="n">
        <v>0.55</v>
      </c>
      <c r="S965" s="3" t="str">
        <f aca="false">IF(R965 &gt;= 0.5, "Positive", "Negative")</f>
        <v>Positive</v>
      </c>
      <c r="T965" s="2" t="n">
        <v>109.979</v>
      </c>
      <c r="U965" s="0" t="s">
        <v>29</v>
      </c>
    </row>
    <row r="966" customFormat="false" ht="14.25" hidden="false" customHeight="false" outlineLevel="0" collapsed="false">
      <c r="A966" s="0" t="n">
        <v>700</v>
      </c>
      <c r="B966" s="0" t="str">
        <f aca="false">_xlfn.xlookup(A966, artists!A$2:A$836, artists!B$2:B$836)</f>
        <v>AlunaGeorge</v>
      </c>
      <c r="C966" s="1" t="s">
        <v>1003</v>
      </c>
      <c r="D966" s="2" t="n">
        <v>209425</v>
      </c>
      <c r="E966" s="2" t="n">
        <f aca="false">D966/1000</f>
        <v>209.425</v>
      </c>
      <c r="F966" s="10" t="b">
        <f aca="false">FALSE()</f>
        <v>0</v>
      </c>
      <c r="G966" s="0" t="n">
        <v>19</v>
      </c>
      <c r="H966" s="0" t="n">
        <f aca="false">_xlfn.xlookup(G966, years!A$2:A$836, years!B$2:B$836)</f>
        <v>2016</v>
      </c>
      <c r="I966" s="2" t="n">
        <v>0</v>
      </c>
      <c r="J966" s="0" t="n">
        <v>0.734</v>
      </c>
      <c r="K966" s="0" t="n">
        <v>0.847</v>
      </c>
      <c r="L966" s="3" t="str">
        <f aca="false">IF(K966&gt;0.66,"High",IF(K966&gt;0.33&amp;K966&lt;=0.66,"Medium","Low"))</f>
        <v>High</v>
      </c>
      <c r="M966" s="0" t="n">
        <v>-3.713</v>
      </c>
      <c r="N966" s="3" t="n">
        <v>0.0346</v>
      </c>
      <c r="O966" s="3" t="n">
        <v>0.355</v>
      </c>
      <c r="P966" s="4" t="n">
        <v>0.000144</v>
      </c>
      <c r="Q966" s="3" t="n">
        <v>0.154</v>
      </c>
      <c r="R966" s="3" t="n">
        <v>0.673</v>
      </c>
      <c r="S966" s="3" t="str">
        <f aca="false">IF(R966 &gt;= 0.5, "Positive", "Negative")</f>
        <v>Positive</v>
      </c>
      <c r="T966" s="2" t="n">
        <v>104.013</v>
      </c>
      <c r="U966" s="0" t="s">
        <v>22</v>
      </c>
    </row>
    <row r="967" customFormat="false" ht="14.25" hidden="false" customHeight="false" outlineLevel="0" collapsed="false">
      <c r="A967" s="0" t="n">
        <v>42</v>
      </c>
      <c r="B967" s="0" t="str">
        <f aca="false">_xlfn.xlookup(A967, artists!A$2:A$836, artists!B$2:B$836)</f>
        <v>Backstreet Boys</v>
      </c>
      <c r="C967" s="1" t="s">
        <v>1004</v>
      </c>
      <c r="D967" s="2" t="n">
        <v>234960</v>
      </c>
      <c r="E967" s="2" t="n">
        <f aca="false">D967/1000</f>
        <v>234.96</v>
      </c>
      <c r="F967" s="10" t="b">
        <f aca="false">FALSE()</f>
        <v>0</v>
      </c>
      <c r="G967" s="0" t="n">
        <v>2</v>
      </c>
      <c r="H967" s="0" t="n">
        <f aca="false">_xlfn.xlookup(G967, years!A$2:A$836, years!B$2:B$836)</f>
        <v>1999</v>
      </c>
      <c r="I967" s="2" t="n">
        <v>68</v>
      </c>
      <c r="J967" s="0" t="n">
        <v>0.63</v>
      </c>
      <c r="K967" s="0" t="n">
        <v>0.625</v>
      </c>
      <c r="L967" s="3" t="str">
        <f aca="false">IF(K967&gt;0.66,"High",IF(K967&gt;0.33&amp;K967&lt;=0.66,"Medium","Low"))</f>
        <v>Low</v>
      </c>
      <c r="M967" s="0" t="n">
        <v>-5.088</v>
      </c>
      <c r="N967" s="3" t="n">
        <v>0.0252</v>
      </c>
      <c r="O967" s="3" t="n">
        <v>0.231</v>
      </c>
      <c r="P967" s="4" t="n">
        <v>0</v>
      </c>
      <c r="Q967" s="3" t="n">
        <v>0.0765</v>
      </c>
      <c r="R967" s="3" t="n">
        <v>0.683</v>
      </c>
      <c r="S967" s="3" t="str">
        <f aca="false">IF(R967 &gt;= 0.5, "Positive", "Negative")</f>
        <v>Positive</v>
      </c>
      <c r="T967" s="2" t="n">
        <v>167.998</v>
      </c>
      <c r="U967" s="0" t="s">
        <v>39</v>
      </c>
    </row>
    <row r="968" customFormat="false" ht="14.25" hidden="false" customHeight="false" outlineLevel="0" collapsed="false">
      <c r="A968" s="0" t="n">
        <v>245</v>
      </c>
      <c r="B968" s="0" t="str">
        <f aca="false">_xlfn.xlookup(A968, artists!A$2:A$836, artists!B$2:B$836)</f>
        <v>Akon</v>
      </c>
      <c r="C968" s="1" t="s">
        <v>1005</v>
      </c>
      <c r="D968" s="2" t="n">
        <v>235066</v>
      </c>
      <c r="E968" s="2" t="n">
        <f aca="false">D968/1000</f>
        <v>235.066</v>
      </c>
      <c r="F968" s="10" t="b">
        <f aca="false">TRUE()</f>
        <v>1</v>
      </c>
      <c r="G968" s="0" t="n">
        <v>7</v>
      </c>
      <c r="H968" s="0" t="n">
        <f aca="false">_xlfn.xlookup(G968, years!A$2:A$836, years!B$2:B$836)</f>
        <v>2004</v>
      </c>
      <c r="I968" s="2" t="n">
        <v>16</v>
      </c>
      <c r="J968" s="0" t="n">
        <v>0.818</v>
      </c>
      <c r="K968" s="0" t="n">
        <v>0.579</v>
      </c>
      <c r="L968" s="3" t="str">
        <f aca="false">IF(K968&gt;0.66,"High",IF(K968&gt;0.33&amp;K968&lt;=0.66,"Medium","Low"))</f>
        <v>Low</v>
      </c>
      <c r="M968" s="0" t="n">
        <v>-4.475</v>
      </c>
      <c r="N968" s="3" t="n">
        <v>0.101</v>
      </c>
      <c r="O968" s="3" t="n">
        <v>0.023</v>
      </c>
      <c r="P968" s="4" t="n">
        <v>0</v>
      </c>
      <c r="Q968" s="3" t="n">
        <v>0.107</v>
      </c>
      <c r="R968" s="3" t="n">
        <v>0.354</v>
      </c>
      <c r="S968" s="3" t="str">
        <f aca="false">IF(R968 &gt;= 0.5, "Positive", "Negative")</f>
        <v>Negative</v>
      </c>
      <c r="T968" s="2" t="n">
        <v>89.987</v>
      </c>
      <c r="U968" s="0" t="s">
        <v>39</v>
      </c>
    </row>
    <row r="969" customFormat="false" ht="14.25" hidden="false" customHeight="false" outlineLevel="0" collapsed="false">
      <c r="A969" s="0" t="n">
        <v>258</v>
      </c>
      <c r="B969" s="0" t="str">
        <f aca="false">_xlfn.xlookup(A969, artists!A$2:A$836, artists!B$2:B$836)</f>
        <v>The Shapeshifters</v>
      </c>
      <c r="C969" s="1" t="s">
        <v>1006</v>
      </c>
      <c r="D969" s="2" t="n">
        <v>207066</v>
      </c>
      <c r="E969" s="2" t="n">
        <f aca="false">D969/1000</f>
        <v>207.066</v>
      </c>
      <c r="F969" s="10" t="b">
        <f aca="false">FALSE()</f>
        <v>0</v>
      </c>
      <c r="G969" s="0" t="n">
        <v>7</v>
      </c>
      <c r="H969" s="0" t="n">
        <f aca="false">_xlfn.xlookup(G969, years!A$2:A$836, years!B$2:B$836)</f>
        <v>2004</v>
      </c>
      <c r="I969" s="2" t="n">
        <v>65</v>
      </c>
      <c r="J969" s="0" t="n">
        <v>0.748</v>
      </c>
      <c r="K969" s="0" t="n">
        <v>0.845</v>
      </c>
      <c r="L969" s="3" t="str">
        <f aca="false">IF(K969&gt;0.66,"High",IF(K969&gt;0.33&amp;K969&lt;=0.66,"Medium","Low"))</f>
        <v>High</v>
      </c>
      <c r="M969" s="0" t="n">
        <v>-4.612</v>
      </c>
      <c r="N969" s="3" t="n">
        <v>0.0536</v>
      </c>
      <c r="O969" s="3" t="n">
        <v>0.00083</v>
      </c>
      <c r="P969" s="4" t="n">
        <v>0.000225</v>
      </c>
      <c r="Q969" s="3" t="n">
        <v>0.068</v>
      </c>
      <c r="R969" s="3" t="n">
        <v>0.659</v>
      </c>
      <c r="S969" s="3" t="str">
        <f aca="false">IF(R969 &gt;= 0.5, "Positive", "Negative")</f>
        <v>Positive</v>
      </c>
      <c r="T969" s="2" t="n">
        <v>123.925</v>
      </c>
      <c r="U969" s="0" t="s">
        <v>48</v>
      </c>
    </row>
    <row r="970" customFormat="false" ht="14.25" hidden="false" customHeight="false" outlineLevel="0" collapsed="false">
      <c r="A970" s="0" t="n">
        <v>402</v>
      </c>
      <c r="B970" s="0" t="str">
        <f aca="false">_xlfn.xlookup(A970, artists!A$2:A$836, artists!B$2:B$836)</f>
        <v>Lil Wayne</v>
      </c>
      <c r="C970" s="1" t="s">
        <v>1007</v>
      </c>
      <c r="D970" s="2" t="n">
        <v>299333</v>
      </c>
      <c r="E970" s="2" t="n">
        <f aca="false">D970/1000</f>
        <v>299.333</v>
      </c>
      <c r="F970" s="10" t="b">
        <f aca="false">TRUE()</f>
        <v>1</v>
      </c>
      <c r="G970" s="0" t="n">
        <v>11</v>
      </c>
      <c r="H970" s="0" t="n">
        <f aca="false">_xlfn.xlookup(G970, years!A$2:A$836, years!B$2:B$836)</f>
        <v>2008</v>
      </c>
      <c r="I970" s="2" t="n">
        <v>69</v>
      </c>
      <c r="J970" s="0" t="n">
        <v>0.829</v>
      </c>
      <c r="K970" s="0" t="n">
        <v>0.428</v>
      </c>
      <c r="L970" s="3" t="str">
        <f aca="false">IF(K970&gt;0.66,"High",IF(K970&gt;0.33&amp;K970&lt;=0.66,"Medium","Low"))</f>
        <v>Low</v>
      </c>
      <c r="M970" s="0" t="n">
        <v>-9.469</v>
      </c>
      <c r="N970" s="3" t="n">
        <v>0.0831</v>
      </c>
      <c r="O970" s="3" t="n">
        <v>0.056</v>
      </c>
      <c r="P970" s="4" t="n">
        <v>0.00413</v>
      </c>
      <c r="Q970" s="3" t="n">
        <v>0.137</v>
      </c>
      <c r="R970" s="3" t="n">
        <v>0.45</v>
      </c>
      <c r="S970" s="3" t="str">
        <f aca="false">IF(R970 &gt;= 0.5, "Positive", "Negative")</f>
        <v>Negative</v>
      </c>
      <c r="T970" s="2" t="n">
        <v>148.075</v>
      </c>
      <c r="U970" s="0" t="s">
        <v>24</v>
      </c>
    </row>
    <row r="971" customFormat="false" ht="14.25" hidden="false" customHeight="false" outlineLevel="0" collapsed="false">
      <c r="A971" s="0" t="n">
        <v>332</v>
      </c>
      <c r="B971" s="0" t="str">
        <f aca="false">_xlfn.xlookup(A971, artists!A$2:A$836, artists!B$2:B$836)</f>
        <v>Fergie</v>
      </c>
      <c r="C971" s="1" t="s">
        <v>1008</v>
      </c>
      <c r="D971" s="2" t="n">
        <v>241306</v>
      </c>
      <c r="E971" s="2" t="n">
        <f aca="false">D971/1000</f>
        <v>241.306</v>
      </c>
      <c r="F971" s="10" t="b">
        <f aca="false">TRUE()</f>
        <v>1</v>
      </c>
      <c r="G971" s="0" t="n">
        <v>9</v>
      </c>
      <c r="H971" s="0" t="n">
        <f aca="false">_xlfn.xlookup(G971, years!A$2:A$836, years!B$2:B$836)</f>
        <v>2006</v>
      </c>
      <c r="I971" s="2" t="n">
        <v>57</v>
      </c>
      <c r="J971" s="0" t="n">
        <v>0.769</v>
      </c>
      <c r="K971" s="0" t="n">
        <v>0.609</v>
      </c>
      <c r="L971" s="3" t="str">
        <f aca="false">IF(K971&gt;0.66,"High",IF(K971&gt;0.33&amp;K971&lt;=0.66,"Medium","Low"))</f>
        <v>Low</v>
      </c>
      <c r="M971" s="0" t="n">
        <v>-5.894</v>
      </c>
      <c r="N971" s="3" t="n">
        <v>0.357</v>
      </c>
      <c r="O971" s="3" t="n">
        <v>0.216</v>
      </c>
      <c r="P971" s="4" t="n">
        <v>0</v>
      </c>
      <c r="Q971" s="3" t="n">
        <v>0.166</v>
      </c>
      <c r="R971" s="3" t="n">
        <v>0.633</v>
      </c>
      <c r="S971" s="3" t="str">
        <f aca="false">IF(R971 &gt;= 0.5, "Positive", "Negative")</f>
        <v>Positive</v>
      </c>
      <c r="T971" s="2" t="n">
        <v>90.951</v>
      </c>
      <c r="U971" s="0" t="s">
        <v>33</v>
      </c>
    </row>
    <row r="972" customFormat="false" ht="14.25" hidden="false" customHeight="false" outlineLevel="0" collapsed="false">
      <c r="A972" s="0" t="n">
        <v>245</v>
      </c>
      <c r="B972" s="0" t="str">
        <f aca="false">_xlfn.xlookup(A972, artists!A$2:A$836, artists!B$2:B$836)</f>
        <v>Akon</v>
      </c>
      <c r="C972" s="1" t="s">
        <v>1009</v>
      </c>
      <c r="D972" s="2" t="n">
        <v>235800</v>
      </c>
      <c r="E972" s="2" t="n">
        <f aca="false">D972/1000</f>
        <v>235.8</v>
      </c>
      <c r="F972" s="10" t="b">
        <f aca="false">TRUE()</f>
        <v>1</v>
      </c>
      <c r="G972" s="0" t="n">
        <v>7</v>
      </c>
      <c r="H972" s="0" t="n">
        <f aca="false">_xlfn.xlookup(G972, years!A$2:A$836, years!B$2:B$836)</f>
        <v>2004</v>
      </c>
      <c r="I972" s="2" t="n">
        <v>21</v>
      </c>
      <c r="J972" s="0" t="n">
        <v>0.629</v>
      </c>
      <c r="K972" s="0" t="n">
        <v>0.532</v>
      </c>
      <c r="L972" s="3" t="str">
        <f aca="false">IF(K972&gt;0.66,"High",IF(K972&gt;0.33&amp;K972&lt;=0.66,"Medium","Low"))</f>
        <v>Low</v>
      </c>
      <c r="M972" s="0" t="n">
        <v>-7.88</v>
      </c>
      <c r="N972" s="3" t="n">
        <v>0.0352</v>
      </c>
      <c r="O972" s="3" t="n">
        <v>0.331</v>
      </c>
      <c r="P972" s="4" t="n">
        <v>0</v>
      </c>
      <c r="Q972" s="3" t="n">
        <v>0.238</v>
      </c>
      <c r="R972" s="3" t="n">
        <v>0.619</v>
      </c>
      <c r="S972" s="3" t="str">
        <f aca="false">IF(R972 &gt;= 0.5, "Positive", "Negative")</f>
        <v>Positive</v>
      </c>
      <c r="T972" s="2" t="n">
        <v>90.098</v>
      </c>
      <c r="U972" s="0" t="s">
        <v>39</v>
      </c>
    </row>
    <row r="973" customFormat="false" ht="14.25" hidden="false" customHeight="false" outlineLevel="0" collapsed="false">
      <c r="A973" s="0" t="n">
        <v>297</v>
      </c>
      <c r="B973" s="0" t="str">
        <f aca="false">_xlfn.xlookup(A973, artists!A$2:A$836, artists!B$2:B$836)</f>
        <v>Rob Thomas</v>
      </c>
      <c r="C973" s="1" t="s">
        <v>1010</v>
      </c>
      <c r="D973" s="2" t="n">
        <v>226640</v>
      </c>
      <c r="E973" s="2" t="n">
        <f aca="false">D973/1000</f>
        <v>226.64</v>
      </c>
      <c r="F973" s="10" t="b">
        <f aca="false">FALSE()</f>
        <v>0</v>
      </c>
      <c r="G973" s="0" t="n">
        <v>8</v>
      </c>
      <c r="H973" s="0" t="n">
        <f aca="false">_xlfn.xlookup(G973, years!A$2:A$836, years!B$2:B$836)</f>
        <v>2005</v>
      </c>
      <c r="I973" s="2" t="n">
        <v>56</v>
      </c>
      <c r="J973" s="0" t="n">
        <v>0.551</v>
      </c>
      <c r="K973" s="0" t="n">
        <v>0.896</v>
      </c>
      <c r="L973" s="3" t="str">
        <f aca="false">IF(K973&gt;0.66,"High",IF(K973&gt;0.33&amp;K973&lt;=0.66,"Medium","Low"))</f>
        <v>High</v>
      </c>
      <c r="M973" s="0" t="n">
        <v>-3.152</v>
      </c>
      <c r="N973" s="3" t="n">
        <v>0.109</v>
      </c>
      <c r="O973" s="3" t="n">
        <v>0.033</v>
      </c>
      <c r="P973" s="4" t="n">
        <v>0</v>
      </c>
      <c r="Q973" s="3" t="n">
        <v>0.0899</v>
      </c>
      <c r="R973" s="3" t="n">
        <v>0.858</v>
      </c>
      <c r="S973" s="3" t="str">
        <f aca="false">IF(R973 &gt;= 0.5, "Positive", "Negative")</f>
        <v>Positive</v>
      </c>
      <c r="T973" s="2" t="n">
        <v>171.79</v>
      </c>
      <c r="U973" s="0" t="s">
        <v>116</v>
      </c>
    </row>
    <row r="974" customFormat="false" ht="14.25" hidden="false" customHeight="false" outlineLevel="0" collapsed="false">
      <c r="A974" s="0" t="n">
        <v>542</v>
      </c>
      <c r="B974" s="0" t="str">
        <f aca="false">_xlfn.xlookup(A974, artists!A$2:A$836, artists!B$2:B$836)</f>
        <v>Avicii</v>
      </c>
      <c r="C974" s="1" t="s">
        <v>1011</v>
      </c>
      <c r="D974" s="2" t="n">
        <v>181812</v>
      </c>
      <c r="E974" s="2" t="n">
        <f aca="false">D974/1000</f>
        <v>181.812</v>
      </c>
      <c r="F974" s="10" t="b">
        <f aca="false">FALSE()</f>
        <v>0</v>
      </c>
      <c r="G974" s="0" t="n">
        <v>20</v>
      </c>
      <c r="H974" s="0" t="n">
        <f aca="false">_xlfn.xlookup(G974, years!A$2:A$836, years!B$2:B$836)</f>
        <v>2017</v>
      </c>
      <c r="I974" s="2" t="n">
        <v>53</v>
      </c>
      <c r="J974" s="0" t="n">
        <v>0.655</v>
      </c>
      <c r="K974" s="0" t="n">
        <v>0.666</v>
      </c>
      <c r="L974" s="3" t="str">
        <f aca="false">IF(K974&gt;0.66,"High",IF(K974&gt;0.33&amp;K974&lt;=0.66,"Medium","Low"))</f>
        <v>High</v>
      </c>
      <c r="M974" s="0" t="n">
        <v>-5.309</v>
      </c>
      <c r="N974" s="3" t="n">
        <v>0.0612</v>
      </c>
      <c r="O974" s="3" t="n">
        <v>0.134</v>
      </c>
      <c r="P974" s="4" t="n">
        <v>2.12E-005</v>
      </c>
      <c r="Q974" s="3" t="n">
        <v>0.0683</v>
      </c>
      <c r="R974" s="3" t="n">
        <v>0.272</v>
      </c>
      <c r="S974" s="3" t="str">
        <f aca="false">IF(R974 &gt;= 0.5, "Positive", "Negative")</f>
        <v>Negative</v>
      </c>
      <c r="T974" s="2" t="n">
        <v>102.977</v>
      </c>
      <c r="U974" s="0" t="s">
        <v>22</v>
      </c>
    </row>
    <row r="975" customFormat="false" ht="14.25" hidden="false" customHeight="false" outlineLevel="0" collapsed="false">
      <c r="A975" s="0" t="n">
        <v>1</v>
      </c>
      <c r="B975" s="0" t="str">
        <f aca="false">_xlfn.xlookup(A975, artists!A$2:A$836, artists!B$2:B$836)</f>
        <v>Britney Spears</v>
      </c>
      <c r="C975" s="1" t="s">
        <v>1012</v>
      </c>
      <c r="D975" s="2" t="n">
        <v>212106</v>
      </c>
      <c r="E975" s="2" t="n">
        <f aca="false">D975/1000</f>
        <v>212.106</v>
      </c>
      <c r="F975" s="10" t="b">
        <f aca="false">FALSE()</f>
        <v>0</v>
      </c>
      <c r="G975" s="0" t="n">
        <v>10</v>
      </c>
      <c r="H975" s="0" t="n">
        <f aca="false">_xlfn.xlookup(G975, years!A$2:A$836, years!B$2:B$836)</f>
        <v>2007</v>
      </c>
      <c r="I975" s="2" t="n">
        <v>64</v>
      </c>
      <c r="J975" s="0" t="n">
        <v>0.769</v>
      </c>
      <c r="K975" s="0" t="n">
        <v>0.638</v>
      </c>
      <c r="L975" s="3" t="str">
        <f aca="false">IF(K975&gt;0.66,"High",IF(K975&gt;0.33&amp;K975&lt;=0.66,"Medium","Low"))</f>
        <v>Low</v>
      </c>
      <c r="M975" s="0" t="n">
        <v>-5.054</v>
      </c>
      <c r="N975" s="3" t="n">
        <v>0.216</v>
      </c>
      <c r="O975" s="3" t="n">
        <v>0.0902</v>
      </c>
      <c r="P975" s="4" t="n">
        <v>0</v>
      </c>
      <c r="Q975" s="3" t="n">
        <v>0.0857</v>
      </c>
      <c r="R975" s="3" t="n">
        <v>0.782</v>
      </c>
      <c r="S975" s="3" t="str">
        <f aca="false">IF(R975 &gt;= 0.5, "Positive", "Negative")</f>
        <v>Positive</v>
      </c>
      <c r="T975" s="2" t="n">
        <v>115.007</v>
      </c>
      <c r="U975" s="0" t="s">
        <v>39</v>
      </c>
    </row>
    <row r="976" customFormat="false" ht="14.25" hidden="false" customHeight="false" outlineLevel="0" collapsed="false">
      <c r="A976" s="0" t="n">
        <v>291</v>
      </c>
      <c r="B976" s="0" t="str">
        <f aca="false">_xlfn.xlookup(A976, artists!A$2:A$836, artists!B$2:B$836)</f>
        <v>Chris Brown</v>
      </c>
      <c r="C976" s="1" t="s">
        <v>1013</v>
      </c>
      <c r="D976" s="2" t="n">
        <v>222586</v>
      </c>
      <c r="E976" s="2" t="n">
        <f aca="false">D976/1000</f>
        <v>222.586</v>
      </c>
      <c r="F976" s="10" t="b">
        <f aca="false">TRUE()</f>
        <v>1</v>
      </c>
      <c r="G976" s="0" t="n">
        <v>14</v>
      </c>
      <c r="H976" s="0" t="n">
        <f aca="false">_xlfn.xlookup(G976, years!A$2:A$836, years!B$2:B$836)</f>
        <v>2011</v>
      </c>
      <c r="I976" s="2" t="n">
        <v>71</v>
      </c>
      <c r="J976" s="0" t="n">
        <v>0.767</v>
      </c>
      <c r="K976" s="0" t="n">
        <v>0.677</v>
      </c>
      <c r="L976" s="3" t="str">
        <f aca="false">IF(K976&gt;0.66,"High",IF(K976&gt;0.33&amp;K976&lt;=0.66,"Medium","Low"))</f>
        <v>High</v>
      </c>
      <c r="M976" s="0" t="n">
        <v>-6.128</v>
      </c>
      <c r="N976" s="3" t="n">
        <v>0.184</v>
      </c>
      <c r="O976" s="3" t="n">
        <v>0.0339</v>
      </c>
      <c r="P976" s="4" t="n">
        <v>5.51E-006</v>
      </c>
      <c r="Q976" s="3" t="n">
        <v>0.144</v>
      </c>
      <c r="R976" s="3" t="n">
        <v>0.538</v>
      </c>
      <c r="S976" s="3" t="str">
        <f aca="false">IF(R976 &gt;= 0.5, "Positive", "Negative")</f>
        <v>Positive</v>
      </c>
      <c r="T976" s="2" t="n">
        <v>146.155</v>
      </c>
      <c r="U976" s="0" t="s">
        <v>31</v>
      </c>
    </row>
    <row r="977" customFormat="false" ht="14.25" hidden="false" customHeight="false" outlineLevel="0" collapsed="false">
      <c r="A977" s="0" t="n">
        <v>739</v>
      </c>
      <c r="B977" s="0" t="str">
        <f aca="false">_xlfn.xlookup(A977, artists!A$2:A$836, artists!B$2:B$836)</f>
        <v>A Boogie Wit da Hoodie</v>
      </c>
      <c r="C977" s="1" t="s">
        <v>1014</v>
      </c>
      <c r="D977" s="2" t="n">
        <v>179449</v>
      </c>
      <c r="E977" s="2" t="n">
        <f aca="false">D977/1000</f>
        <v>179.449</v>
      </c>
      <c r="F977" s="10" t="b">
        <f aca="false">TRUE()</f>
        <v>1</v>
      </c>
      <c r="G977" s="0" t="n">
        <v>21</v>
      </c>
      <c r="H977" s="0" t="n">
        <f aca="false">_xlfn.xlookup(G977, years!A$2:A$836, years!B$2:B$836)</f>
        <v>2018</v>
      </c>
      <c r="I977" s="2" t="n">
        <v>73</v>
      </c>
      <c r="J977" s="0" t="n">
        <v>0.791</v>
      </c>
      <c r="K977" s="0" t="n">
        <v>0.587</v>
      </c>
      <c r="L977" s="3" t="str">
        <f aca="false">IF(K977&gt;0.66,"High",IF(K977&gt;0.33&amp;K977&lt;=0.66,"Medium","Low"))</f>
        <v>Low</v>
      </c>
      <c r="M977" s="0" t="n">
        <v>-5.075</v>
      </c>
      <c r="N977" s="3" t="n">
        <v>0.0413</v>
      </c>
      <c r="O977" s="3" t="n">
        <v>0.407</v>
      </c>
      <c r="P977" s="4" t="n">
        <v>0</v>
      </c>
      <c r="Q977" s="3" t="n">
        <v>0.148</v>
      </c>
      <c r="R977" s="3" t="n">
        <v>0.536</v>
      </c>
      <c r="S977" s="3" t="str">
        <f aca="false">IF(R977 &gt;= 0.5, "Positive", "Negative")</f>
        <v>Positive</v>
      </c>
      <c r="T977" s="2" t="n">
        <v>96.057</v>
      </c>
      <c r="U977" s="0" t="s">
        <v>29</v>
      </c>
    </row>
    <row r="978" customFormat="false" ht="14.25" hidden="false" customHeight="false" outlineLevel="0" collapsed="false">
      <c r="A978" s="0" t="n">
        <v>589</v>
      </c>
      <c r="B978" s="0" t="str">
        <f aca="false">_xlfn.xlookup(A978, artists!A$2:A$836, artists!B$2:B$836)</f>
        <v>Storm Queen</v>
      </c>
      <c r="C978" s="1" t="s">
        <v>1015</v>
      </c>
      <c r="D978" s="2" t="n">
        <v>150400</v>
      </c>
      <c r="E978" s="2" t="n">
        <f aca="false">D978/1000</f>
        <v>150.4</v>
      </c>
      <c r="F978" s="10" t="b">
        <f aca="false">FALSE()</f>
        <v>0</v>
      </c>
      <c r="G978" s="0" t="n">
        <v>17</v>
      </c>
      <c r="H978" s="0" t="n">
        <f aca="false">_xlfn.xlookup(G978, years!A$2:A$836, years!B$2:B$836)</f>
        <v>2014</v>
      </c>
      <c r="I978" s="2" t="n">
        <v>0</v>
      </c>
      <c r="J978" s="0" t="n">
        <v>0.832</v>
      </c>
      <c r="K978" s="0" t="n">
        <v>0.815</v>
      </c>
      <c r="L978" s="3" t="str">
        <f aca="false">IF(K978&gt;0.66,"High",IF(K978&gt;0.33&amp;K978&lt;=0.66,"Medium","Low"))</f>
        <v>High</v>
      </c>
      <c r="M978" s="0" t="n">
        <v>-8.035</v>
      </c>
      <c r="N978" s="3" t="n">
        <v>0.081</v>
      </c>
      <c r="O978" s="3" t="n">
        <v>0.00304</v>
      </c>
      <c r="P978" s="4" t="n">
        <v>0.00553</v>
      </c>
      <c r="Q978" s="3" t="n">
        <v>0.263</v>
      </c>
      <c r="R978" s="3" t="n">
        <v>0.519</v>
      </c>
      <c r="S978" s="3" t="str">
        <f aca="false">IF(R978 &gt;= 0.5, "Positive", "Negative")</f>
        <v>Positive</v>
      </c>
      <c r="T978" s="2" t="n">
        <v>119.995</v>
      </c>
      <c r="U978" s="0" t="s">
        <v>48</v>
      </c>
    </row>
    <row r="979" customFormat="false" ht="14.25" hidden="false" customHeight="false" outlineLevel="0" collapsed="false">
      <c r="A979" s="0" t="n">
        <v>610</v>
      </c>
      <c r="B979" s="0" t="str">
        <f aca="false">_xlfn.xlookup(A979, artists!A$2:A$836, artists!B$2:B$836)</f>
        <v>DJ Snake</v>
      </c>
      <c r="C979" s="1" t="s">
        <v>1016</v>
      </c>
      <c r="D979" s="2" t="n">
        <v>220573</v>
      </c>
      <c r="E979" s="2" t="n">
        <f aca="false">D979/1000</f>
        <v>220.573</v>
      </c>
      <c r="F979" s="10" t="b">
        <f aca="false">FALSE()</f>
        <v>0</v>
      </c>
      <c r="G979" s="0" t="n">
        <v>19</v>
      </c>
      <c r="H979" s="0" t="n">
        <f aca="false">_xlfn.xlookup(G979, years!A$2:A$836, years!B$2:B$836)</f>
        <v>2016</v>
      </c>
      <c r="I979" s="2" t="n">
        <v>0</v>
      </c>
      <c r="J979" s="0" t="n">
        <v>0.611</v>
      </c>
      <c r="K979" s="0" t="n">
        <v>0.7</v>
      </c>
      <c r="L979" s="3" t="str">
        <f aca="false">IF(K979&gt;0.66,"High",IF(K979&gt;0.33&amp;K979&lt;=0.66,"Medium","Low"))</f>
        <v>High</v>
      </c>
      <c r="M979" s="0" t="n">
        <v>-5.331</v>
      </c>
      <c r="N979" s="3" t="n">
        <v>0.0436</v>
      </c>
      <c r="O979" s="3" t="n">
        <v>0.0199</v>
      </c>
      <c r="P979" s="4" t="n">
        <v>0</v>
      </c>
      <c r="Q979" s="3" t="n">
        <v>0.0549</v>
      </c>
      <c r="R979" s="3" t="n">
        <v>0.213</v>
      </c>
      <c r="S979" s="3" t="str">
        <f aca="false">IF(R979 &gt;= 0.5, "Positive", "Negative")</f>
        <v>Negative</v>
      </c>
      <c r="T979" s="2" t="n">
        <v>104.981</v>
      </c>
      <c r="U979" s="0" t="s">
        <v>53</v>
      </c>
    </row>
    <row r="980" customFormat="false" ht="14.25" hidden="false" customHeight="false" outlineLevel="0" collapsed="false">
      <c r="A980" s="0" t="n">
        <v>41</v>
      </c>
      <c r="B980" s="0" t="str">
        <f aca="false">_xlfn.xlookup(A980, artists!A$2:A$836, artists!B$2:B$836)</f>
        <v>Missy Elliott</v>
      </c>
      <c r="C980" s="1" t="s">
        <v>1017</v>
      </c>
      <c r="D980" s="2" t="n">
        <v>226863</v>
      </c>
      <c r="E980" s="2" t="n">
        <f aca="false">D980/1000</f>
        <v>226.863</v>
      </c>
      <c r="F980" s="10" t="b">
        <f aca="false">TRUE()</f>
        <v>1</v>
      </c>
      <c r="G980" s="0" t="n">
        <v>8</v>
      </c>
      <c r="H980" s="0" t="n">
        <f aca="false">_xlfn.xlookup(G980, years!A$2:A$836, years!B$2:B$836)</f>
        <v>2005</v>
      </c>
      <c r="I980" s="2" t="n">
        <v>67</v>
      </c>
      <c r="J980" s="0" t="n">
        <v>0.904</v>
      </c>
      <c r="K980" s="0" t="n">
        <v>0.813</v>
      </c>
      <c r="L980" s="3" t="str">
        <f aca="false">IF(K980&gt;0.66,"High",IF(K980&gt;0.33&amp;K980&lt;=0.66,"Medium","Low"))</f>
        <v>High</v>
      </c>
      <c r="M980" s="0" t="n">
        <v>-7.105</v>
      </c>
      <c r="N980" s="3" t="n">
        <v>0.121</v>
      </c>
      <c r="O980" s="3" t="n">
        <v>0.0311</v>
      </c>
      <c r="P980" s="4" t="n">
        <v>0.00697</v>
      </c>
      <c r="Q980" s="3" t="n">
        <v>0.0471</v>
      </c>
      <c r="R980" s="3" t="n">
        <v>0.81</v>
      </c>
      <c r="S980" s="3" t="str">
        <f aca="false">IF(R980 &gt;= 0.5, "Positive", "Negative")</f>
        <v>Positive</v>
      </c>
      <c r="T980" s="2" t="n">
        <v>125.461</v>
      </c>
      <c r="U980" s="0" t="s">
        <v>31</v>
      </c>
    </row>
    <row r="981" customFormat="false" ht="14.25" hidden="false" customHeight="false" outlineLevel="0" collapsed="false">
      <c r="A981" s="0" t="n">
        <v>9</v>
      </c>
      <c r="B981" s="0" t="str">
        <f aca="false">_xlfn.xlookup(A981, artists!A$2:A$836, artists!B$2:B$836)</f>
        <v>Destiny's Child</v>
      </c>
      <c r="C981" s="1" t="s">
        <v>1018</v>
      </c>
      <c r="D981" s="2" t="n">
        <v>242013</v>
      </c>
      <c r="E981" s="2" t="n">
        <f aca="false">D981/1000</f>
        <v>242.013</v>
      </c>
      <c r="F981" s="10" t="b">
        <f aca="false">FALSE()</f>
        <v>0</v>
      </c>
      <c r="G981" s="0" t="n">
        <v>7</v>
      </c>
      <c r="H981" s="0" t="n">
        <f aca="false">_xlfn.xlookup(G981, years!A$2:A$836, years!B$2:B$836)</f>
        <v>2004</v>
      </c>
      <c r="I981" s="2" t="n">
        <v>61</v>
      </c>
      <c r="J981" s="0" t="n">
        <v>0.814</v>
      </c>
      <c r="K981" s="0" t="n">
        <v>0.899</v>
      </c>
      <c r="L981" s="3" t="str">
        <f aca="false">IF(K981&gt;0.66,"High",IF(K981&gt;0.33&amp;K981&lt;=0.66,"Medium","Low"))</f>
        <v>High</v>
      </c>
      <c r="M981" s="0" t="n">
        <v>-5.958</v>
      </c>
      <c r="N981" s="3" t="n">
        <v>0.0637</v>
      </c>
      <c r="O981" s="3" t="n">
        <v>0.00727</v>
      </c>
      <c r="P981" s="4" t="n">
        <v>0.219</v>
      </c>
      <c r="Q981" s="3" t="n">
        <v>0.0979</v>
      </c>
      <c r="R981" s="3" t="n">
        <v>0.545</v>
      </c>
      <c r="S981" s="3" t="str">
        <f aca="false">IF(R981 &gt;= 0.5, "Positive", "Negative")</f>
        <v>Positive</v>
      </c>
      <c r="T981" s="2" t="n">
        <v>119.011</v>
      </c>
      <c r="U981" s="0" t="s">
        <v>33</v>
      </c>
    </row>
    <row r="982" customFormat="false" ht="14.25" hidden="false" customHeight="false" outlineLevel="0" collapsed="false">
      <c r="A982" s="0" t="n">
        <v>7</v>
      </c>
      <c r="B982" s="0" t="str">
        <f aca="false">_xlfn.xlookup(A982, artists!A$2:A$836, artists!B$2:B$836)</f>
        <v>Eminem</v>
      </c>
      <c r="C982" s="1" t="s">
        <v>1019</v>
      </c>
      <c r="D982" s="2" t="n">
        <v>322226</v>
      </c>
      <c r="E982" s="2" t="n">
        <f aca="false">D982/1000</f>
        <v>322.226</v>
      </c>
      <c r="F982" s="10" t="b">
        <f aca="false">TRUE()</f>
        <v>1</v>
      </c>
      <c r="G982" s="0" t="n">
        <v>7</v>
      </c>
      <c r="H982" s="0" t="n">
        <f aca="false">_xlfn.xlookup(G982, years!A$2:A$836, years!B$2:B$836)</f>
        <v>2004</v>
      </c>
      <c r="I982" s="2" t="n">
        <v>77</v>
      </c>
      <c r="J982" s="0" t="n">
        <v>0.686</v>
      </c>
      <c r="K982" s="0" t="n">
        <v>0.735</v>
      </c>
      <c r="L982" s="3" t="str">
        <f aca="false">IF(K982&gt;0.66,"High",IF(K982&gt;0.33&amp;K982&lt;=0.66,"Medium","Low"))</f>
        <v>High</v>
      </c>
      <c r="M982" s="0" t="n">
        <v>-4.616</v>
      </c>
      <c r="N982" s="3" t="n">
        <v>0.264</v>
      </c>
      <c r="O982" s="3" t="n">
        <v>0.00921</v>
      </c>
      <c r="P982" s="4" t="n">
        <v>0.00066</v>
      </c>
      <c r="Q982" s="3" t="n">
        <v>0.342</v>
      </c>
      <c r="R982" s="3" t="n">
        <v>0.0596</v>
      </c>
      <c r="S982" s="3" t="str">
        <f aca="false">IF(R982 &gt;= 0.5, "Positive", "Negative")</f>
        <v>Negative</v>
      </c>
      <c r="T982" s="2" t="n">
        <v>171.355</v>
      </c>
      <c r="U982" s="0" t="s">
        <v>29</v>
      </c>
    </row>
    <row r="983" customFormat="false" ht="14.25" hidden="false" customHeight="false" outlineLevel="0" collapsed="false">
      <c r="A983" s="0" t="n">
        <v>103</v>
      </c>
      <c r="B983" s="0" t="str">
        <f aca="false">_xlfn.xlookup(A983, artists!A$2:A$836, artists!B$2:B$836)</f>
        <v>Daft Punk</v>
      </c>
      <c r="C983" s="1" t="s">
        <v>1020</v>
      </c>
      <c r="D983" s="2" t="n">
        <v>353893</v>
      </c>
      <c r="E983" s="2" t="n">
        <f aca="false">D983/1000</f>
        <v>353.893</v>
      </c>
      <c r="F983" s="10" t="b">
        <f aca="false">FALSE()</f>
        <v>0</v>
      </c>
      <c r="G983" s="0" t="n">
        <v>16</v>
      </c>
      <c r="H983" s="0" t="n">
        <f aca="false">_xlfn.xlookup(G983, years!A$2:A$836, years!B$2:B$836)</f>
        <v>2013</v>
      </c>
      <c r="I983" s="2" t="n">
        <v>69</v>
      </c>
      <c r="J983" s="0" t="n">
        <v>0.832</v>
      </c>
      <c r="K983" s="0" t="n">
        <v>0.659</v>
      </c>
      <c r="L983" s="3" t="str">
        <f aca="false">IF(K983&gt;0.66,"High",IF(K983&gt;0.33&amp;K983&lt;=0.66,"Medium","Low"))</f>
        <v>Low</v>
      </c>
      <c r="M983" s="0" t="n">
        <v>-7.828</v>
      </c>
      <c r="N983" s="3" t="n">
        <v>0.057</v>
      </c>
      <c r="O983" s="3" t="n">
        <v>0.0839</v>
      </c>
      <c r="P983" s="4" t="n">
        <v>0.00114</v>
      </c>
      <c r="Q983" s="3" t="n">
        <v>0.0753</v>
      </c>
      <c r="R983" s="3" t="n">
        <v>0.674</v>
      </c>
      <c r="S983" s="3" t="str">
        <f aca="false">IF(R983 &gt;= 0.5, "Positive", "Negative")</f>
        <v>Positive</v>
      </c>
      <c r="T983" s="2" t="n">
        <v>100.163</v>
      </c>
      <c r="U983" s="0" t="s">
        <v>143</v>
      </c>
    </row>
    <row r="984" customFormat="false" ht="14.25" hidden="false" customHeight="false" outlineLevel="0" collapsed="false">
      <c r="A984" s="0" t="n">
        <v>552</v>
      </c>
      <c r="B984" s="0" t="str">
        <f aca="false">_xlfn.xlookup(A984, artists!A$2:A$836, artists!B$2:B$836)</f>
        <v>Frank Ocean</v>
      </c>
      <c r="C984" s="1" t="s">
        <v>1021</v>
      </c>
      <c r="D984" s="2" t="n">
        <v>234093</v>
      </c>
      <c r="E984" s="2" t="n">
        <f aca="false">D984/1000</f>
        <v>234.093</v>
      </c>
      <c r="F984" s="10" t="b">
        <f aca="false">TRUE()</f>
        <v>1</v>
      </c>
      <c r="G984" s="0" t="n">
        <v>15</v>
      </c>
      <c r="H984" s="0" t="n">
        <f aca="false">_xlfn.xlookup(G984, years!A$2:A$836, years!B$2:B$836)</f>
        <v>2012</v>
      </c>
      <c r="I984" s="2" t="n">
        <v>64</v>
      </c>
      <c r="J984" s="0" t="n">
        <v>0.913</v>
      </c>
      <c r="K984" s="0" t="n">
        <v>0.603</v>
      </c>
      <c r="L984" s="3" t="str">
        <f aca="false">IF(K984&gt;0.66,"High",IF(K984&gt;0.33&amp;K984&lt;=0.66,"Medium","Low"))</f>
        <v>Low</v>
      </c>
      <c r="M984" s="0" t="n">
        <v>-4.892</v>
      </c>
      <c r="N984" s="3" t="n">
        <v>0.226</v>
      </c>
      <c r="O984" s="3" t="n">
        <v>0.0272</v>
      </c>
      <c r="P984" s="4" t="n">
        <v>0.000503</v>
      </c>
      <c r="Q984" s="3" t="n">
        <v>0.167</v>
      </c>
      <c r="R984" s="3" t="n">
        <v>0.497</v>
      </c>
      <c r="S984" s="3" t="str">
        <f aca="false">IF(R984 &gt;= 0.5, "Positive", "Negative")</f>
        <v>Negative</v>
      </c>
      <c r="T984" s="2" t="n">
        <v>123.061</v>
      </c>
      <c r="U984" s="0" t="s">
        <v>31</v>
      </c>
    </row>
    <row r="985" customFormat="false" ht="14.25" hidden="false" customHeight="false" outlineLevel="0" collapsed="false">
      <c r="A985" s="0" t="n">
        <v>794</v>
      </c>
      <c r="B985" s="0" t="str">
        <f aca="false">_xlfn.xlookup(A985, artists!A$2:A$836, artists!B$2:B$836)</f>
        <v>Gesaffelstein</v>
      </c>
      <c r="C985" s="1" t="s">
        <v>1022</v>
      </c>
      <c r="D985" s="2" t="n">
        <v>202093</v>
      </c>
      <c r="E985" s="2" t="n">
        <f aca="false">D985/1000</f>
        <v>202.093</v>
      </c>
      <c r="F985" s="10" t="b">
        <f aca="false">TRUE()</f>
        <v>1</v>
      </c>
      <c r="G985" s="0" t="n">
        <v>22</v>
      </c>
      <c r="H985" s="0" t="n">
        <f aca="false">_xlfn.xlookup(G985, years!A$2:A$836, years!B$2:B$836)</f>
        <v>2019</v>
      </c>
      <c r="I985" s="2" t="n">
        <v>84</v>
      </c>
      <c r="J985" s="0" t="n">
        <v>0.658</v>
      </c>
      <c r="K985" s="0" t="n">
        <v>0.671</v>
      </c>
      <c r="L985" s="3" t="str">
        <f aca="false">IF(K985&gt;0.66,"High",IF(K985&gt;0.33&amp;K985&lt;=0.66,"Medium","Low"))</f>
        <v>High</v>
      </c>
      <c r="M985" s="0" t="n">
        <v>-12.21</v>
      </c>
      <c r="N985" s="3" t="n">
        <v>0.0363</v>
      </c>
      <c r="O985" s="3" t="n">
        <v>0.0933</v>
      </c>
      <c r="P985" s="4" t="n">
        <v>0.000927</v>
      </c>
      <c r="Q985" s="3" t="n">
        <v>0.115</v>
      </c>
      <c r="R985" s="3" t="n">
        <v>0.166</v>
      </c>
      <c r="S985" s="3" t="str">
        <f aca="false">IF(R985 &gt;= 0.5, "Positive", "Negative")</f>
        <v>Negative</v>
      </c>
      <c r="T985" s="2" t="n">
        <v>100.966</v>
      </c>
      <c r="U985" s="0" t="s">
        <v>48</v>
      </c>
    </row>
    <row r="986" customFormat="false" ht="14.25" hidden="false" customHeight="false" outlineLevel="0" collapsed="false">
      <c r="A986" s="0" t="n">
        <v>178</v>
      </c>
      <c r="B986" s="0" t="str">
        <f aca="false">_xlfn.xlookup(A986, artists!A$2:A$836, artists!B$2:B$836)</f>
        <v>Delta Goodrem</v>
      </c>
      <c r="C986" s="1" t="s">
        <v>1023</v>
      </c>
      <c r="D986" s="2" t="n">
        <v>248546</v>
      </c>
      <c r="E986" s="2" t="n">
        <f aca="false">D986/1000</f>
        <v>248.546</v>
      </c>
      <c r="F986" s="10" t="b">
        <f aca="false">FALSE()</f>
        <v>0</v>
      </c>
      <c r="G986" s="0" t="n">
        <v>6</v>
      </c>
      <c r="H986" s="0" t="n">
        <f aca="false">_xlfn.xlookup(G986, years!A$2:A$836, years!B$2:B$836)</f>
        <v>2003</v>
      </c>
      <c r="I986" s="2" t="n">
        <v>54</v>
      </c>
      <c r="J986" s="0" t="n">
        <v>0.581</v>
      </c>
      <c r="K986" s="0" t="n">
        <v>0.747</v>
      </c>
      <c r="L986" s="3" t="str">
        <f aca="false">IF(K986&gt;0.66,"High",IF(K986&gt;0.33&amp;K986&lt;=0.66,"Medium","Low"))</f>
        <v>High</v>
      </c>
      <c r="M986" s="0" t="n">
        <v>-6.682</v>
      </c>
      <c r="N986" s="3" t="n">
        <v>0.0283</v>
      </c>
      <c r="O986" s="3" t="n">
        <v>0.0365</v>
      </c>
      <c r="P986" s="4" t="n">
        <v>1.69E-006</v>
      </c>
      <c r="Q986" s="3" t="n">
        <v>0.193</v>
      </c>
      <c r="R986" s="3" t="n">
        <v>0.514</v>
      </c>
      <c r="S986" s="3" t="str">
        <f aca="false">IF(R986 &gt;= 0.5, "Positive", "Negative")</f>
        <v>Positive</v>
      </c>
      <c r="T986" s="2" t="n">
        <v>146.301</v>
      </c>
      <c r="U986" s="0" t="s">
        <v>39</v>
      </c>
    </row>
    <row r="987" customFormat="false" ht="14.25" hidden="false" customHeight="false" outlineLevel="0" collapsed="false">
      <c r="A987" s="0" t="n">
        <v>477</v>
      </c>
      <c r="B987" s="0" t="str">
        <f aca="false">_xlfn.xlookup(A987, artists!A$2:A$836, artists!B$2:B$836)</f>
        <v>DJ Fresh</v>
      </c>
      <c r="C987" s="1" t="s">
        <v>1024</v>
      </c>
      <c r="D987" s="2" t="n">
        <v>206776</v>
      </c>
      <c r="E987" s="2" t="n">
        <f aca="false">D987/1000</f>
        <v>206.776</v>
      </c>
      <c r="F987" s="10" t="b">
        <f aca="false">FALSE()</f>
        <v>0</v>
      </c>
      <c r="G987" s="0" t="n">
        <v>15</v>
      </c>
      <c r="H987" s="0" t="n">
        <f aca="false">_xlfn.xlookup(G987, years!A$2:A$836, years!B$2:B$836)</f>
        <v>2012</v>
      </c>
      <c r="I987" s="2" t="n">
        <v>55</v>
      </c>
      <c r="J987" s="0" t="n">
        <v>0.31</v>
      </c>
      <c r="K987" s="0" t="n">
        <v>0.926</v>
      </c>
      <c r="L987" s="3" t="str">
        <f aca="false">IF(K987&gt;0.66,"High",IF(K987&gt;0.33&amp;K987&lt;=0.66,"Medium","Low"))</f>
        <v>High</v>
      </c>
      <c r="M987" s="0" t="n">
        <v>-1.131</v>
      </c>
      <c r="N987" s="3" t="n">
        <v>0.0464</v>
      </c>
      <c r="O987" s="3" t="n">
        <v>0.0184</v>
      </c>
      <c r="P987" s="4" t="n">
        <v>0.00792</v>
      </c>
      <c r="Q987" s="3" t="n">
        <v>0.483</v>
      </c>
      <c r="R987" s="3" t="n">
        <v>0.493</v>
      </c>
      <c r="S987" s="3" t="str">
        <f aca="false">IF(R987 &gt;= 0.5, "Positive", "Negative")</f>
        <v>Negative</v>
      </c>
      <c r="T987" s="2" t="n">
        <v>139.85</v>
      </c>
      <c r="U987" s="0" t="s">
        <v>22</v>
      </c>
    </row>
    <row r="988" customFormat="false" ht="14.25" hidden="false" customHeight="false" outlineLevel="0" collapsed="false">
      <c r="A988" s="0" t="n">
        <v>134</v>
      </c>
      <c r="B988" s="0" t="str">
        <f aca="false">_xlfn.xlookup(A988, artists!A$2:A$836, artists!B$2:B$836)</f>
        <v>Musiq Soulchild</v>
      </c>
      <c r="C988" s="1" t="s">
        <v>1025</v>
      </c>
      <c r="D988" s="2" t="n">
        <v>304666</v>
      </c>
      <c r="E988" s="2" t="n">
        <f aca="false">D988/1000</f>
        <v>304.666</v>
      </c>
      <c r="F988" s="10" t="b">
        <f aca="false">FALSE()</f>
        <v>0</v>
      </c>
      <c r="G988" s="0" t="n">
        <v>3</v>
      </c>
      <c r="H988" s="0" t="n">
        <f aca="false">_xlfn.xlookup(G988, years!A$2:A$836, years!B$2:B$836)</f>
        <v>2000</v>
      </c>
      <c r="I988" s="2" t="n">
        <v>0</v>
      </c>
      <c r="J988" s="0" t="n">
        <v>0.569</v>
      </c>
      <c r="K988" s="0" t="n">
        <v>0.385</v>
      </c>
      <c r="L988" s="3" t="str">
        <f aca="false">IF(K988&gt;0.66,"High",IF(K988&gt;0.33&amp;K988&lt;=0.66,"Medium","Low"))</f>
        <v>Low</v>
      </c>
      <c r="M988" s="0" t="n">
        <v>-9.919</v>
      </c>
      <c r="N988" s="3" t="n">
        <v>0.0499</v>
      </c>
      <c r="O988" s="3" t="n">
        <v>0.342</v>
      </c>
      <c r="P988" s="4" t="n">
        <v>0</v>
      </c>
      <c r="Q988" s="3" t="n">
        <v>0.0876</v>
      </c>
      <c r="R988" s="3" t="n">
        <v>0.339</v>
      </c>
      <c r="S988" s="3" t="str">
        <f aca="false">IF(R988 &gt;= 0.5, "Positive", "Negative")</f>
        <v>Negative</v>
      </c>
      <c r="T988" s="2" t="n">
        <v>99.738</v>
      </c>
      <c r="U988" s="0" t="s">
        <v>33</v>
      </c>
    </row>
    <row r="989" customFormat="false" ht="14.25" hidden="false" customHeight="false" outlineLevel="0" collapsed="false">
      <c r="A989" s="0" t="n">
        <v>341</v>
      </c>
      <c r="B989" s="0" t="str">
        <f aca="false">_xlfn.xlookup(A989, artists!A$2:A$836, artists!B$2:B$836)</f>
        <v>Keyshia Cole</v>
      </c>
      <c r="C989" s="1" t="s">
        <v>1025</v>
      </c>
      <c r="D989" s="2" t="n">
        <v>255333</v>
      </c>
      <c r="E989" s="2" t="n">
        <f aca="false">D989/1000</f>
        <v>255.333</v>
      </c>
      <c r="F989" s="10" t="b">
        <f aca="false">FALSE()</f>
        <v>0</v>
      </c>
      <c r="G989" s="0" t="n">
        <v>8</v>
      </c>
      <c r="H989" s="0" t="n">
        <f aca="false">_xlfn.xlookup(G989, years!A$2:A$836, years!B$2:B$836)</f>
        <v>2005</v>
      </c>
      <c r="I989" s="2" t="n">
        <v>72</v>
      </c>
      <c r="J989" s="0" t="n">
        <v>0.688</v>
      </c>
      <c r="K989" s="0" t="n">
        <v>0.519</v>
      </c>
      <c r="L989" s="3" t="str">
        <f aca="false">IF(K989&gt;0.66,"High",IF(K989&gt;0.33&amp;K989&lt;=0.66,"Medium","Low"))</f>
        <v>Low</v>
      </c>
      <c r="M989" s="0" t="n">
        <v>-4.285</v>
      </c>
      <c r="N989" s="3" t="n">
        <v>0.0283</v>
      </c>
      <c r="O989" s="3" t="n">
        <v>0.064</v>
      </c>
      <c r="P989" s="4" t="n">
        <v>0</v>
      </c>
      <c r="Q989" s="3" t="n">
        <v>0.1</v>
      </c>
      <c r="R989" s="3" t="n">
        <v>0.318</v>
      </c>
      <c r="S989" s="3" t="str">
        <f aca="false">IF(R989 &gt;= 0.5, "Positive", "Negative")</f>
        <v>Negative</v>
      </c>
      <c r="T989" s="2" t="n">
        <v>116.714</v>
      </c>
      <c r="U989" s="0" t="s">
        <v>31</v>
      </c>
    </row>
    <row r="990" customFormat="false" ht="14.25" hidden="false" customHeight="false" outlineLevel="0" collapsed="false">
      <c r="A990" s="0" t="n">
        <v>34</v>
      </c>
      <c r="B990" s="0" t="str">
        <f aca="false">_xlfn.xlookup(A990, artists!A$2:A$836, artists!B$2:B$836)</f>
        <v>Kylie Minogue</v>
      </c>
      <c r="C990" s="1" t="s">
        <v>1026</v>
      </c>
      <c r="D990" s="2" t="n">
        <v>238266</v>
      </c>
      <c r="E990" s="2" t="n">
        <f aca="false">D990/1000</f>
        <v>238.266</v>
      </c>
      <c r="F990" s="10" t="b">
        <f aca="false">FALSE()</f>
        <v>0</v>
      </c>
      <c r="G990" s="0" t="n">
        <v>4</v>
      </c>
      <c r="H990" s="0" t="n">
        <f aca="false">_xlfn.xlookup(G990, years!A$2:A$836, years!B$2:B$836)</f>
        <v>2001</v>
      </c>
      <c r="I990" s="2" t="n">
        <v>55</v>
      </c>
      <c r="J990" s="0" t="n">
        <v>0.603</v>
      </c>
      <c r="K990" s="0" t="n">
        <v>0.774</v>
      </c>
      <c r="L990" s="3" t="str">
        <f aca="false">IF(K990&gt;0.66,"High",IF(K990&gt;0.33&amp;K990&lt;=0.66,"Medium","Low"))</f>
        <v>High</v>
      </c>
      <c r="M990" s="0" t="n">
        <v>-6.066</v>
      </c>
      <c r="N990" s="3" t="n">
        <v>0.0428</v>
      </c>
      <c r="O990" s="3" t="n">
        <v>0.0288</v>
      </c>
      <c r="P990" s="4" t="n">
        <v>0.051</v>
      </c>
      <c r="Q990" s="3" t="n">
        <v>0.0533</v>
      </c>
      <c r="R990" s="3" t="n">
        <v>0.48</v>
      </c>
      <c r="S990" s="3" t="str">
        <f aca="false">IF(R990 &gt;= 0.5, "Positive", "Negative")</f>
        <v>Negative</v>
      </c>
      <c r="T990" s="2" t="n">
        <v>124.994</v>
      </c>
      <c r="U990" s="0" t="s">
        <v>22</v>
      </c>
    </row>
    <row r="991" customFormat="false" ht="14.25" hidden="false" customHeight="false" outlineLevel="0" collapsed="false">
      <c r="A991" s="0" t="n">
        <v>100</v>
      </c>
      <c r="B991" s="0" t="str">
        <f aca="false">_xlfn.xlookup(A991, artists!A$2:A$836, artists!B$2:B$836)</f>
        <v>Jennifer Lopez</v>
      </c>
      <c r="C991" s="1" t="s">
        <v>1027</v>
      </c>
      <c r="D991" s="2" t="n">
        <v>221226</v>
      </c>
      <c r="E991" s="2" t="n">
        <f aca="false">D991/1000</f>
        <v>221.226</v>
      </c>
      <c r="F991" s="10" t="b">
        <f aca="false">FALSE()</f>
        <v>0</v>
      </c>
      <c r="G991" s="0" t="n">
        <v>4</v>
      </c>
      <c r="H991" s="0" t="n">
        <f aca="false">_xlfn.xlookup(G991, years!A$2:A$836, years!B$2:B$836)</f>
        <v>2001</v>
      </c>
      <c r="I991" s="2" t="n">
        <v>67</v>
      </c>
      <c r="J991" s="0" t="n">
        <v>0.786</v>
      </c>
      <c r="K991" s="0" t="n">
        <v>0.842</v>
      </c>
      <c r="L991" s="3" t="str">
        <f aca="false">IF(K991&gt;0.66,"High",IF(K991&gt;0.33&amp;K991&lt;=0.66,"Medium","Low"))</f>
        <v>High</v>
      </c>
      <c r="M991" s="0" t="n">
        <v>-5.115</v>
      </c>
      <c r="N991" s="3" t="n">
        <v>0.0707</v>
      </c>
      <c r="O991" s="3" t="n">
        <v>0.00305</v>
      </c>
      <c r="P991" s="4" t="n">
        <v>3.54E-006</v>
      </c>
      <c r="Q991" s="3" t="n">
        <v>0.473</v>
      </c>
      <c r="R991" s="3" t="n">
        <v>0.685</v>
      </c>
      <c r="S991" s="3" t="str">
        <f aca="false">IF(R991 &gt;= 0.5, "Positive", "Negative")</f>
        <v>Positive</v>
      </c>
      <c r="T991" s="2" t="n">
        <v>97.577</v>
      </c>
      <c r="U991" s="0" t="s">
        <v>31</v>
      </c>
    </row>
    <row r="992" customFormat="false" ht="14.25" hidden="false" customHeight="false" outlineLevel="0" collapsed="false">
      <c r="A992" s="0" t="n">
        <v>395</v>
      </c>
      <c r="B992" s="0" t="str">
        <f aca="false">_xlfn.xlookup(A992, artists!A$2:A$836, artists!B$2:B$836)</f>
        <v>Boys Like Girls</v>
      </c>
      <c r="C992" s="1" t="s">
        <v>1028</v>
      </c>
      <c r="D992" s="2" t="n">
        <v>226706</v>
      </c>
      <c r="E992" s="2" t="n">
        <f aca="false">D992/1000</f>
        <v>226.706</v>
      </c>
      <c r="F992" s="10" t="b">
        <f aca="false">FALSE()</f>
        <v>0</v>
      </c>
      <c r="G992" s="0" t="n">
        <v>12</v>
      </c>
      <c r="H992" s="0" t="n">
        <f aca="false">_xlfn.xlookup(G992, years!A$2:A$836, years!B$2:B$836)</f>
        <v>2009</v>
      </c>
      <c r="I992" s="2" t="n">
        <v>64</v>
      </c>
      <c r="J992" s="0" t="n">
        <v>0.44</v>
      </c>
      <c r="K992" s="0" t="n">
        <v>0.976</v>
      </c>
      <c r="L992" s="3" t="str">
        <f aca="false">IF(K992&gt;0.66,"High",IF(K992&gt;0.33&amp;K992&lt;=0.66,"Medium","Low"))</f>
        <v>High</v>
      </c>
      <c r="M992" s="0" t="n">
        <v>-3.17</v>
      </c>
      <c r="N992" s="3" t="n">
        <v>0.141</v>
      </c>
      <c r="O992" s="3" t="n">
        <v>0.00177</v>
      </c>
      <c r="P992" s="4" t="n">
        <v>3.39E-006</v>
      </c>
      <c r="Q992" s="3" t="n">
        <v>0.16</v>
      </c>
      <c r="R992" s="3" t="n">
        <v>0.412</v>
      </c>
      <c r="S992" s="3" t="str">
        <f aca="false">IF(R992 &gt;= 0.5, "Positive", "Negative")</f>
        <v>Negative</v>
      </c>
      <c r="T992" s="2" t="n">
        <v>150.005</v>
      </c>
      <c r="U992" s="0" t="s">
        <v>39</v>
      </c>
    </row>
    <row r="993" customFormat="false" ht="14.25" hidden="false" customHeight="false" outlineLevel="0" collapsed="false">
      <c r="A993" s="0" t="n">
        <v>88</v>
      </c>
      <c r="B993" s="0" t="str">
        <f aca="false">_xlfn.xlookup(A993, artists!A$2:A$836, artists!B$2:B$836)</f>
        <v>Blu Cantrell</v>
      </c>
      <c r="C993" s="1" t="s">
        <v>1029</v>
      </c>
      <c r="D993" s="2" t="n">
        <v>250706</v>
      </c>
      <c r="E993" s="2" t="n">
        <f aca="false">D993/1000</f>
        <v>250.706</v>
      </c>
      <c r="F993" s="10" t="b">
        <f aca="false">FALSE()</f>
        <v>0</v>
      </c>
      <c r="G993" s="0" t="n">
        <v>4</v>
      </c>
      <c r="H993" s="0" t="n">
        <f aca="false">_xlfn.xlookup(G993, years!A$2:A$836, years!B$2:B$836)</f>
        <v>2001</v>
      </c>
      <c r="I993" s="2" t="n">
        <v>71</v>
      </c>
      <c r="J993" s="0" t="n">
        <v>0.667</v>
      </c>
      <c r="K993" s="0" t="n">
        <v>0.773</v>
      </c>
      <c r="L993" s="3" t="str">
        <f aca="false">IF(K993&gt;0.66,"High",IF(K993&gt;0.33&amp;K993&lt;=0.66,"Medium","Low"))</f>
        <v>High</v>
      </c>
      <c r="M993" s="0" t="n">
        <v>-4.983</v>
      </c>
      <c r="N993" s="3" t="n">
        <v>0.0586</v>
      </c>
      <c r="O993" s="3" t="n">
        <v>0.201</v>
      </c>
      <c r="P993" s="4" t="n">
        <v>0</v>
      </c>
      <c r="Q993" s="3" t="n">
        <v>0.404</v>
      </c>
      <c r="R993" s="3" t="n">
        <v>0.667</v>
      </c>
      <c r="S993" s="3" t="str">
        <f aca="false">IF(R993 &gt;= 0.5, "Positive", "Negative")</f>
        <v>Positive</v>
      </c>
      <c r="T993" s="2" t="n">
        <v>89.976</v>
      </c>
      <c r="U993" s="0" t="s">
        <v>33</v>
      </c>
    </row>
    <row r="994" customFormat="false" ht="14.25" hidden="false" customHeight="false" outlineLevel="0" collapsed="false">
      <c r="A994" s="0" t="n">
        <v>120</v>
      </c>
      <c r="B994" s="0" t="str">
        <f aca="false">_xlfn.xlookup(A994, artists!A$2:A$836, artists!B$2:B$836)</f>
        <v>Usher</v>
      </c>
      <c r="C994" s="1" t="s">
        <v>1030</v>
      </c>
      <c r="D994" s="2" t="n">
        <v>259720</v>
      </c>
      <c r="E994" s="2" t="n">
        <f aca="false">D994/1000</f>
        <v>259.72</v>
      </c>
      <c r="F994" s="10" t="b">
        <f aca="false">FALSE()</f>
        <v>0</v>
      </c>
      <c r="G994" s="0" t="n">
        <v>11</v>
      </c>
      <c r="H994" s="0" t="n">
        <f aca="false">_xlfn.xlookup(G994, years!A$2:A$836, years!B$2:B$836)</f>
        <v>2008</v>
      </c>
      <c r="I994" s="2" t="n">
        <v>71</v>
      </c>
      <c r="J994" s="0" t="n">
        <v>0.573</v>
      </c>
      <c r="K994" s="0" t="n">
        <v>0.712</v>
      </c>
      <c r="L994" s="3" t="str">
        <f aca="false">IF(K994&gt;0.66,"High",IF(K994&gt;0.33&amp;K994&lt;=0.66,"Medium","Low"))</f>
        <v>High</v>
      </c>
      <c r="M994" s="0" t="n">
        <v>-5.976</v>
      </c>
      <c r="N994" s="3" t="n">
        <v>0.0732</v>
      </c>
      <c r="O994" s="3" t="n">
        <v>0.0572</v>
      </c>
      <c r="P994" s="4" t="n">
        <v>0</v>
      </c>
      <c r="Q994" s="3" t="n">
        <v>0.167</v>
      </c>
      <c r="R994" s="3" t="n">
        <v>0.346</v>
      </c>
      <c r="S994" s="3" t="str">
        <f aca="false">IF(R994 &gt;= 0.5, "Positive", "Negative")</f>
        <v>Negative</v>
      </c>
      <c r="T994" s="2" t="n">
        <v>140.012</v>
      </c>
      <c r="U994" s="0" t="s">
        <v>31</v>
      </c>
    </row>
    <row r="995" customFormat="false" ht="14.25" hidden="false" customHeight="false" outlineLevel="0" collapsed="false">
      <c r="A995" s="0" t="n">
        <v>792</v>
      </c>
      <c r="B995" s="0" t="str">
        <f aca="false">_xlfn.xlookup(A995, artists!A$2:A$836, artists!B$2:B$836)</f>
        <v>Khalid</v>
      </c>
      <c r="C995" s="1" t="s">
        <v>1031</v>
      </c>
      <c r="D995" s="2" t="n">
        <v>201707</v>
      </c>
      <c r="E995" s="2" t="n">
        <f aca="false">D995/1000</f>
        <v>201.707</v>
      </c>
      <c r="F995" s="10" t="b">
        <f aca="false">FALSE()</f>
        <v>0</v>
      </c>
      <c r="G995" s="0" t="n">
        <v>21</v>
      </c>
      <c r="H995" s="0" t="n">
        <f aca="false">_xlfn.xlookup(G995, years!A$2:A$836, years!B$2:B$836)</f>
        <v>2018</v>
      </c>
      <c r="I995" s="2" t="n">
        <v>73</v>
      </c>
      <c r="J995" s="0" t="n">
        <v>0.708</v>
      </c>
      <c r="K995" s="0" t="n">
        <v>0.648</v>
      </c>
      <c r="L995" s="3" t="str">
        <f aca="false">IF(K995&gt;0.66,"High",IF(K995&gt;0.33&amp;K995&lt;=0.66,"Medium","Low"))</f>
        <v>Low</v>
      </c>
      <c r="M995" s="0" t="n">
        <v>-5.626</v>
      </c>
      <c r="N995" s="3" t="n">
        <v>0.0449</v>
      </c>
      <c r="O995" s="3" t="n">
        <v>0.0956</v>
      </c>
      <c r="P995" s="4" t="n">
        <v>0</v>
      </c>
      <c r="Q995" s="3" t="n">
        <v>0.134</v>
      </c>
      <c r="R995" s="3" t="n">
        <v>0.338</v>
      </c>
      <c r="S995" s="3" t="str">
        <f aca="false">IF(R995 &gt;= 0.5, "Positive", "Negative")</f>
        <v>Negative</v>
      </c>
      <c r="T995" s="2" t="n">
        <v>143.955</v>
      </c>
      <c r="U995" s="0" t="s">
        <v>33</v>
      </c>
    </row>
    <row r="996" customFormat="false" ht="14.25" hidden="false" customHeight="false" outlineLevel="0" collapsed="false">
      <c r="A996" s="0" t="n">
        <v>269</v>
      </c>
      <c r="B996" s="0" t="str">
        <f aca="false">_xlfn.xlookup(A996, artists!A$2:A$836, artists!B$2:B$836)</f>
        <v>Kanye West</v>
      </c>
      <c r="C996" s="1" t="s">
        <v>1032</v>
      </c>
      <c r="D996" s="2" t="n">
        <v>270306</v>
      </c>
      <c r="E996" s="2" t="n">
        <f aca="false">D996/1000</f>
        <v>270.306</v>
      </c>
      <c r="F996" s="10" t="b">
        <f aca="false">FALSE()</f>
        <v>0</v>
      </c>
      <c r="G996" s="0" t="n">
        <v>11</v>
      </c>
      <c r="H996" s="0" t="n">
        <f aca="false">_xlfn.xlookup(G996, years!A$2:A$836, years!B$2:B$836)</f>
        <v>2008</v>
      </c>
      <c r="I996" s="2" t="n">
        <v>66</v>
      </c>
      <c r="J996" s="0" t="n">
        <v>0.76</v>
      </c>
      <c r="K996" s="0" t="n">
        <v>0.524</v>
      </c>
      <c r="L996" s="3" t="str">
        <f aca="false">IF(K996&gt;0.66,"High",IF(K996&gt;0.33&amp;K996&lt;=0.66,"Medium","Low"))</f>
        <v>Low</v>
      </c>
      <c r="M996" s="0" t="n">
        <v>-7.67</v>
      </c>
      <c r="N996" s="3" t="n">
        <v>0.0323</v>
      </c>
      <c r="O996" s="3" t="n">
        <v>0.0542</v>
      </c>
      <c r="P996" s="4" t="n">
        <v>0.5</v>
      </c>
      <c r="Q996" s="3" t="n">
        <v>0.112</v>
      </c>
      <c r="R996" s="3" t="n">
        <v>0.112</v>
      </c>
      <c r="S996" s="3" t="str">
        <f aca="false">IF(R996 &gt;= 0.5, "Positive", "Negative")</f>
        <v>Negative</v>
      </c>
      <c r="T996" s="2" t="n">
        <v>119.603</v>
      </c>
      <c r="U996" s="0" t="s">
        <v>29</v>
      </c>
    </row>
    <row r="997" customFormat="false" ht="14.25" hidden="false" customHeight="false" outlineLevel="0" collapsed="false">
      <c r="A997" s="0" t="n">
        <v>209</v>
      </c>
      <c r="B997" s="0" t="str">
        <f aca="false">_xlfn.xlookup(A997, artists!A$2:A$836, artists!B$2:B$836)</f>
        <v>Girls Aloud</v>
      </c>
      <c r="C997" s="1" t="s">
        <v>1033</v>
      </c>
      <c r="D997" s="2" t="n">
        <v>205360</v>
      </c>
      <c r="E997" s="2" t="n">
        <f aca="false">D997/1000</f>
        <v>205.36</v>
      </c>
      <c r="F997" s="10" t="b">
        <f aca="false">FALSE()</f>
        <v>0</v>
      </c>
      <c r="G997" s="0" t="n">
        <v>7</v>
      </c>
      <c r="H997" s="0" t="n">
        <f aca="false">_xlfn.xlookup(G997, years!A$2:A$836, years!B$2:B$836)</f>
        <v>2004</v>
      </c>
      <c r="I997" s="2" t="n">
        <v>59</v>
      </c>
      <c r="J997" s="0" t="n">
        <v>0.663</v>
      </c>
      <c r="K997" s="0" t="n">
        <v>0.95</v>
      </c>
      <c r="L997" s="3" t="str">
        <f aca="false">IF(K997&gt;0.66,"High",IF(K997&gt;0.33&amp;K997&lt;=0.66,"Medium","Low"))</f>
        <v>High</v>
      </c>
      <c r="M997" s="0" t="n">
        <v>-4.21</v>
      </c>
      <c r="N997" s="3" t="n">
        <v>0.0621</v>
      </c>
      <c r="O997" s="3" t="n">
        <v>0.00127</v>
      </c>
      <c r="P997" s="4" t="n">
        <v>0.00492</v>
      </c>
      <c r="Q997" s="3" t="n">
        <v>0.0753</v>
      </c>
      <c r="R997" s="3" t="n">
        <v>0.697</v>
      </c>
      <c r="S997" s="3" t="str">
        <f aca="false">IF(R997 &gt;= 0.5, "Positive", "Negative")</f>
        <v>Positive</v>
      </c>
      <c r="T997" s="2" t="n">
        <v>116.02</v>
      </c>
      <c r="U997" s="0" t="s">
        <v>22</v>
      </c>
    </row>
    <row r="998" customFormat="false" ht="14.25" hidden="false" customHeight="false" outlineLevel="0" collapsed="false">
      <c r="A998" s="0" t="n">
        <v>402</v>
      </c>
      <c r="B998" s="0" t="str">
        <f aca="false">_xlfn.xlookup(A998, artists!A$2:A$836, artists!B$2:B$836)</f>
        <v>Lil Wayne</v>
      </c>
      <c r="C998" s="1" t="s">
        <v>1034</v>
      </c>
      <c r="D998" s="2" t="n">
        <v>255053</v>
      </c>
      <c r="E998" s="2" t="n">
        <f aca="false">D998/1000</f>
        <v>255.053</v>
      </c>
      <c r="F998" s="10" t="b">
        <f aca="false">TRUE()</f>
        <v>1</v>
      </c>
      <c r="G998" s="0" t="n">
        <v>16</v>
      </c>
      <c r="H998" s="0" t="n">
        <f aca="false">_xlfn.xlookup(G998, years!A$2:A$836, years!B$2:B$836)</f>
        <v>2013</v>
      </c>
      <c r="I998" s="2" t="n">
        <v>68</v>
      </c>
      <c r="J998" s="0" t="n">
        <v>0.669</v>
      </c>
      <c r="K998" s="0" t="n">
        <v>0.634</v>
      </c>
      <c r="L998" s="3" t="str">
        <f aca="false">IF(K998&gt;0.66,"High",IF(K998&gt;0.33&amp;K998&lt;=0.66,"Medium","Low"))</f>
        <v>Low</v>
      </c>
      <c r="M998" s="0" t="n">
        <v>-6.476</v>
      </c>
      <c r="N998" s="3" t="n">
        <v>0.0327</v>
      </c>
      <c r="O998" s="3" t="n">
        <v>0.0125</v>
      </c>
      <c r="P998" s="4" t="n">
        <v>0</v>
      </c>
      <c r="Q998" s="3" t="n">
        <v>0.0946</v>
      </c>
      <c r="R998" s="3" t="n">
        <v>0.496</v>
      </c>
      <c r="S998" s="3" t="str">
        <f aca="false">IF(R998 &gt;= 0.5, "Positive", "Negative")</f>
        <v>Negative</v>
      </c>
      <c r="T998" s="2" t="n">
        <v>124.906</v>
      </c>
      <c r="U998" s="0" t="s">
        <v>24</v>
      </c>
    </row>
    <row r="999" customFormat="false" ht="14.25" hidden="false" customHeight="false" outlineLevel="0" collapsed="false">
      <c r="A999" s="0" t="n">
        <v>578</v>
      </c>
      <c r="B999" s="0" t="str">
        <f aca="false">_xlfn.xlookup(A999, artists!A$2:A$836, artists!B$2:B$836)</f>
        <v>John Newman</v>
      </c>
      <c r="C999" s="1" t="s">
        <v>1035</v>
      </c>
      <c r="D999" s="2" t="n">
        <v>239894</v>
      </c>
      <c r="E999" s="2" t="n">
        <f aca="false">D999/1000</f>
        <v>239.894</v>
      </c>
      <c r="F999" s="10" t="b">
        <f aca="false">FALSE()</f>
        <v>0</v>
      </c>
      <c r="G999" s="0" t="n">
        <v>16</v>
      </c>
      <c r="H999" s="0" t="n">
        <f aca="false">_xlfn.xlookup(G999, years!A$2:A$836, years!B$2:B$836)</f>
        <v>2013</v>
      </c>
      <c r="I999" s="2" t="n">
        <v>74</v>
      </c>
      <c r="J999" s="0" t="n">
        <v>0.495</v>
      </c>
      <c r="K999" s="0" t="n">
        <v>0.894</v>
      </c>
      <c r="L999" s="3" t="str">
        <f aca="false">IF(K999&gt;0.66,"High",IF(K999&gt;0.33&amp;K999&lt;=0.66,"Medium","Low"))</f>
        <v>High</v>
      </c>
      <c r="M999" s="0" t="n">
        <v>-4.814</v>
      </c>
      <c r="N999" s="3" t="n">
        <v>0.0441</v>
      </c>
      <c r="O999" s="3" t="n">
        <v>0.00453</v>
      </c>
      <c r="P999" s="4" t="n">
        <v>0.000596</v>
      </c>
      <c r="Q999" s="3" t="n">
        <v>0.103</v>
      </c>
      <c r="R999" s="3" t="n">
        <v>0.213</v>
      </c>
      <c r="S999" s="3" t="str">
        <f aca="false">IF(R999 &gt;= 0.5, "Positive", "Negative")</f>
        <v>Negative</v>
      </c>
      <c r="T999" s="2" t="n">
        <v>126.03</v>
      </c>
      <c r="U999" s="0" t="s">
        <v>118</v>
      </c>
    </row>
    <row r="1000" customFormat="false" ht="14.25" hidden="false" customHeight="false" outlineLevel="0" collapsed="false">
      <c r="A1000" s="0" t="n">
        <v>600</v>
      </c>
      <c r="B1000" s="0" t="str">
        <f aca="false">_xlfn.xlookup(A1000, artists!A$2:A$836, artists!B$2:B$836)</f>
        <v>Ariana Grande</v>
      </c>
      <c r="C1000" s="1" t="s">
        <v>1036</v>
      </c>
      <c r="D1000" s="2" t="n">
        <v>236133</v>
      </c>
      <c r="E1000" s="2" t="n">
        <f aca="false">D1000/1000</f>
        <v>236.133</v>
      </c>
      <c r="F1000" s="10" t="b">
        <f aca="false">FALSE()</f>
        <v>0</v>
      </c>
      <c r="G1000" s="0" t="n">
        <v>17</v>
      </c>
      <c r="H1000" s="0" t="n">
        <f aca="false">_xlfn.xlookup(G1000, years!A$2:A$836, years!B$2:B$836)</f>
        <v>2014</v>
      </c>
      <c r="I1000" s="2" t="n">
        <v>74</v>
      </c>
      <c r="J1000" s="0" t="n">
        <v>0.472</v>
      </c>
      <c r="K1000" s="0" t="n">
        <v>0.714</v>
      </c>
      <c r="L1000" s="3" t="str">
        <f aca="false">IF(K1000&gt;0.66,"High",IF(K1000&gt;0.33&amp;K1000&lt;=0.66,"Medium","Low"))</f>
        <v>High</v>
      </c>
      <c r="M1000" s="0" t="n">
        <v>-4.389</v>
      </c>
      <c r="N1000" s="3" t="n">
        <v>0.0334</v>
      </c>
      <c r="O1000" s="3" t="n">
        <v>0.00937</v>
      </c>
      <c r="P1000" s="4" t="n">
        <v>0</v>
      </c>
      <c r="Q1000" s="3" t="n">
        <v>0.0764</v>
      </c>
      <c r="R1000" s="3" t="n">
        <v>0.24</v>
      </c>
      <c r="S1000" s="3" t="str">
        <f aca="false">IF(R1000 &gt;= 0.5, "Positive", "Negative")</f>
        <v>Negative</v>
      </c>
      <c r="T1000" s="2" t="n">
        <v>98.992</v>
      </c>
      <c r="U1000" s="0" t="s">
        <v>39</v>
      </c>
    </row>
    <row r="1001" customFormat="false" ht="14.25" hidden="false" customHeight="false" outlineLevel="0" collapsed="false">
      <c r="A1001" s="0" t="n">
        <v>498</v>
      </c>
      <c r="B1001" s="0" t="str">
        <f aca="false">_xlfn.xlookup(A1001, artists!A$2:A$836, artists!B$2:B$836)</f>
        <v>Ellie Goulding</v>
      </c>
      <c r="C1001" s="1" t="s">
        <v>1037</v>
      </c>
      <c r="D1001" s="2" t="n">
        <v>252534</v>
      </c>
      <c r="E1001" s="2" t="n">
        <f aca="false">D1001/1000</f>
        <v>252.534</v>
      </c>
      <c r="F1001" s="10" t="b">
        <f aca="false">FALSE()</f>
        <v>0</v>
      </c>
      <c r="G1001" s="0" t="n">
        <v>18</v>
      </c>
      <c r="H1001" s="0" t="n">
        <f aca="false">_xlfn.xlookup(G1001, years!A$2:A$836, years!B$2:B$836)</f>
        <v>2015</v>
      </c>
      <c r="I1001" s="2" t="n">
        <v>78</v>
      </c>
      <c r="J1001" s="0" t="n">
        <v>0.262</v>
      </c>
      <c r="K1001" s="0" t="n">
        <v>0.606</v>
      </c>
      <c r="L1001" s="3" t="str">
        <f aca="false">IF(K1001&gt;0.66,"High",IF(K1001&gt;0.33&amp;K1001&lt;=0.66,"Medium","Low"))</f>
        <v>Low</v>
      </c>
      <c r="M1001" s="0" t="n">
        <v>-6.646</v>
      </c>
      <c r="N1001" s="3" t="n">
        <v>0.0484</v>
      </c>
      <c r="O1001" s="3" t="n">
        <v>0.247</v>
      </c>
      <c r="P1001" s="4" t="n">
        <v>0</v>
      </c>
      <c r="Q1001" s="3" t="n">
        <v>0.125</v>
      </c>
      <c r="R1001" s="3" t="n">
        <v>0.275</v>
      </c>
      <c r="S1001" s="3" t="str">
        <f aca="false">IF(R1001 &gt;= 0.5, "Positive", "Negative")</f>
        <v>Negative</v>
      </c>
      <c r="T1001" s="2" t="n">
        <v>189.857</v>
      </c>
      <c r="U1001" s="0" t="s">
        <v>292</v>
      </c>
    </row>
    <row r="1002" customFormat="false" ht="14.25" hidden="false" customHeight="false" outlineLevel="0" collapsed="false">
      <c r="A1002" s="0" t="n">
        <v>425</v>
      </c>
      <c r="B1002" s="0" t="str">
        <f aca="false">_xlfn.xlookup(A1002, artists!A$2:A$836, artists!B$2:B$836)</f>
        <v>OneRepublic</v>
      </c>
      <c r="C1002" s="1" t="s">
        <v>1038</v>
      </c>
      <c r="D1002" s="2" t="n">
        <v>224226</v>
      </c>
      <c r="E1002" s="2" t="n">
        <f aca="false">D1002/1000</f>
        <v>224.226</v>
      </c>
      <c r="F1002" s="10" t="b">
        <f aca="false">FALSE()</f>
        <v>0</v>
      </c>
      <c r="G1002" s="0" t="n">
        <v>17</v>
      </c>
      <c r="H1002" s="0" t="n">
        <f aca="false">_xlfn.xlookup(G1002, years!A$2:A$836, years!B$2:B$836)</f>
        <v>2014</v>
      </c>
      <c r="I1002" s="2" t="n">
        <v>59</v>
      </c>
      <c r="J1002" s="0" t="n">
        <v>0.719</v>
      </c>
      <c r="K1002" s="0" t="n">
        <v>0.935</v>
      </c>
      <c r="L1002" s="3" t="str">
        <f aca="false">IF(K1002&gt;0.66,"High",IF(K1002&gt;0.33&amp;K1002&lt;=0.66,"Medium","Low"))</f>
        <v>High</v>
      </c>
      <c r="M1002" s="0" t="n">
        <v>-3.752</v>
      </c>
      <c r="N1002" s="3" t="n">
        <v>0.0589</v>
      </c>
      <c r="O1002" s="3" t="n">
        <v>0.167</v>
      </c>
      <c r="P1002" s="4" t="n">
        <v>0</v>
      </c>
      <c r="Q1002" s="3" t="n">
        <v>0.0973</v>
      </c>
      <c r="R1002" s="3" t="n">
        <v>0.738</v>
      </c>
      <c r="S1002" s="3" t="str">
        <f aca="false">IF(R1002 &gt;= 0.5, "Positive", "Negative")</f>
        <v>Positive</v>
      </c>
      <c r="T1002" s="2" t="n">
        <v>120.022</v>
      </c>
      <c r="U1002" s="0" t="s">
        <v>39</v>
      </c>
    </row>
    <row r="1003" customFormat="false" ht="14.25" hidden="false" customHeight="false" outlineLevel="0" collapsed="false">
      <c r="A1003" s="0" t="n">
        <v>249</v>
      </c>
      <c r="B1003" s="0" t="str">
        <f aca="false">_xlfn.xlookup(A1003, artists!A$2:A$836, artists!B$2:B$836)</f>
        <v>Ciara</v>
      </c>
      <c r="C1003" s="1" t="s">
        <v>1039</v>
      </c>
      <c r="D1003" s="2" t="n">
        <v>220426</v>
      </c>
      <c r="E1003" s="2" t="n">
        <f aca="false">D1003/1000</f>
        <v>220.426</v>
      </c>
      <c r="F1003" s="10" t="b">
        <f aca="false">FALSE()</f>
        <v>0</v>
      </c>
      <c r="G1003" s="0" t="n">
        <v>12</v>
      </c>
      <c r="H1003" s="0" t="n">
        <f aca="false">_xlfn.xlookup(G1003, years!A$2:A$836, years!B$2:B$836)</f>
        <v>2009</v>
      </c>
      <c r="I1003" s="2" t="n">
        <v>58</v>
      </c>
      <c r="J1003" s="0" t="n">
        <v>0.893</v>
      </c>
      <c r="K1003" s="0" t="n">
        <v>0.666</v>
      </c>
      <c r="L1003" s="3" t="str">
        <f aca="false">IF(K1003&gt;0.66,"High",IF(K1003&gt;0.33&amp;K1003&lt;=0.66,"Medium","Low"))</f>
        <v>High</v>
      </c>
      <c r="M1003" s="0" t="n">
        <v>-5.089</v>
      </c>
      <c r="N1003" s="3" t="n">
        <v>0.138</v>
      </c>
      <c r="O1003" s="3" t="n">
        <v>0.0206</v>
      </c>
      <c r="P1003" s="4" t="n">
        <v>0</v>
      </c>
      <c r="Q1003" s="3" t="n">
        <v>0.342</v>
      </c>
      <c r="R1003" s="3" t="n">
        <v>0.874</v>
      </c>
      <c r="S1003" s="3" t="str">
        <f aca="false">IF(R1003 &gt;= 0.5, "Positive", "Negative")</f>
        <v>Positive</v>
      </c>
      <c r="T1003" s="2" t="n">
        <v>107.011</v>
      </c>
      <c r="U1003" s="0" t="s">
        <v>33</v>
      </c>
    </row>
    <row r="1004" customFormat="false" ht="14.25" hidden="false" customHeight="false" outlineLevel="0" collapsed="false">
      <c r="A1004" s="0" t="n">
        <v>439</v>
      </c>
      <c r="B1004" s="0" t="str">
        <f aca="false">_xlfn.xlookup(A1004, artists!A$2:A$836, artists!B$2:B$836)</f>
        <v>Taylor Swift</v>
      </c>
      <c r="C1004" s="1" t="s">
        <v>1040</v>
      </c>
      <c r="D1004" s="2" t="n">
        <v>236266</v>
      </c>
      <c r="E1004" s="2" t="n">
        <f aca="false">D1004/1000</f>
        <v>236.266</v>
      </c>
      <c r="F1004" s="10" t="b">
        <f aca="false">FALSE()</f>
        <v>0</v>
      </c>
      <c r="G1004" s="0" t="n">
        <v>11</v>
      </c>
      <c r="H1004" s="0" t="n">
        <f aca="false">_xlfn.xlookup(G1004, years!A$2:A$836, years!B$2:B$836)</f>
        <v>2008</v>
      </c>
      <c r="I1004" s="2" t="n">
        <v>74</v>
      </c>
      <c r="J1004" s="0" t="n">
        <v>0.617</v>
      </c>
      <c r="K1004" s="0" t="n">
        <v>0.741</v>
      </c>
      <c r="L1004" s="3" t="str">
        <f aca="false">IF(K1004&gt;0.66,"High",IF(K1004&gt;0.33&amp;K1004&lt;=0.66,"Medium","Low"))</f>
        <v>High</v>
      </c>
      <c r="M1004" s="0" t="n">
        <v>-3.97</v>
      </c>
      <c r="N1004" s="3" t="n">
        <v>0.0311</v>
      </c>
      <c r="O1004" s="3" t="n">
        <v>0.131</v>
      </c>
      <c r="P1004" s="4" t="n">
        <v>0</v>
      </c>
      <c r="Q1004" s="3" t="n">
        <v>0.0772</v>
      </c>
      <c r="R1004" s="3" t="n">
        <v>0.306</v>
      </c>
      <c r="S1004" s="3" t="str">
        <f aca="false">IF(R1004 &gt;= 0.5, "Positive", "Negative")</f>
        <v>Negative</v>
      </c>
      <c r="T1004" s="2" t="n">
        <v>118.984</v>
      </c>
      <c r="U1004" s="0" t="s">
        <v>39</v>
      </c>
    </row>
    <row r="1005" customFormat="false" ht="14.25" hidden="false" customHeight="false" outlineLevel="0" collapsed="false">
      <c r="A1005" s="0" t="n">
        <v>7</v>
      </c>
      <c r="B1005" s="0" t="str">
        <f aca="false">_xlfn.xlookup(A1005, artists!A$2:A$836, artists!B$2:B$836)</f>
        <v>Eminem</v>
      </c>
      <c r="C1005" s="1" t="s">
        <v>1041</v>
      </c>
      <c r="D1005" s="2" t="n">
        <v>263373</v>
      </c>
      <c r="E1005" s="2" t="n">
        <f aca="false">D1005/1000</f>
        <v>263.373</v>
      </c>
      <c r="F1005" s="10" t="b">
        <f aca="false">TRUE()</f>
        <v>1</v>
      </c>
      <c r="G1005" s="0" t="n">
        <v>13</v>
      </c>
      <c r="H1005" s="0" t="n">
        <f aca="false">_xlfn.xlookup(G1005, years!A$2:A$836, years!B$2:B$836)</f>
        <v>2010</v>
      </c>
      <c r="I1005" s="2" t="n">
        <v>81</v>
      </c>
      <c r="J1005" s="0" t="n">
        <v>0.749</v>
      </c>
      <c r="K1005" s="0" t="n">
        <v>0.925</v>
      </c>
      <c r="L1005" s="3" t="str">
        <f aca="false">IF(K1005&gt;0.66,"High",IF(K1005&gt;0.33&amp;K1005&lt;=0.66,"Medium","Low"))</f>
        <v>High</v>
      </c>
      <c r="M1005" s="0" t="n">
        <v>-5.034</v>
      </c>
      <c r="N1005" s="3" t="n">
        <v>0.227</v>
      </c>
      <c r="O1005" s="3" t="n">
        <v>0.241</v>
      </c>
      <c r="P1005" s="4" t="n">
        <v>0</v>
      </c>
      <c r="Q1005" s="3" t="n">
        <v>0.52</v>
      </c>
      <c r="R1005" s="3" t="n">
        <v>0.641</v>
      </c>
      <c r="S1005" s="3" t="str">
        <f aca="false">IF(R1005 &gt;= 0.5, "Positive", "Negative")</f>
        <v>Positive</v>
      </c>
      <c r="T1005" s="2" t="n">
        <v>86.989</v>
      </c>
      <c r="U1005" s="0" t="s">
        <v>29</v>
      </c>
    </row>
    <row r="1006" customFormat="false" ht="14.25" hidden="false" customHeight="false" outlineLevel="0" collapsed="false">
      <c r="A1006" s="0" t="n">
        <v>386</v>
      </c>
      <c r="B1006" s="0" t="str">
        <f aca="false">_xlfn.xlookup(A1006, artists!A$2:A$836, artists!B$2:B$836)</f>
        <v>MIKA</v>
      </c>
      <c r="C1006" s="1" t="s">
        <v>1042</v>
      </c>
      <c r="D1006" s="2" t="n">
        <v>235173</v>
      </c>
      <c r="E1006" s="2" t="n">
        <f aca="false">D1006/1000</f>
        <v>235.173</v>
      </c>
      <c r="F1006" s="10" t="b">
        <f aca="false">FALSE()</f>
        <v>0</v>
      </c>
      <c r="G1006" s="0" t="n">
        <v>9</v>
      </c>
      <c r="H1006" s="0" t="n">
        <f aca="false">_xlfn.xlookup(G1006, years!A$2:A$836, years!B$2:B$836)</f>
        <v>2006</v>
      </c>
      <c r="I1006" s="2" t="n">
        <v>57</v>
      </c>
      <c r="J1006" s="0" t="n">
        <v>0.673</v>
      </c>
      <c r="K1006" s="0" t="n">
        <v>0.913</v>
      </c>
      <c r="L1006" s="3" t="str">
        <f aca="false">IF(K1006&gt;0.66,"High",IF(K1006&gt;0.33&amp;K1006&lt;=0.66,"Medium","Low"))</f>
        <v>High</v>
      </c>
      <c r="M1006" s="0" t="n">
        <v>-4.981</v>
      </c>
      <c r="N1006" s="3" t="n">
        <v>0.0664</v>
      </c>
      <c r="O1006" s="3" t="n">
        <v>0.0304</v>
      </c>
      <c r="P1006" s="4" t="n">
        <v>0.00298</v>
      </c>
      <c r="Q1006" s="3" t="n">
        <v>0.113</v>
      </c>
      <c r="R1006" s="3" t="n">
        <v>0.587</v>
      </c>
      <c r="S1006" s="3" t="str">
        <f aca="false">IF(R1006 &gt;= 0.5, "Positive", "Negative")</f>
        <v>Positive</v>
      </c>
      <c r="T1006" s="2" t="n">
        <v>124.484</v>
      </c>
      <c r="U1006" s="0" t="s">
        <v>39</v>
      </c>
    </row>
    <row r="1007" customFormat="false" ht="14.25" hidden="false" customHeight="false" outlineLevel="0" collapsed="false">
      <c r="A1007" s="0" t="n">
        <v>456</v>
      </c>
      <c r="B1007" s="0" t="str">
        <f aca="false">_xlfn.xlookup(A1007, artists!A$2:A$836, artists!B$2:B$836)</f>
        <v>Selena Gomez &amp; The Scene</v>
      </c>
      <c r="C1007" s="1" t="s">
        <v>1043</v>
      </c>
      <c r="D1007" s="2" t="n">
        <v>188453</v>
      </c>
      <c r="E1007" s="2" t="n">
        <f aca="false">D1007/1000</f>
        <v>188.453</v>
      </c>
      <c r="F1007" s="10" t="b">
        <f aca="false">FALSE()</f>
        <v>0</v>
      </c>
      <c r="G1007" s="0" t="n">
        <v>14</v>
      </c>
      <c r="H1007" s="0" t="n">
        <f aca="false">_xlfn.xlookup(G1007, years!A$2:A$836, years!B$2:B$836)</f>
        <v>2011</v>
      </c>
      <c r="I1007" s="2" t="n">
        <v>79</v>
      </c>
      <c r="J1007" s="0" t="n">
        <v>0.858</v>
      </c>
      <c r="K1007" s="0" t="n">
        <v>0.678</v>
      </c>
      <c r="L1007" s="3" t="str">
        <f aca="false">IF(K1007&gt;0.66,"High",IF(K1007&gt;0.33&amp;K1007&lt;=0.66,"Medium","Low"))</f>
        <v>High</v>
      </c>
      <c r="M1007" s="0" t="n">
        <v>-3.87</v>
      </c>
      <c r="N1007" s="3" t="n">
        <v>0.0469</v>
      </c>
      <c r="O1007" s="3" t="n">
        <v>0.0761</v>
      </c>
      <c r="P1007" s="4" t="n">
        <v>0</v>
      </c>
      <c r="Q1007" s="3" t="n">
        <v>0.0741</v>
      </c>
      <c r="R1007" s="3" t="n">
        <v>0.922</v>
      </c>
      <c r="S1007" s="3" t="str">
        <f aca="false">IF(R1007 &gt;= 0.5, "Positive", "Negative")</f>
        <v>Positive</v>
      </c>
      <c r="T1007" s="2" t="n">
        <v>117.009</v>
      </c>
      <c r="U1007" s="0" t="s">
        <v>22</v>
      </c>
    </row>
    <row r="1008" customFormat="false" ht="14.25" hidden="false" customHeight="false" outlineLevel="0" collapsed="false">
      <c r="A1008" s="0" t="n">
        <v>463</v>
      </c>
      <c r="B1008" s="0" t="str">
        <f aca="false">_xlfn.xlookup(A1008, artists!A$2:A$836, artists!B$2:B$836)</f>
        <v>Justin Bieber</v>
      </c>
      <c r="C1008" s="1" t="s">
        <v>1044</v>
      </c>
      <c r="D1008" s="2" t="n">
        <v>233720</v>
      </c>
      <c r="E1008" s="2" t="n">
        <f aca="false">D1008/1000</f>
        <v>233.72</v>
      </c>
      <c r="F1008" s="10" t="b">
        <f aca="false">FALSE()</f>
        <v>0</v>
      </c>
      <c r="G1008" s="0" t="n">
        <v>18</v>
      </c>
      <c r="H1008" s="0" t="n">
        <f aca="false">_xlfn.xlookup(G1008, years!A$2:A$836, years!B$2:B$836)</f>
        <v>2015</v>
      </c>
      <c r="I1008" s="2" t="n">
        <v>0</v>
      </c>
      <c r="J1008" s="0" t="n">
        <v>0.609</v>
      </c>
      <c r="K1008" s="0" t="n">
        <v>0.378</v>
      </c>
      <c r="L1008" s="3" t="str">
        <f aca="false">IF(K1008&gt;0.66,"High",IF(K1008&gt;0.33&amp;K1008&lt;=0.66,"Medium","Low"))</f>
        <v>Low</v>
      </c>
      <c r="M1008" s="0" t="n">
        <v>-9.828</v>
      </c>
      <c r="N1008" s="3" t="n">
        <v>0.438</v>
      </c>
      <c r="O1008" s="3" t="n">
        <v>0.835</v>
      </c>
      <c r="P1008" s="4" t="n">
        <v>0</v>
      </c>
      <c r="Q1008" s="3" t="n">
        <v>0.28</v>
      </c>
      <c r="R1008" s="3" t="n">
        <v>0.515</v>
      </c>
      <c r="S1008" s="3" t="str">
        <f aca="false">IF(R1008 &gt;= 0.5, "Positive", "Negative")</f>
        <v>Positive</v>
      </c>
      <c r="T1008" s="2" t="n">
        <v>100.418</v>
      </c>
      <c r="U1008" s="0" t="s">
        <v>39</v>
      </c>
    </row>
    <row r="1009" customFormat="false" ht="14.25" hidden="false" customHeight="false" outlineLevel="0" collapsed="false">
      <c r="A1009" s="0" t="n">
        <v>539</v>
      </c>
      <c r="B1009" s="0" t="str">
        <f aca="false">_xlfn.xlookup(A1009, artists!A$2:A$836, artists!B$2:B$836)</f>
        <v>Kendrick Lamar</v>
      </c>
      <c r="C1009" s="1" t="s">
        <v>1045</v>
      </c>
      <c r="D1009" s="2" t="n">
        <v>213400</v>
      </c>
      <c r="E1009" s="2" t="n">
        <f aca="false">D1009/1000</f>
        <v>213.4</v>
      </c>
      <c r="F1009" s="10" t="b">
        <f aca="false">TRUE()</f>
        <v>1</v>
      </c>
      <c r="G1009" s="0" t="n">
        <v>20</v>
      </c>
      <c r="H1009" s="0" t="n">
        <f aca="false">_xlfn.xlookup(G1009, years!A$2:A$836, years!B$2:B$836)</f>
        <v>2017</v>
      </c>
      <c r="I1009" s="2" t="n">
        <v>80</v>
      </c>
      <c r="J1009" s="0" t="n">
        <v>0.8</v>
      </c>
      <c r="K1009" s="0" t="n">
        <v>0.585</v>
      </c>
      <c r="L1009" s="3" t="str">
        <f aca="false">IF(K1009&gt;0.66,"High",IF(K1009&gt;0.33&amp;K1009&lt;=0.66,"Medium","Low"))</f>
        <v>Low</v>
      </c>
      <c r="M1009" s="0" t="n">
        <v>-7.343</v>
      </c>
      <c r="N1009" s="3" t="n">
        <v>0.0924</v>
      </c>
      <c r="O1009" s="3" t="n">
        <v>0.264</v>
      </c>
      <c r="P1009" s="4" t="n">
        <v>0</v>
      </c>
      <c r="Q1009" s="3" t="n">
        <v>0.153</v>
      </c>
      <c r="R1009" s="3" t="n">
        <v>0.779</v>
      </c>
      <c r="S1009" s="3" t="str">
        <f aca="false">IF(R1009 &gt;= 0.5, "Positive", "Negative")</f>
        <v>Positive</v>
      </c>
      <c r="T1009" s="2" t="n">
        <v>126.058</v>
      </c>
      <c r="U1009" s="0" t="s">
        <v>29</v>
      </c>
    </row>
    <row r="1010" customFormat="false" ht="14.25" hidden="false" customHeight="false" outlineLevel="0" collapsed="false">
      <c r="A1010" s="0" t="n">
        <v>437</v>
      </c>
      <c r="B1010" s="0" t="str">
        <f aca="false">_xlfn.xlookup(A1010, artists!A$2:A$836, artists!B$2:B$836)</f>
        <v>Lady Gaga</v>
      </c>
      <c r="C1010" s="1" t="s">
        <v>1046</v>
      </c>
      <c r="D1010" s="2" t="n">
        <v>216333</v>
      </c>
      <c r="E1010" s="2" t="n">
        <f aca="false">D1010/1000</f>
        <v>216.333</v>
      </c>
      <c r="F1010" s="10" t="b">
        <f aca="false">FALSE()</f>
        <v>0</v>
      </c>
      <c r="G1010" s="0" t="n">
        <v>11</v>
      </c>
      <c r="H1010" s="0" t="n">
        <f aca="false">_xlfn.xlookup(G1010, years!A$2:A$836, years!B$2:B$836)</f>
        <v>2008</v>
      </c>
      <c r="I1010" s="2" t="n">
        <v>69</v>
      </c>
      <c r="J1010" s="0" t="n">
        <v>0.894</v>
      </c>
      <c r="K1010" s="0" t="n">
        <v>0.678</v>
      </c>
      <c r="L1010" s="3" t="str">
        <f aca="false">IF(K1010&gt;0.66,"High",IF(K1010&gt;0.33&amp;K1010&lt;=0.66,"Medium","Low"))</f>
        <v>High</v>
      </c>
      <c r="M1010" s="0" t="n">
        <v>-5.611</v>
      </c>
      <c r="N1010" s="3" t="n">
        <v>0.0523</v>
      </c>
      <c r="O1010" s="3" t="n">
        <v>0.00569</v>
      </c>
      <c r="P1010" s="4" t="n">
        <v>2.43E-006</v>
      </c>
      <c r="Q1010" s="3" t="n">
        <v>0.317</v>
      </c>
      <c r="R1010" s="3" t="n">
        <v>0.844</v>
      </c>
      <c r="S1010" s="3" t="str">
        <f aca="false">IF(R1010 &gt;= 0.5, "Positive", "Negative")</f>
        <v>Positive</v>
      </c>
      <c r="T1010" s="2" t="n">
        <v>105.024</v>
      </c>
      <c r="U1010" s="0" t="s">
        <v>39</v>
      </c>
    </row>
    <row r="1011" customFormat="false" ht="14.25" hidden="false" customHeight="false" outlineLevel="0" collapsed="false">
      <c r="A1011" s="0" t="n">
        <v>721</v>
      </c>
      <c r="B1011" s="0" t="str">
        <f aca="false">_xlfn.xlookup(A1011, artists!A$2:A$836, artists!B$2:B$836)</f>
        <v>Billie Eilish</v>
      </c>
      <c r="C1011" s="1" t="s">
        <v>1047</v>
      </c>
      <c r="D1011" s="2" t="n">
        <v>200185</v>
      </c>
      <c r="E1011" s="2" t="n">
        <f aca="false">D1011/1000</f>
        <v>200.185</v>
      </c>
      <c r="F1011" s="10" t="b">
        <f aca="false">FALSE()</f>
        <v>0</v>
      </c>
      <c r="G1011" s="0" t="n">
        <v>21</v>
      </c>
      <c r="H1011" s="0" t="n">
        <f aca="false">_xlfn.xlookup(G1011, years!A$2:A$836, years!B$2:B$836)</f>
        <v>2018</v>
      </c>
      <c r="I1011" s="2" t="n">
        <v>86</v>
      </c>
      <c r="J1011" s="0" t="n">
        <v>0.351</v>
      </c>
      <c r="K1011" s="0" t="n">
        <v>0.296</v>
      </c>
      <c r="L1011" s="3" t="str">
        <f aca="false">IF(K1011&gt;0.66,"High",IF(K1011&gt;0.33&amp;K1011&lt;=0.66,"Medium","Low"))</f>
        <v>Low</v>
      </c>
      <c r="M1011" s="0" t="n">
        <v>-10.109</v>
      </c>
      <c r="N1011" s="3" t="n">
        <v>0.0333</v>
      </c>
      <c r="O1011" s="3" t="n">
        <v>0.934</v>
      </c>
      <c r="P1011" s="4" t="n">
        <v>0</v>
      </c>
      <c r="Q1011" s="3" t="n">
        <v>0.095</v>
      </c>
      <c r="R1011" s="3" t="n">
        <v>0.12</v>
      </c>
      <c r="S1011" s="3" t="str">
        <f aca="false">IF(R1011 &gt;= 0.5, "Positive", "Negative")</f>
        <v>Negative</v>
      </c>
      <c r="T1011" s="2" t="n">
        <v>115.284</v>
      </c>
      <c r="U1011" s="0" t="s">
        <v>22</v>
      </c>
    </row>
    <row r="1012" customFormat="false" ht="14.25" hidden="false" customHeight="false" outlineLevel="0" collapsed="false">
      <c r="A1012" s="0" t="n">
        <v>50</v>
      </c>
      <c r="B1012" s="0" t="str">
        <f aca="false">_xlfn.xlookup(A1012, artists!A$2:A$836, artists!B$2:B$836)</f>
        <v>Mariah Carey</v>
      </c>
      <c r="C1012" s="1" t="s">
        <v>1048</v>
      </c>
      <c r="D1012" s="2" t="n">
        <v>229173</v>
      </c>
      <c r="E1012" s="2" t="n">
        <f aca="false">D1012/1000</f>
        <v>229.173</v>
      </c>
      <c r="F1012" s="10" t="b">
        <f aca="false">FALSE()</f>
        <v>0</v>
      </c>
      <c r="G1012" s="0" t="n">
        <v>4</v>
      </c>
      <c r="H1012" s="0" t="n">
        <f aca="false">_xlfn.xlookup(G1012, years!A$2:A$836, years!B$2:B$836)</f>
        <v>2001</v>
      </c>
      <c r="I1012" s="2" t="n">
        <v>42</v>
      </c>
      <c r="J1012" s="0" t="n">
        <v>0.721</v>
      </c>
      <c r="K1012" s="0" t="n">
        <v>0.79</v>
      </c>
      <c r="L1012" s="3" t="str">
        <f aca="false">IF(K1012&gt;0.66,"High",IF(K1012&gt;0.33&amp;K1012&lt;=0.66,"Medium","Low"))</f>
        <v>High</v>
      </c>
      <c r="M1012" s="0" t="n">
        <v>-4.125</v>
      </c>
      <c r="N1012" s="3" t="n">
        <v>0.124</v>
      </c>
      <c r="O1012" s="3" t="n">
        <v>0.183</v>
      </c>
      <c r="P1012" s="4" t="n">
        <v>0</v>
      </c>
      <c r="Q1012" s="3" t="n">
        <v>0.1</v>
      </c>
      <c r="R1012" s="3" t="n">
        <v>0.821</v>
      </c>
      <c r="S1012" s="3" t="str">
        <f aca="false">IF(R1012 &gt;= 0.5, "Positive", "Negative")</f>
        <v>Positive</v>
      </c>
      <c r="T1012" s="2" t="n">
        <v>103.141</v>
      </c>
      <c r="U1012" s="0" t="s">
        <v>33</v>
      </c>
    </row>
    <row r="1013" customFormat="false" ht="14.25" hidden="false" customHeight="false" outlineLevel="0" collapsed="false">
      <c r="A1013" s="0" t="n">
        <v>201</v>
      </c>
      <c r="B1013" s="0" t="str">
        <f aca="false">_xlfn.xlookup(A1013, artists!A$2:A$836, artists!B$2:B$836)</f>
        <v>Lil Jon &amp; The East Side Boyz</v>
      </c>
      <c r="C1013" s="1" t="s">
        <v>1049</v>
      </c>
      <c r="D1013" s="2" t="n">
        <v>260600</v>
      </c>
      <c r="E1013" s="2" t="n">
        <f aca="false">D1013/1000</f>
        <v>260.6</v>
      </c>
      <c r="F1013" s="10" t="b">
        <f aca="false">TRUE()</f>
        <v>1</v>
      </c>
      <c r="G1013" s="0" t="n">
        <v>7</v>
      </c>
      <c r="H1013" s="0" t="n">
        <f aca="false">_xlfn.xlookup(G1013, years!A$2:A$836, years!B$2:B$836)</f>
        <v>2004</v>
      </c>
      <c r="I1013" s="2" t="n">
        <v>66</v>
      </c>
      <c r="J1013" s="0" t="n">
        <v>0.675</v>
      </c>
      <c r="K1013" s="0" t="n">
        <v>0.501</v>
      </c>
      <c r="L1013" s="3" t="str">
        <f aca="false">IF(K1013&gt;0.66,"High",IF(K1013&gt;0.33&amp;K1013&lt;=0.66,"Medium","Low"))</f>
        <v>Low</v>
      </c>
      <c r="M1013" s="0" t="n">
        <v>-6.183</v>
      </c>
      <c r="N1013" s="3" t="n">
        <v>0.22</v>
      </c>
      <c r="O1013" s="3" t="n">
        <v>0.0541</v>
      </c>
      <c r="P1013" s="4" t="n">
        <v>0</v>
      </c>
      <c r="Q1013" s="3" t="n">
        <v>0.429</v>
      </c>
      <c r="R1013" s="3" t="n">
        <v>0.532</v>
      </c>
      <c r="S1013" s="3" t="str">
        <f aca="false">IF(R1013 &gt;= 0.5, "Positive", "Negative")</f>
        <v>Positive</v>
      </c>
      <c r="T1013" s="2" t="n">
        <v>139.861</v>
      </c>
      <c r="U1013" s="0" t="s">
        <v>24</v>
      </c>
    </row>
    <row r="1014" customFormat="false" ht="14.25" hidden="false" customHeight="false" outlineLevel="0" collapsed="false">
      <c r="A1014" s="0" t="n">
        <v>438</v>
      </c>
      <c r="B1014" s="0" t="str">
        <f aca="false">_xlfn.xlookup(A1014, artists!A$2:A$836, artists!B$2:B$836)</f>
        <v>David Guetta</v>
      </c>
      <c r="C1014" s="1" t="s">
        <v>1050</v>
      </c>
      <c r="D1014" s="2" t="n">
        <v>203520</v>
      </c>
      <c r="E1014" s="2" t="n">
        <f aca="false">D1014/1000</f>
        <v>203.52</v>
      </c>
      <c r="F1014" s="10" t="b">
        <f aca="false">FALSE()</f>
        <v>0</v>
      </c>
      <c r="G1014" s="0" t="n">
        <v>17</v>
      </c>
      <c r="H1014" s="0" t="n">
        <f aca="false">_xlfn.xlookup(G1014, years!A$2:A$836, years!B$2:B$836)</f>
        <v>2014</v>
      </c>
      <c r="I1014" s="2" t="n">
        <v>50</v>
      </c>
      <c r="J1014" s="0" t="n">
        <v>0.645</v>
      </c>
      <c r="K1014" s="0" t="n">
        <v>0.891</v>
      </c>
      <c r="L1014" s="3" t="str">
        <f aca="false">IF(K1014&gt;0.66,"High",IF(K1014&gt;0.33&amp;K1014&lt;=0.66,"Medium","Low"))</f>
        <v>High</v>
      </c>
      <c r="M1014" s="0" t="n">
        <v>-2.505</v>
      </c>
      <c r="N1014" s="3" t="n">
        <v>0.0387</v>
      </c>
      <c r="O1014" s="3" t="n">
        <v>0.0932</v>
      </c>
      <c r="P1014" s="4" t="n">
        <v>3.88E-006</v>
      </c>
      <c r="Q1014" s="3" t="n">
        <v>0.379</v>
      </c>
      <c r="R1014" s="3" t="n">
        <v>0.568</v>
      </c>
      <c r="S1014" s="3" t="str">
        <f aca="false">IF(R1014 &gt;= 0.5, "Positive", "Negative")</f>
        <v>Positive</v>
      </c>
      <c r="T1014" s="2" t="n">
        <v>124.915</v>
      </c>
      <c r="U1014" s="0" t="s">
        <v>53</v>
      </c>
    </row>
    <row r="1015" customFormat="false" ht="14.25" hidden="false" customHeight="false" outlineLevel="0" collapsed="false">
      <c r="A1015" s="0" t="n">
        <v>176</v>
      </c>
      <c r="B1015" s="0" t="str">
        <f aca="false">_xlfn.xlookup(A1015, artists!A$2:A$836, artists!B$2:B$836)</f>
        <v>Justin Timberlake</v>
      </c>
      <c r="C1015" s="1" t="s">
        <v>1051</v>
      </c>
      <c r="D1015" s="2" t="n">
        <v>444333</v>
      </c>
      <c r="E1015" s="2" t="n">
        <f aca="false">D1015/1000</f>
        <v>444.333</v>
      </c>
      <c r="F1015" s="10" t="b">
        <f aca="false">TRUE()</f>
        <v>1</v>
      </c>
      <c r="G1015" s="0" t="n">
        <v>9</v>
      </c>
      <c r="H1015" s="0" t="n">
        <f aca="false">_xlfn.xlookup(G1015, years!A$2:A$836, years!B$2:B$836)</f>
        <v>2006</v>
      </c>
      <c r="I1015" s="2" t="n">
        <v>57</v>
      </c>
      <c r="J1015" s="0" t="n">
        <v>0.859</v>
      </c>
      <c r="K1015" s="0" t="n">
        <v>0.681</v>
      </c>
      <c r="L1015" s="3" t="str">
        <f aca="false">IF(K1015&gt;0.66,"High",IF(K1015&gt;0.33&amp;K1015&lt;=0.66,"Medium","Low"))</f>
        <v>High</v>
      </c>
      <c r="M1015" s="0" t="n">
        <v>-6.247</v>
      </c>
      <c r="N1015" s="3" t="n">
        <v>0.0549</v>
      </c>
      <c r="O1015" s="3" t="n">
        <v>0.34</v>
      </c>
      <c r="P1015" s="4" t="n">
        <v>0.000161</v>
      </c>
      <c r="Q1015" s="3" t="n">
        <v>0.213</v>
      </c>
      <c r="R1015" s="3" t="n">
        <v>0.852</v>
      </c>
      <c r="S1015" s="3" t="str">
        <f aca="false">IF(R1015 &gt;= 0.5, "Positive", "Negative")</f>
        <v>Positive</v>
      </c>
      <c r="T1015" s="2" t="n">
        <v>121.243</v>
      </c>
      <c r="U1015" s="0" t="s">
        <v>39</v>
      </c>
    </row>
    <row r="1016" customFormat="false" ht="14.25" hidden="false" customHeight="false" outlineLevel="0" collapsed="false">
      <c r="A1016" s="0" t="n">
        <v>63</v>
      </c>
      <c r="B1016" s="0" t="str">
        <f aca="false">_xlfn.xlookup(A1016, artists!A$2:A$836, artists!B$2:B$836)</f>
        <v>Ronan Keating</v>
      </c>
      <c r="C1016" s="1" t="s">
        <v>1052</v>
      </c>
      <c r="D1016" s="2" t="n">
        <v>212973</v>
      </c>
      <c r="E1016" s="2" t="n">
        <f aca="false">D1016/1000</f>
        <v>212.973</v>
      </c>
      <c r="F1016" s="10" t="b">
        <f aca="false">FALSE()</f>
        <v>0</v>
      </c>
      <c r="G1016" s="0" t="n">
        <v>3</v>
      </c>
      <c r="H1016" s="0" t="n">
        <f aca="false">_xlfn.xlookup(G1016, years!A$2:A$836, years!B$2:B$836)</f>
        <v>2000</v>
      </c>
      <c r="I1016" s="2" t="n">
        <v>58</v>
      </c>
      <c r="J1016" s="0" t="n">
        <v>0.541</v>
      </c>
      <c r="K1016" s="0" t="n">
        <v>0.899</v>
      </c>
      <c r="L1016" s="3" t="str">
        <f aca="false">IF(K1016&gt;0.66,"High",IF(K1016&gt;0.33&amp;K1016&lt;=0.66,"Medium","Low"))</f>
        <v>High</v>
      </c>
      <c r="M1016" s="0" t="n">
        <v>-6.261</v>
      </c>
      <c r="N1016" s="3" t="n">
        <v>0.0633</v>
      </c>
      <c r="O1016" s="3" t="n">
        <v>0.0178</v>
      </c>
      <c r="P1016" s="4" t="n">
        <v>2.95E-006</v>
      </c>
      <c r="Q1016" s="3" t="n">
        <v>0.286</v>
      </c>
      <c r="R1016" s="3" t="n">
        <v>0.829</v>
      </c>
      <c r="S1016" s="3" t="str">
        <f aca="false">IF(R1016 &gt;= 0.5, "Positive", "Negative")</f>
        <v>Positive</v>
      </c>
      <c r="T1016" s="2" t="n">
        <v>106.676</v>
      </c>
      <c r="U1016" s="0" t="s">
        <v>210</v>
      </c>
    </row>
    <row r="1017" customFormat="false" ht="14.25" hidden="false" customHeight="false" outlineLevel="0" collapsed="false">
      <c r="A1017" s="0" t="n">
        <v>397</v>
      </c>
      <c r="B1017" s="0" t="str">
        <f aca="false">_xlfn.xlookup(A1017, artists!A$2:A$836, artists!B$2:B$836)</f>
        <v>Flo Rida</v>
      </c>
      <c r="C1017" s="1" t="s">
        <v>1053</v>
      </c>
      <c r="D1017" s="2" t="n">
        <v>231400</v>
      </c>
      <c r="E1017" s="2" t="n">
        <f aca="false">D1017/1000</f>
        <v>231.4</v>
      </c>
      <c r="F1017" s="10" t="b">
        <f aca="false">FALSE()</f>
        <v>0</v>
      </c>
      <c r="G1017" s="0" t="n">
        <v>11</v>
      </c>
      <c r="H1017" s="0" t="n">
        <f aca="false">_xlfn.xlookup(G1017, years!A$2:A$836, years!B$2:B$836)</f>
        <v>2008</v>
      </c>
      <c r="I1017" s="2" t="n">
        <v>80</v>
      </c>
      <c r="J1017" s="0" t="n">
        <v>0.918</v>
      </c>
      <c r="K1017" s="0" t="n">
        <v>0.609</v>
      </c>
      <c r="L1017" s="3" t="str">
        <f aca="false">IF(K1017&gt;0.66,"High",IF(K1017&gt;0.33&amp;K1017&lt;=0.66,"Medium","Low"))</f>
        <v>Low</v>
      </c>
      <c r="M1017" s="0" t="n">
        <v>-5.64</v>
      </c>
      <c r="N1017" s="3" t="n">
        <v>0.0791</v>
      </c>
      <c r="O1017" s="3" t="n">
        <v>0.0928</v>
      </c>
      <c r="P1017" s="4" t="n">
        <v>0</v>
      </c>
      <c r="Q1017" s="3" t="n">
        <v>0.139</v>
      </c>
      <c r="R1017" s="3" t="n">
        <v>0.304</v>
      </c>
      <c r="S1017" s="3" t="str">
        <f aca="false">IF(R1017 &gt;= 0.5, "Positive", "Negative")</f>
        <v>Negative</v>
      </c>
      <c r="T1017" s="2" t="n">
        <v>128.008</v>
      </c>
      <c r="U1017" s="0" t="s">
        <v>24</v>
      </c>
    </row>
    <row r="1018" customFormat="false" ht="14.25" hidden="false" customHeight="false" outlineLevel="0" collapsed="false">
      <c r="A1018" s="0" t="n">
        <v>689</v>
      </c>
      <c r="B1018" s="0" t="str">
        <f aca="false">_xlfn.xlookup(A1018, artists!A$2:A$836, artists!B$2:B$836)</f>
        <v>Future</v>
      </c>
      <c r="C1018" s="1" t="s">
        <v>1054</v>
      </c>
      <c r="D1018" s="2" t="n">
        <v>313546</v>
      </c>
      <c r="E1018" s="2" t="n">
        <f aca="false">D1018/1000</f>
        <v>313.546</v>
      </c>
      <c r="F1018" s="10" t="b">
        <f aca="false">TRUE()</f>
        <v>1</v>
      </c>
      <c r="G1018" s="0" t="n">
        <v>19</v>
      </c>
      <c r="H1018" s="0" t="n">
        <f aca="false">_xlfn.xlookup(G1018, years!A$2:A$836, years!B$2:B$836)</f>
        <v>2016</v>
      </c>
      <c r="I1018" s="2" t="n">
        <v>74</v>
      </c>
      <c r="J1018" s="0" t="n">
        <v>0.722</v>
      </c>
      <c r="K1018" s="0" t="n">
        <v>0.331</v>
      </c>
      <c r="L1018" s="3" t="str">
        <f aca="false">IF(K1018&gt;0.66,"High",IF(K1018&gt;0.33&amp;K1018&lt;=0.66,"Medium","Low"))</f>
        <v>Low</v>
      </c>
      <c r="M1018" s="0" t="n">
        <v>-7.789</v>
      </c>
      <c r="N1018" s="3" t="n">
        <v>0.0726</v>
      </c>
      <c r="O1018" s="3" t="n">
        <v>0.337</v>
      </c>
      <c r="P1018" s="4" t="n">
        <v>0.282</v>
      </c>
      <c r="Q1018" s="3" t="n">
        <v>0.146</v>
      </c>
      <c r="R1018" s="3" t="n">
        <v>0.102</v>
      </c>
      <c r="S1018" s="3" t="str">
        <f aca="false">IF(R1018 &gt;= 0.5, "Positive", "Negative")</f>
        <v>Negative</v>
      </c>
      <c r="T1018" s="2" t="n">
        <v>143.961</v>
      </c>
      <c r="U1018" s="0" t="s">
        <v>24</v>
      </c>
    </row>
    <row r="1019" customFormat="false" ht="14.25" hidden="false" customHeight="false" outlineLevel="0" collapsed="false">
      <c r="A1019" s="0" t="n">
        <v>291</v>
      </c>
      <c r="B1019" s="0" t="str">
        <f aca="false">_xlfn.xlookup(A1019, artists!A$2:A$836, artists!B$2:B$836)</f>
        <v>Chris Brown</v>
      </c>
      <c r="C1019" s="1" t="s">
        <v>1055</v>
      </c>
      <c r="D1019" s="2" t="n">
        <v>264946</v>
      </c>
      <c r="E1019" s="2" t="n">
        <f aca="false">D1019/1000</f>
        <v>264.946</v>
      </c>
      <c r="F1019" s="10" t="b">
        <f aca="false">TRUE()</f>
        <v>1</v>
      </c>
      <c r="G1019" s="0" t="n">
        <v>17</v>
      </c>
      <c r="H1019" s="0" t="n">
        <f aca="false">_xlfn.xlookup(G1019, years!A$2:A$836, years!B$2:B$836)</f>
        <v>2014</v>
      </c>
      <c r="I1019" s="2" t="n">
        <v>72</v>
      </c>
      <c r="J1019" s="0" t="n">
        <v>0.841</v>
      </c>
      <c r="K1019" s="0" t="n">
        <v>0.522</v>
      </c>
      <c r="L1019" s="3" t="str">
        <f aca="false">IF(K1019&gt;0.66,"High",IF(K1019&gt;0.33&amp;K1019&lt;=0.66,"Medium","Low"))</f>
        <v>Low</v>
      </c>
      <c r="M1019" s="0" t="n">
        <v>-5.963</v>
      </c>
      <c r="N1019" s="3" t="n">
        <v>0.049</v>
      </c>
      <c r="O1019" s="3" t="n">
        <v>0.0168</v>
      </c>
      <c r="P1019" s="4" t="n">
        <v>1.37E-006</v>
      </c>
      <c r="Q1019" s="3" t="n">
        <v>0.188</v>
      </c>
      <c r="R1019" s="3" t="n">
        <v>0.616</v>
      </c>
      <c r="S1019" s="3" t="str">
        <f aca="false">IF(R1019 &gt;= 0.5, "Positive", "Negative")</f>
        <v>Positive</v>
      </c>
      <c r="T1019" s="2" t="n">
        <v>99.059</v>
      </c>
      <c r="U1019" s="0" t="s">
        <v>31</v>
      </c>
    </row>
    <row r="1020" customFormat="false" ht="14.25" hidden="false" customHeight="false" outlineLevel="0" collapsed="false">
      <c r="A1020" s="0" t="n">
        <v>757</v>
      </c>
      <c r="B1020" s="0" t="str">
        <f aca="false">_xlfn.xlookup(A1020, artists!A$2:A$836, artists!B$2:B$836)</f>
        <v>Juice WRLD</v>
      </c>
      <c r="C1020" s="1" t="s">
        <v>1056</v>
      </c>
      <c r="D1020" s="2" t="n">
        <v>239835</v>
      </c>
      <c r="E1020" s="2" t="n">
        <f aca="false">D1020/1000</f>
        <v>239.835</v>
      </c>
      <c r="F1020" s="10" t="b">
        <f aca="false">TRUE()</f>
        <v>1</v>
      </c>
      <c r="G1020" s="0" t="n">
        <v>21</v>
      </c>
      <c r="H1020" s="0" t="n">
        <f aca="false">_xlfn.xlookup(G1020, years!A$2:A$836, years!B$2:B$836)</f>
        <v>2018</v>
      </c>
      <c r="I1020" s="2" t="n">
        <v>84</v>
      </c>
      <c r="J1020" s="0" t="n">
        <v>0.511</v>
      </c>
      <c r="K1020" s="0" t="n">
        <v>0.566</v>
      </c>
      <c r="L1020" s="3" t="str">
        <f aca="false">IF(K1020&gt;0.66,"High",IF(K1020&gt;0.33&amp;K1020&lt;=0.66,"Medium","Low"))</f>
        <v>Low</v>
      </c>
      <c r="M1020" s="0" t="n">
        <v>-7.23</v>
      </c>
      <c r="N1020" s="3" t="n">
        <v>0.2</v>
      </c>
      <c r="O1020" s="3" t="n">
        <v>0.349</v>
      </c>
      <c r="P1020" s="4" t="n">
        <v>0</v>
      </c>
      <c r="Q1020" s="3" t="n">
        <v>0.34</v>
      </c>
      <c r="R1020" s="3" t="n">
        <v>0.218</v>
      </c>
      <c r="S1020" s="3" t="str">
        <f aca="false">IF(R1020 &gt;= 0.5, "Positive", "Negative")</f>
        <v>Negative</v>
      </c>
      <c r="T1020" s="2" t="n">
        <v>83.903</v>
      </c>
      <c r="U1020" s="0" t="s">
        <v>29</v>
      </c>
    </row>
    <row r="1021" customFormat="false" ht="14.25" hidden="false" customHeight="false" outlineLevel="0" collapsed="false">
      <c r="A1021" s="0" t="n">
        <v>164</v>
      </c>
      <c r="B1021" s="0" t="str">
        <f aca="false">_xlfn.xlookup(A1021, artists!A$2:A$836, artists!B$2:B$836)</f>
        <v>B2K</v>
      </c>
      <c r="C1021" s="1" t="s">
        <v>1057</v>
      </c>
      <c r="D1021" s="2" t="n">
        <v>223293</v>
      </c>
      <c r="E1021" s="2" t="n">
        <f aca="false">D1021/1000</f>
        <v>223.293</v>
      </c>
      <c r="F1021" s="10" t="b">
        <f aca="false">FALSE()</f>
        <v>0</v>
      </c>
      <c r="G1021" s="0" t="n">
        <v>5</v>
      </c>
      <c r="H1021" s="0" t="n">
        <f aca="false">_xlfn.xlookup(G1021, years!A$2:A$836, years!B$2:B$836)</f>
        <v>2002</v>
      </c>
      <c r="I1021" s="2" t="n">
        <v>49</v>
      </c>
      <c r="J1021" s="0" t="n">
        <v>0.855</v>
      </c>
      <c r="K1021" s="0" t="n">
        <v>0.681</v>
      </c>
      <c r="L1021" s="3" t="str">
        <f aca="false">IF(K1021&gt;0.66,"High",IF(K1021&gt;0.33&amp;K1021&lt;=0.66,"Medium","Low"))</f>
        <v>High</v>
      </c>
      <c r="M1021" s="0" t="n">
        <v>-4.955</v>
      </c>
      <c r="N1021" s="3" t="n">
        <v>0.0688</v>
      </c>
      <c r="O1021" s="3" t="n">
        <v>0.0881</v>
      </c>
      <c r="P1021" s="4" t="n">
        <v>3.7E-006</v>
      </c>
      <c r="Q1021" s="3" t="n">
        <v>0.0592</v>
      </c>
      <c r="R1021" s="3" t="n">
        <v>0.908</v>
      </c>
      <c r="S1021" s="3" t="str">
        <f aca="false">IF(R1021 &gt;= 0.5, "Positive", "Negative")</f>
        <v>Positive</v>
      </c>
      <c r="T1021" s="2" t="n">
        <v>99.699</v>
      </c>
      <c r="U1021" s="0" t="s">
        <v>31</v>
      </c>
    </row>
    <row r="1022" customFormat="false" ht="14.25" hidden="false" customHeight="false" outlineLevel="0" collapsed="false">
      <c r="A1022" s="0" t="n">
        <v>692</v>
      </c>
      <c r="B1022" s="0" t="str">
        <f aca="false">_xlfn.xlookup(A1022, artists!A$2:A$836, artists!B$2:B$836)</f>
        <v>Cheat Codes</v>
      </c>
      <c r="C1022" s="1" t="s">
        <v>1058</v>
      </c>
      <c r="D1022" s="2" t="n">
        <v>228361</v>
      </c>
      <c r="E1022" s="2" t="n">
        <f aca="false">D1022/1000</f>
        <v>228.361</v>
      </c>
      <c r="F1022" s="10" t="b">
        <f aca="false">FALSE()</f>
        <v>0</v>
      </c>
      <c r="G1022" s="0" t="n">
        <v>19</v>
      </c>
      <c r="H1022" s="0" t="n">
        <f aca="false">_xlfn.xlookup(G1022, years!A$2:A$836, years!B$2:B$836)</f>
        <v>2016</v>
      </c>
      <c r="I1022" s="2" t="n">
        <v>0</v>
      </c>
      <c r="J1022" s="0" t="n">
        <v>0.51</v>
      </c>
      <c r="K1022" s="0" t="n">
        <v>0.692</v>
      </c>
      <c r="L1022" s="3" t="str">
        <f aca="false">IF(K1022&gt;0.66,"High",IF(K1022&gt;0.33&amp;K1022&lt;=0.66,"Medium","Low"))</f>
        <v>High</v>
      </c>
      <c r="M1022" s="0" t="n">
        <v>-5.825</v>
      </c>
      <c r="N1022" s="3" t="n">
        <v>0.171</v>
      </c>
      <c r="O1022" s="3" t="n">
        <v>0.00451</v>
      </c>
      <c r="P1022" s="4" t="n">
        <v>0</v>
      </c>
      <c r="Q1022" s="3" t="n">
        <v>0.138</v>
      </c>
      <c r="R1022" s="3" t="n">
        <v>0.209</v>
      </c>
      <c r="S1022" s="3" t="str">
        <f aca="false">IF(R1022 &gt;= 0.5, "Positive", "Negative")</f>
        <v>Negative</v>
      </c>
      <c r="T1022" s="2" t="n">
        <v>102.42</v>
      </c>
      <c r="U1022" s="0" t="s">
        <v>22</v>
      </c>
    </row>
    <row r="1023" customFormat="false" ht="14.25" hidden="false" customHeight="false" outlineLevel="0" collapsed="false">
      <c r="A1023" s="0" t="n">
        <v>600</v>
      </c>
      <c r="B1023" s="0" t="str">
        <f aca="false">_xlfn.xlookup(A1023, artists!A$2:A$836, artists!B$2:B$836)</f>
        <v>Ariana Grande</v>
      </c>
      <c r="C1023" s="1" t="s">
        <v>1059</v>
      </c>
      <c r="D1023" s="2" t="n">
        <v>226160</v>
      </c>
      <c r="E1023" s="2" t="n">
        <f aca="false">D1023/1000</f>
        <v>226.16</v>
      </c>
      <c r="F1023" s="10" t="b">
        <f aca="false">TRUE()</f>
        <v>1</v>
      </c>
      <c r="G1023" s="0" t="n">
        <v>19</v>
      </c>
      <c r="H1023" s="0" t="n">
        <f aca="false">_xlfn.xlookup(G1023, years!A$2:A$836, years!B$2:B$836)</f>
        <v>2016</v>
      </c>
      <c r="I1023" s="2" t="n">
        <v>0</v>
      </c>
      <c r="J1023" s="0" t="n">
        <v>0.648</v>
      </c>
      <c r="K1023" s="0" t="n">
        <v>0.738</v>
      </c>
      <c r="L1023" s="3" t="str">
        <f aca="false">IF(K1023&gt;0.66,"High",IF(K1023&gt;0.33&amp;K1023&lt;=0.66,"Medium","Low"))</f>
        <v>High</v>
      </c>
      <c r="M1023" s="0" t="n">
        <v>-5.883</v>
      </c>
      <c r="N1023" s="3" t="n">
        <v>0.247</v>
      </c>
      <c r="O1023" s="3" t="n">
        <v>0.0408</v>
      </c>
      <c r="P1023" s="4" t="n">
        <v>0</v>
      </c>
      <c r="Q1023" s="3" t="n">
        <v>0.292</v>
      </c>
      <c r="R1023" s="3" t="n">
        <v>0.603</v>
      </c>
      <c r="S1023" s="3" t="str">
        <f aca="false">IF(R1023 &gt;= 0.5, "Positive", "Negative")</f>
        <v>Positive</v>
      </c>
      <c r="T1023" s="2" t="n">
        <v>159.145</v>
      </c>
      <c r="U1023" s="0" t="s">
        <v>39</v>
      </c>
    </row>
    <row r="1024" customFormat="false" ht="14.25" hidden="false" customHeight="false" outlineLevel="0" collapsed="false">
      <c r="A1024" s="0" t="n">
        <v>703</v>
      </c>
      <c r="B1024" s="0" t="str">
        <f aca="false">_xlfn.xlookup(A1024, artists!A$2:A$836, artists!B$2:B$836)</f>
        <v>Tory Lanez</v>
      </c>
      <c r="C1024" s="1" t="s">
        <v>1060</v>
      </c>
      <c r="D1024" s="2" t="n">
        <v>228640</v>
      </c>
      <c r="E1024" s="2" t="n">
        <f aca="false">D1024/1000</f>
        <v>228.64</v>
      </c>
      <c r="F1024" s="10" t="b">
        <f aca="false">TRUE()</f>
        <v>1</v>
      </c>
      <c r="G1024" s="0" t="n">
        <v>19</v>
      </c>
      <c r="H1024" s="0" t="n">
        <f aca="false">_xlfn.xlookup(G1024, years!A$2:A$836, years!B$2:B$836)</f>
        <v>2016</v>
      </c>
      <c r="I1024" s="2" t="n">
        <v>0</v>
      </c>
      <c r="J1024" s="0" t="n">
        <v>0.688</v>
      </c>
      <c r="K1024" s="0" t="n">
        <v>0.541</v>
      </c>
      <c r="L1024" s="3" t="str">
        <f aca="false">IF(K1024&gt;0.66,"High",IF(K1024&gt;0.33&amp;K1024&lt;=0.66,"Medium","Low"))</f>
        <v>Low</v>
      </c>
      <c r="M1024" s="0" t="n">
        <v>-8.128</v>
      </c>
      <c r="N1024" s="3" t="n">
        <v>0.114</v>
      </c>
      <c r="O1024" s="3" t="n">
        <v>0.0118</v>
      </c>
      <c r="P1024" s="4" t="n">
        <v>0</v>
      </c>
      <c r="Q1024" s="3" t="n">
        <v>0.123</v>
      </c>
      <c r="R1024" s="3" t="n">
        <v>0.247</v>
      </c>
      <c r="S1024" s="3" t="str">
        <f aca="false">IF(R1024 &gt;= 0.5, "Positive", "Negative")</f>
        <v>Negative</v>
      </c>
      <c r="T1024" s="2" t="n">
        <v>95.109</v>
      </c>
      <c r="U1024" s="0" t="s">
        <v>31</v>
      </c>
    </row>
    <row r="1025" customFormat="false" ht="14.25" hidden="false" customHeight="false" outlineLevel="0" collapsed="false">
      <c r="A1025" s="0" t="n">
        <v>168</v>
      </c>
      <c r="B1025" s="0" t="str">
        <f aca="false">_xlfn.xlookup(A1025, artists!A$2:A$836, artists!B$2:B$836)</f>
        <v>LL Cool J</v>
      </c>
      <c r="C1025" s="1" t="s">
        <v>1061</v>
      </c>
      <c r="D1025" s="2" t="n">
        <v>287000</v>
      </c>
      <c r="E1025" s="2" t="n">
        <f aca="false">D1025/1000</f>
        <v>287</v>
      </c>
      <c r="F1025" s="10" t="b">
        <f aca="false">FALSE()</f>
        <v>0</v>
      </c>
      <c r="G1025" s="0" t="n">
        <v>5</v>
      </c>
      <c r="H1025" s="0" t="n">
        <f aca="false">_xlfn.xlookup(G1025, years!A$2:A$836, years!B$2:B$836)</f>
        <v>2002</v>
      </c>
      <c r="I1025" s="2" t="n">
        <v>2</v>
      </c>
      <c r="J1025" s="0" t="n">
        <v>0.668</v>
      </c>
      <c r="K1025" s="0" t="n">
        <v>0.806</v>
      </c>
      <c r="L1025" s="3" t="str">
        <f aca="false">IF(K1025&gt;0.66,"High",IF(K1025&gt;0.33&amp;K1025&lt;=0.66,"Medium","Low"))</f>
        <v>High</v>
      </c>
      <c r="M1025" s="0" t="n">
        <v>-3.9</v>
      </c>
      <c r="N1025" s="3" t="n">
        <v>0.239</v>
      </c>
      <c r="O1025" s="3" t="n">
        <v>0.232</v>
      </c>
      <c r="P1025" s="4" t="n">
        <v>0</v>
      </c>
      <c r="Q1025" s="3" t="n">
        <v>0.18</v>
      </c>
      <c r="R1025" s="3" t="n">
        <v>0.721</v>
      </c>
      <c r="S1025" s="3" t="str">
        <f aca="false">IF(R1025 &gt;= 0.5, "Positive", "Negative")</f>
        <v>Positive</v>
      </c>
      <c r="T1025" s="2" t="n">
        <v>95.022</v>
      </c>
      <c r="U1025" s="0" t="s">
        <v>31</v>
      </c>
    </row>
    <row r="1026" customFormat="false" ht="14.25" hidden="false" customHeight="false" outlineLevel="0" collapsed="false">
      <c r="A1026" s="0" t="n">
        <v>539</v>
      </c>
      <c r="B1026" s="0" t="str">
        <f aca="false">_xlfn.xlookup(A1026, artists!A$2:A$836, artists!B$2:B$836)</f>
        <v>Kendrick Lamar</v>
      </c>
      <c r="C1026" s="1" t="s">
        <v>1062</v>
      </c>
      <c r="D1026" s="2" t="n">
        <v>350120</v>
      </c>
      <c r="E1026" s="2" t="n">
        <f aca="false">D1026/1000</f>
        <v>350.12</v>
      </c>
      <c r="F1026" s="10" t="b">
        <f aca="false">TRUE()</f>
        <v>1</v>
      </c>
      <c r="G1026" s="0" t="n">
        <v>15</v>
      </c>
      <c r="H1026" s="0" t="n">
        <f aca="false">_xlfn.xlookup(G1026, years!A$2:A$836, years!B$2:B$836)</f>
        <v>2012</v>
      </c>
      <c r="I1026" s="2" t="n">
        <v>67</v>
      </c>
      <c r="J1026" s="0" t="n">
        <v>0.487</v>
      </c>
      <c r="K1026" s="0" t="n">
        <v>0.729</v>
      </c>
      <c r="L1026" s="3" t="str">
        <f aca="false">IF(K1026&gt;0.66,"High",IF(K1026&gt;0.33&amp;K1026&lt;=0.66,"Medium","Low"))</f>
        <v>High</v>
      </c>
      <c r="M1026" s="0" t="n">
        <v>-6.815</v>
      </c>
      <c r="N1026" s="3" t="n">
        <v>0.271</v>
      </c>
      <c r="O1026" s="3" t="n">
        <v>0.0538</v>
      </c>
      <c r="P1026" s="4" t="n">
        <v>4.07E-006</v>
      </c>
      <c r="Q1026" s="3" t="n">
        <v>0.44</v>
      </c>
      <c r="R1026" s="3" t="n">
        <v>0.217</v>
      </c>
      <c r="S1026" s="3" t="str">
        <f aca="false">IF(R1026 &gt;= 0.5, "Positive", "Negative")</f>
        <v>Negative</v>
      </c>
      <c r="T1026" s="2" t="n">
        <v>91.048</v>
      </c>
      <c r="U1026" s="0" t="s">
        <v>29</v>
      </c>
    </row>
    <row r="1027" customFormat="false" ht="14.25" hidden="false" customHeight="false" outlineLevel="0" collapsed="false">
      <c r="A1027" s="0" t="n">
        <v>343</v>
      </c>
      <c r="B1027" s="0" t="str">
        <f aca="false">_xlfn.xlookup(A1027, artists!A$2:A$836, artists!B$2:B$836)</f>
        <v>Ne-Yo</v>
      </c>
      <c r="C1027" s="1" t="s">
        <v>1063</v>
      </c>
      <c r="D1027" s="2" t="n">
        <v>254533</v>
      </c>
      <c r="E1027" s="2" t="n">
        <f aca="false">D1027/1000</f>
        <v>254.533</v>
      </c>
      <c r="F1027" s="10" t="b">
        <f aca="false">FALSE()</f>
        <v>0</v>
      </c>
      <c r="G1027" s="0" t="n">
        <v>11</v>
      </c>
      <c r="H1027" s="0" t="n">
        <f aca="false">_xlfn.xlookup(G1027, years!A$2:A$836, years!B$2:B$836)</f>
        <v>2008</v>
      </c>
      <c r="I1027" s="2" t="n">
        <v>64</v>
      </c>
      <c r="J1027" s="0" t="n">
        <v>0.731</v>
      </c>
      <c r="K1027" s="0" t="n">
        <v>0.644</v>
      </c>
      <c r="L1027" s="3" t="str">
        <f aca="false">IF(K1027&gt;0.66,"High",IF(K1027&gt;0.33&amp;K1027&lt;=0.66,"Medium","Low"))</f>
        <v>Low</v>
      </c>
      <c r="M1027" s="0" t="n">
        <v>-5.348</v>
      </c>
      <c r="N1027" s="3" t="n">
        <v>0.0343</v>
      </c>
      <c r="O1027" s="3" t="n">
        <v>0.665</v>
      </c>
      <c r="P1027" s="4" t="n">
        <v>0</v>
      </c>
      <c r="Q1027" s="3" t="n">
        <v>0.11</v>
      </c>
      <c r="R1027" s="3" t="n">
        <v>0.691</v>
      </c>
      <c r="S1027" s="3" t="str">
        <f aca="false">IF(R1027 &gt;= 0.5, "Positive", "Negative")</f>
        <v>Positive</v>
      </c>
      <c r="T1027" s="2" t="n">
        <v>129.94</v>
      </c>
      <c r="U1027" s="0" t="s">
        <v>33</v>
      </c>
    </row>
    <row r="1028" customFormat="false" ht="14.25" hidden="false" customHeight="false" outlineLevel="0" collapsed="false">
      <c r="A1028" s="0" t="n">
        <v>802</v>
      </c>
      <c r="B1028" s="0" t="str">
        <f aca="false">_xlfn.xlookup(A1028, artists!A$2:A$836, artists!B$2:B$836)</f>
        <v>Mabel</v>
      </c>
      <c r="C1028" s="1" t="s">
        <v>1064</v>
      </c>
      <c r="D1028" s="2" t="n">
        <v>169813</v>
      </c>
      <c r="E1028" s="2" t="n">
        <f aca="false">D1028/1000</f>
        <v>169.813</v>
      </c>
      <c r="F1028" s="10" t="b">
        <f aca="false">FALSE()</f>
        <v>0</v>
      </c>
      <c r="G1028" s="0" t="n">
        <v>22</v>
      </c>
      <c r="H1028" s="0" t="n">
        <f aca="false">_xlfn.xlookup(G1028, years!A$2:A$836, years!B$2:B$836)</f>
        <v>2019</v>
      </c>
      <c r="I1028" s="2" t="n">
        <v>0</v>
      </c>
      <c r="J1028" s="0" t="n">
        <v>0.631</v>
      </c>
      <c r="K1028" s="0" t="n">
        <v>0.803</v>
      </c>
      <c r="L1028" s="3" t="str">
        <f aca="false">IF(K1028&gt;0.66,"High",IF(K1028&gt;0.33&amp;K1028&lt;=0.66,"Medium","Low"))</f>
        <v>High</v>
      </c>
      <c r="M1028" s="0" t="n">
        <v>-2.974</v>
      </c>
      <c r="N1028" s="3" t="n">
        <v>0.155</v>
      </c>
      <c r="O1028" s="3" t="n">
        <v>0.675</v>
      </c>
      <c r="P1028" s="4" t="n">
        <v>0</v>
      </c>
      <c r="Q1028" s="3" t="n">
        <v>0.11</v>
      </c>
      <c r="R1028" s="3" t="n">
        <v>0.62</v>
      </c>
      <c r="S1028" s="3" t="str">
        <f aca="false">IF(R1028 &gt;= 0.5, "Positive", "Negative")</f>
        <v>Positive</v>
      </c>
      <c r="T1028" s="2" t="n">
        <v>198.065</v>
      </c>
      <c r="U1028" s="0" t="s">
        <v>22</v>
      </c>
    </row>
    <row r="1029" customFormat="false" ht="14.25" hidden="false" customHeight="false" outlineLevel="0" collapsed="false">
      <c r="A1029" s="0" t="n">
        <v>280</v>
      </c>
      <c r="B1029" s="0" t="str">
        <f aca="false">_xlfn.xlookup(A1029, artists!A$2:A$836, artists!B$2:B$836)</f>
        <v>Gary Jules</v>
      </c>
      <c r="C1029" s="1" t="s">
        <v>1065</v>
      </c>
      <c r="D1029" s="2" t="n">
        <v>189506</v>
      </c>
      <c r="E1029" s="2" t="n">
        <f aca="false">D1029/1000</f>
        <v>189.506</v>
      </c>
      <c r="F1029" s="10" t="b">
        <f aca="false">FALSE()</f>
        <v>0</v>
      </c>
      <c r="G1029" s="0" t="n">
        <v>4</v>
      </c>
      <c r="H1029" s="0" t="n">
        <f aca="false">_xlfn.xlookup(G1029, years!A$2:A$836, years!B$2:B$836)</f>
        <v>2001</v>
      </c>
      <c r="I1029" s="2" t="n">
        <v>65</v>
      </c>
      <c r="J1029" s="0" t="n">
        <v>0.345</v>
      </c>
      <c r="K1029" s="0" t="n">
        <v>0.0581</v>
      </c>
      <c r="L1029" s="3" t="str">
        <f aca="false">IF(K1029&gt;0.66,"High",IF(K1029&gt;0.33&amp;K1029&lt;=0.66,"Medium","Low"))</f>
        <v>Low</v>
      </c>
      <c r="M1029" s="0" t="n">
        <v>-17.217</v>
      </c>
      <c r="N1029" s="3" t="n">
        <v>0.0374</v>
      </c>
      <c r="O1029" s="3" t="n">
        <v>0.976</v>
      </c>
      <c r="P1029" s="4" t="n">
        <v>0.000366</v>
      </c>
      <c r="Q1029" s="3" t="n">
        <v>0.103</v>
      </c>
      <c r="R1029" s="3" t="n">
        <v>0.304</v>
      </c>
      <c r="S1029" s="3" t="str">
        <f aca="false">IF(R1029 &gt;= 0.5, "Positive", "Negative")</f>
        <v>Negative</v>
      </c>
      <c r="T1029" s="2" t="n">
        <v>174.117</v>
      </c>
      <c r="U1029" s="0" t="s">
        <v>39</v>
      </c>
    </row>
    <row r="1030" customFormat="false" ht="14.25" hidden="false" customHeight="false" outlineLevel="0" collapsed="false">
      <c r="A1030" s="0" t="n">
        <v>2</v>
      </c>
      <c r="B1030" s="0" t="str">
        <f aca="false">_xlfn.xlookup(A1030, artists!A$2:A$836, artists!B$2:B$836)</f>
        <v>blink-182</v>
      </c>
      <c r="C1030" s="1" t="s">
        <v>1066</v>
      </c>
      <c r="D1030" s="2" t="n">
        <v>167066</v>
      </c>
      <c r="E1030" s="2" t="n">
        <f aca="false">D1030/1000</f>
        <v>167.066</v>
      </c>
      <c r="F1030" s="10" t="b">
        <f aca="false">FALSE()</f>
        <v>0</v>
      </c>
      <c r="G1030" s="0" t="n">
        <v>2</v>
      </c>
      <c r="H1030" s="0" t="n">
        <f aca="false">_xlfn.xlookup(G1030, years!A$2:A$836, years!B$2:B$836)</f>
        <v>1999</v>
      </c>
      <c r="I1030" s="2" t="n">
        <v>79</v>
      </c>
      <c r="J1030" s="0" t="n">
        <v>0.434</v>
      </c>
      <c r="K1030" s="0" t="n">
        <v>0.897</v>
      </c>
      <c r="L1030" s="3" t="str">
        <f aca="false">IF(K1030&gt;0.66,"High",IF(K1030&gt;0.33&amp;K1030&lt;=0.66,"Medium","Low"))</f>
        <v>High</v>
      </c>
      <c r="M1030" s="0" t="n">
        <v>-4.918</v>
      </c>
      <c r="N1030" s="3" t="n">
        <v>0.0488</v>
      </c>
      <c r="O1030" s="3" t="n">
        <v>0.0103</v>
      </c>
      <c r="P1030" s="4" t="n">
        <v>0</v>
      </c>
      <c r="Q1030" s="3" t="n">
        <v>0.612</v>
      </c>
      <c r="R1030" s="3" t="n">
        <v>0.684</v>
      </c>
      <c r="S1030" s="3" t="str">
        <f aca="false">IF(R1030 &gt;= 0.5, "Positive", "Negative")</f>
        <v>Positive</v>
      </c>
      <c r="T1030" s="2" t="n">
        <v>148.726</v>
      </c>
      <c r="U1030" s="0" t="s">
        <v>35</v>
      </c>
    </row>
    <row r="1031" customFormat="false" ht="14.25" hidden="false" customHeight="false" outlineLevel="0" collapsed="false">
      <c r="A1031" s="0" t="n">
        <v>205</v>
      </c>
      <c r="B1031" s="0" t="str">
        <f aca="false">_xlfn.xlookup(A1031, artists!A$2:A$836, artists!B$2:B$836)</f>
        <v>Lil' Kim</v>
      </c>
      <c r="C1031" s="1" t="s">
        <v>1067</v>
      </c>
      <c r="D1031" s="2" t="n">
        <v>359973</v>
      </c>
      <c r="E1031" s="2" t="n">
        <f aca="false">D1031/1000</f>
        <v>359.973</v>
      </c>
      <c r="F1031" s="10" t="b">
        <f aca="false">TRUE()</f>
        <v>1</v>
      </c>
      <c r="G1031" s="0" t="n">
        <v>22</v>
      </c>
      <c r="H1031" s="0" t="n">
        <f aca="false">_xlfn.xlookup(G1031, years!A$2:A$836, years!B$2:B$836)</f>
        <v>2019</v>
      </c>
      <c r="I1031" s="2" t="n">
        <v>47</v>
      </c>
      <c r="J1031" s="0" t="n">
        <v>0.849</v>
      </c>
      <c r="K1031" s="0" t="n">
        <v>0.498</v>
      </c>
      <c r="L1031" s="3" t="str">
        <f aca="false">IF(K1031&gt;0.66,"High",IF(K1031&gt;0.33&amp;K1031&lt;=0.66,"Medium","Low"))</f>
        <v>Low</v>
      </c>
      <c r="M1031" s="0" t="n">
        <v>-7.872</v>
      </c>
      <c r="N1031" s="3" t="n">
        <v>0.272</v>
      </c>
      <c r="O1031" s="3" t="n">
        <v>0.116</v>
      </c>
      <c r="P1031" s="4" t="n">
        <v>4.49E-005</v>
      </c>
      <c r="Q1031" s="3" t="n">
        <v>0.268</v>
      </c>
      <c r="R1031" s="3" t="n">
        <v>0.502</v>
      </c>
      <c r="S1031" s="3" t="str">
        <f aca="false">IF(R1031 &gt;= 0.5, "Positive", "Negative")</f>
        <v>Positive</v>
      </c>
      <c r="T1031" s="2" t="n">
        <v>92.98</v>
      </c>
      <c r="U1031" s="0" t="s">
        <v>31</v>
      </c>
    </row>
    <row r="1032" customFormat="false" ht="14.25" hidden="false" customHeight="false" outlineLevel="0" collapsed="false">
      <c r="A1032" s="0" t="n">
        <v>731</v>
      </c>
      <c r="B1032" s="0" t="str">
        <f aca="false">_xlfn.xlookup(A1032, artists!A$2:A$836, artists!B$2:B$836)</f>
        <v>Playboi Carti</v>
      </c>
      <c r="C1032" s="1" t="s">
        <v>1068</v>
      </c>
      <c r="D1032" s="2" t="n">
        <v>181812</v>
      </c>
      <c r="E1032" s="2" t="n">
        <f aca="false">D1032/1000</f>
        <v>181.812</v>
      </c>
      <c r="F1032" s="10" t="b">
        <f aca="false">TRUE()</f>
        <v>1</v>
      </c>
      <c r="G1032" s="0" t="n">
        <v>20</v>
      </c>
      <c r="H1032" s="0" t="n">
        <f aca="false">_xlfn.xlookup(G1032, years!A$2:A$836, years!B$2:B$836)</f>
        <v>2017</v>
      </c>
      <c r="I1032" s="2" t="n">
        <v>77</v>
      </c>
      <c r="J1032" s="0" t="n">
        <v>0.791</v>
      </c>
      <c r="K1032" s="0" t="n">
        <v>0.582</v>
      </c>
      <c r="L1032" s="3" t="str">
        <f aca="false">IF(K1032&gt;0.66,"High",IF(K1032&gt;0.33&amp;K1032&lt;=0.66,"Medium","Low"))</f>
        <v>Low</v>
      </c>
      <c r="M1032" s="0" t="n">
        <v>-7.323</v>
      </c>
      <c r="N1032" s="3" t="n">
        <v>0.286</v>
      </c>
      <c r="O1032" s="3" t="n">
        <v>0.0114</v>
      </c>
      <c r="P1032" s="4" t="n">
        <v>0</v>
      </c>
      <c r="Q1032" s="3" t="n">
        <v>0.35</v>
      </c>
      <c r="R1032" s="3" t="n">
        <v>0.443</v>
      </c>
      <c r="S1032" s="3" t="str">
        <f aca="false">IF(R1032 &gt;= 0.5, "Positive", "Negative")</f>
        <v>Negative</v>
      </c>
      <c r="T1032" s="2" t="n">
        <v>162.991</v>
      </c>
      <c r="U1032" s="0" t="s">
        <v>29</v>
      </c>
    </row>
    <row r="1033" customFormat="false" ht="14.25" hidden="false" customHeight="false" outlineLevel="0" collapsed="false">
      <c r="A1033" s="0" t="n">
        <v>166</v>
      </c>
      <c r="B1033" s="0" t="str">
        <f aca="false">_xlfn.xlookup(A1033, artists!A$2:A$836, artists!B$2:B$836)</f>
        <v>Fat Joe</v>
      </c>
      <c r="C1033" s="1" t="s">
        <v>1069</v>
      </c>
      <c r="D1033" s="2" t="n">
        <v>247413</v>
      </c>
      <c r="E1033" s="2" t="n">
        <f aca="false">D1033/1000</f>
        <v>247.413</v>
      </c>
      <c r="F1033" s="10" t="b">
        <f aca="false">TRUE()</f>
        <v>1</v>
      </c>
      <c r="G1033" s="0" t="n">
        <v>9</v>
      </c>
      <c r="H1033" s="0" t="n">
        <f aca="false">_xlfn.xlookup(G1033, years!A$2:A$836, years!B$2:B$836)</f>
        <v>2006</v>
      </c>
      <c r="I1033" s="2" t="n">
        <v>59</v>
      </c>
      <c r="J1033" s="0" t="n">
        <v>0.744</v>
      </c>
      <c r="K1033" s="0" t="n">
        <v>0.697</v>
      </c>
      <c r="L1033" s="3" t="str">
        <f aca="false">IF(K1033&gt;0.66,"High",IF(K1033&gt;0.33&amp;K1033&lt;=0.66,"Medium","Low"))</f>
        <v>High</v>
      </c>
      <c r="M1033" s="0" t="n">
        <v>-5.063</v>
      </c>
      <c r="N1033" s="3" t="n">
        <v>0.197</v>
      </c>
      <c r="O1033" s="3" t="n">
        <v>0.0106</v>
      </c>
      <c r="P1033" s="4" t="n">
        <v>0</v>
      </c>
      <c r="Q1033" s="3" t="n">
        <v>0.0842</v>
      </c>
      <c r="R1033" s="3" t="n">
        <v>0.767</v>
      </c>
      <c r="S1033" s="3" t="str">
        <f aca="false">IF(R1033 &gt;= 0.5, "Positive", "Negative")</f>
        <v>Positive</v>
      </c>
      <c r="T1033" s="2" t="n">
        <v>149.28</v>
      </c>
      <c r="U1033" s="0" t="s">
        <v>24</v>
      </c>
    </row>
    <row r="1034" customFormat="false" ht="14.25" hidden="false" customHeight="false" outlineLevel="0" collapsed="false">
      <c r="A1034" s="0" t="n">
        <v>210</v>
      </c>
      <c r="B1034" s="0" t="str">
        <f aca="false">_xlfn.xlookup(A1034, artists!A$2:A$836, artists!B$2:B$836)</f>
        <v>Room 5</v>
      </c>
      <c r="C1034" s="1" t="s">
        <v>1070</v>
      </c>
      <c r="D1034" s="2" t="n">
        <v>212413</v>
      </c>
      <c r="E1034" s="2" t="n">
        <f aca="false">D1034/1000</f>
        <v>212.413</v>
      </c>
      <c r="F1034" s="10" t="b">
        <f aca="false">FALSE()</f>
        <v>0</v>
      </c>
      <c r="G1034" s="0" t="n">
        <v>6</v>
      </c>
      <c r="H1034" s="0" t="n">
        <f aca="false">_xlfn.xlookup(G1034, years!A$2:A$836, years!B$2:B$836)</f>
        <v>2003</v>
      </c>
      <c r="I1034" s="2" t="n">
        <v>57</v>
      </c>
      <c r="J1034" s="0" t="n">
        <v>0.883</v>
      </c>
      <c r="K1034" s="0" t="n">
        <v>0.887</v>
      </c>
      <c r="L1034" s="3" t="str">
        <f aca="false">IF(K1034&gt;0.66,"High",IF(K1034&gt;0.33&amp;K1034&lt;=0.66,"Medium","Low"))</f>
        <v>High</v>
      </c>
      <c r="M1034" s="0" t="n">
        <v>-4.92</v>
      </c>
      <c r="N1034" s="3" t="n">
        <v>0.116</v>
      </c>
      <c r="O1034" s="3" t="n">
        <v>0.0111</v>
      </c>
      <c r="P1034" s="4" t="n">
        <v>0.63</v>
      </c>
      <c r="Q1034" s="3" t="n">
        <v>0.0367</v>
      </c>
      <c r="R1034" s="3" t="n">
        <v>0.648</v>
      </c>
      <c r="S1034" s="3" t="str">
        <f aca="false">IF(R1034 &gt;= 0.5, "Positive", "Negative")</f>
        <v>Positive</v>
      </c>
      <c r="T1034" s="2" t="n">
        <v>124.814</v>
      </c>
      <c r="U1034" s="0" t="s">
        <v>48</v>
      </c>
    </row>
    <row r="1035" customFormat="false" ht="14.25" hidden="false" customHeight="false" outlineLevel="0" collapsed="false">
      <c r="A1035" s="0" t="n">
        <v>229</v>
      </c>
      <c r="B1035" s="0" t="str">
        <f aca="false">_xlfn.xlookup(A1035, artists!A$2:A$836, artists!B$2:B$836)</f>
        <v>Fabolous</v>
      </c>
      <c r="C1035" s="1" t="s">
        <v>1071</v>
      </c>
      <c r="D1035" s="2" t="n">
        <v>253573</v>
      </c>
      <c r="E1035" s="2" t="n">
        <f aca="false">D1035/1000</f>
        <v>253.573</v>
      </c>
      <c r="F1035" s="10" t="b">
        <f aca="false">TRUE()</f>
        <v>1</v>
      </c>
      <c r="G1035" s="0" t="n">
        <v>10</v>
      </c>
      <c r="H1035" s="0" t="n">
        <f aca="false">_xlfn.xlookup(G1035, years!A$2:A$836, years!B$2:B$836)</f>
        <v>2007</v>
      </c>
      <c r="I1035" s="2" t="n">
        <v>62</v>
      </c>
      <c r="J1035" s="0" t="n">
        <v>0.607</v>
      </c>
      <c r="K1035" s="0" t="n">
        <v>0.599</v>
      </c>
      <c r="L1035" s="3" t="str">
        <f aca="false">IF(K1035&gt;0.66,"High",IF(K1035&gt;0.33&amp;K1035&lt;=0.66,"Medium","Low"))</f>
        <v>Low</v>
      </c>
      <c r="M1035" s="0" t="n">
        <v>-6.886</v>
      </c>
      <c r="N1035" s="3" t="n">
        <v>0.0995</v>
      </c>
      <c r="O1035" s="3" t="n">
        <v>0.33</v>
      </c>
      <c r="P1035" s="4" t="n">
        <v>0</v>
      </c>
      <c r="Q1035" s="3" t="n">
        <v>0.199</v>
      </c>
      <c r="R1035" s="3" t="n">
        <v>0.562</v>
      </c>
      <c r="S1035" s="3" t="str">
        <f aca="false">IF(R1035 &gt;= 0.5, "Positive", "Negative")</f>
        <v>Positive</v>
      </c>
      <c r="T1035" s="2" t="n">
        <v>86.491</v>
      </c>
      <c r="U1035" s="0" t="s">
        <v>31</v>
      </c>
    </row>
    <row r="1036" customFormat="false" ht="14.25" hidden="false" customHeight="false" outlineLevel="0" collapsed="false">
      <c r="A1036" s="0" t="n">
        <v>236</v>
      </c>
      <c r="B1036" s="0" t="str">
        <f aca="false">_xlfn.xlookup(A1036, artists!A$2:A$836, artists!B$2:B$836)</f>
        <v>Maroon 5</v>
      </c>
      <c r="C1036" s="1" t="s">
        <v>1072</v>
      </c>
      <c r="D1036" s="2" t="n">
        <v>211080</v>
      </c>
      <c r="E1036" s="2" t="n">
        <f aca="false">D1036/1000</f>
        <v>211.08</v>
      </c>
      <c r="F1036" s="10" t="b">
        <f aca="false">TRUE()</f>
        <v>1</v>
      </c>
      <c r="G1036" s="0" t="n">
        <v>10</v>
      </c>
      <c r="H1036" s="0" t="n">
        <f aca="false">_xlfn.xlookup(G1036, years!A$2:A$836, years!B$2:B$836)</f>
        <v>2007</v>
      </c>
      <c r="I1036" s="2" t="n">
        <v>62</v>
      </c>
      <c r="J1036" s="0" t="n">
        <v>0.803</v>
      </c>
      <c r="K1036" s="0" t="n">
        <v>0.851</v>
      </c>
      <c r="L1036" s="3" t="str">
        <f aca="false">IF(K1036&gt;0.66,"High",IF(K1036&gt;0.33&amp;K1036&lt;=0.66,"Medium","Low"))</f>
        <v>High</v>
      </c>
      <c r="M1036" s="0" t="n">
        <v>-2.429</v>
      </c>
      <c r="N1036" s="3" t="n">
        <v>0.0357</v>
      </c>
      <c r="O1036" s="3" t="n">
        <v>0.00485</v>
      </c>
      <c r="P1036" s="4" t="n">
        <v>0.000358</v>
      </c>
      <c r="Q1036" s="3" t="n">
        <v>0.0577</v>
      </c>
      <c r="R1036" s="3" t="n">
        <v>0.881</v>
      </c>
      <c r="S1036" s="3" t="str">
        <f aca="false">IF(R1036 &gt;= 0.5, "Positive", "Negative")</f>
        <v>Positive</v>
      </c>
      <c r="T1036" s="2" t="n">
        <v>113.996</v>
      </c>
      <c r="U1036" s="0" t="s">
        <v>39</v>
      </c>
    </row>
    <row r="1037" customFormat="false" ht="14.25" hidden="false" customHeight="false" outlineLevel="0" collapsed="false">
      <c r="A1037" s="0" t="n">
        <v>680</v>
      </c>
      <c r="B1037" s="0" t="str">
        <f aca="false">_xlfn.xlookup(A1037, artists!A$2:A$836, artists!B$2:B$836)</f>
        <v>Jonas Blue</v>
      </c>
      <c r="C1037" s="1" t="s">
        <v>1073</v>
      </c>
      <c r="D1037" s="2" t="n">
        <v>181614</v>
      </c>
      <c r="E1037" s="2" t="n">
        <f aca="false">D1037/1000</f>
        <v>181.614</v>
      </c>
      <c r="F1037" s="10" t="b">
        <f aca="false">FALSE()</f>
        <v>0</v>
      </c>
      <c r="G1037" s="0" t="n">
        <v>20</v>
      </c>
      <c r="H1037" s="0" t="n">
        <f aca="false">_xlfn.xlookup(G1037, years!A$2:A$836, years!B$2:B$836)</f>
        <v>2017</v>
      </c>
      <c r="I1037" s="2" t="n">
        <v>51</v>
      </c>
      <c r="J1037" s="0" t="n">
        <v>0.739</v>
      </c>
      <c r="K1037" s="0" t="n">
        <v>0.792</v>
      </c>
      <c r="L1037" s="3" t="str">
        <f aca="false">IF(K1037&gt;0.66,"High",IF(K1037&gt;0.33&amp;K1037&lt;=0.66,"Medium","Low"))</f>
        <v>High</v>
      </c>
      <c r="M1037" s="0" t="n">
        <v>-4.256</v>
      </c>
      <c r="N1037" s="3" t="n">
        <v>0.0418</v>
      </c>
      <c r="O1037" s="3" t="n">
        <v>0.091</v>
      </c>
      <c r="P1037" s="4" t="n">
        <v>0</v>
      </c>
      <c r="Q1037" s="3" t="n">
        <v>0.0516</v>
      </c>
      <c r="R1037" s="3" t="n">
        <v>0.547</v>
      </c>
      <c r="S1037" s="3" t="str">
        <f aca="false">IF(R1037 &gt;= 0.5, "Positive", "Negative")</f>
        <v>Positive</v>
      </c>
      <c r="T1037" s="2" t="n">
        <v>104.016</v>
      </c>
      <c r="U1037" s="0" t="s">
        <v>22</v>
      </c>
    </row>
    <row r="1038" customFormat="false" ht="14.25" hidden="false" customHeight="false" outlineLevel="0" collapsed="false">
      <c r="A1038" s="0" t="n">
        <v>451</v>
      </c>
      <c r="B1038" s="0" t="str">
        <f aca="false">_xlfn.xlookup(A1038, artists!A$2:A$836, artists!B$2:B$836)</f>
        <v>Pixie Lott</v>
      </c>
      <c r="C1038" s="1" t="s">
        <v>1074</v>
      </c>
      <c r="D1038" s="2" t="n">
        <v>196520</v>
      </c>
      <c r="E1038" s="2" t="n">
        <f aca="false">D1038/1000</f>
        <v>196.52</v>
      </c>
      <c r="F1038" s="10" t="b">
        <f aca="false">FALSE()</f>
        <v>0</v>
      </c>
      <c r="G1038" s="0" t="n">
        <v>12</v>
      </c>
      <c r="H1038" s="0" t="n">
        <f aca="false">_xlfn.xlookup(G1038, years!A$2:A$836, years!B$2:B$836)</f>
        <v>2009</v>
      </c>
      <c r="I1038" s="2" t="n">
        <v>54</v>
      </c>
      <c r="J1038" s="0" t="n">
        <v>0.451</v>
      </c>
      <c r="K1038" s="0" t="n">
        <v>0.873</v>
      </c>
      <c r="L1038" s="3" t="str">
        <f aca="false">IF(K1038&gt;0.66,"High",IF(K1038&gt;0.33&amp;K1038&lt;=0.66,"Medium","Low"))</f>
        <v>High</v>
      </c>
      <c r="M1038" s="0" t="n">
        <v>-4.711</v>
      </c>
      <c r="N1038" s="3" t="n">
        <v>0.19</v>
      </c>
      <c r="O1038" s="3" t="n">
        <v>0.171</v>
      </c>
      <c r="P1038" s="4" t="n">
        <v>0</v>
      </c>
      <c r="Q1038" s="3" t="n">
        <v>0.327</v>
      </c>
      <c r="R1038" s="3" t="n">
        <v>0.589</v>
      </c>
      <c r="S1038" s="3" t="str">
        <f aca="false">IF(R1038 &gt;= 0.5, "Positive", "Negative")</f>
        <v>Positive</v>
      </c>
      <c r="T1038" s="2" t="n">
        <v>119.918</v>
      </c>
      <c r="U1038" s="0" t="s">
        <v>22</v>
      </c>
    </row>
    <row r="1039" customFormat="false" ht="14.25" hidden="false" customHeight="false" outlineLevel="0" collapsed="false">
      <c r="A1039" s="0" t="n">
        <v>283</v>
      </c>
      <c r="B1039" s="0" t="str">
        <f aca="false">_xlfn.xlookup(A1039, artists!A$2:A$836, artists!B$2:B$836)</f>
        <v>Rihanna</v>
      </c>
      <c r="C1039" s="1" t="s">
        <v>1075</v>
      </c>
      <c r="D1039" s="2" t="n">
        <v>267000</v>
      </c>
      <c r="E1039" s="2" t="n">
        <f aca="false">D1039/1000</f>
        <v>267</v>
      </c>
      <c r="F1039" s="10" t="b">
        <f aca="false">TRUE()</f>
        <v>1</v>
      </c>
      <c r="G1039" s="0" t="n">
        <v>13</v>
      </c>
      <c r="H1039" s="0" t="n">
        <f aca="false">_xlfn.xlookup(G1039, years!A$2:A$836, years!B$2:B$836)</f>
        <v>2010</v>
      </c>
      <c r="I1039" s="2" t="n">
        <v>68</v>
      </c>
      <c r="J1039" s="0" t="n">
        <v>0.47</v>
      </c>
      <c r="K1039" s="0" t="n">
        <v>0.904</v>
      </c>
      <c r="L1039" s="3" t="str">
        <f aca="false">IF(K1039&gt;0.66,"High",IF(K1039&gt;0.33&amp;K1039&lt;=0.66,"Medium","Low"))</f>
        <v>High</v>
      </c>
      <c r="M1039" s="0" t="n">
        <v>-4.024</v>
      </c>
      <c r="N1039" s="3" t="n">
        <v>0.177</v>
      </c>
      <c r="O1039" s="3" t="n">
        <v>0.0436</v>
      </c>
      <c r="P1039" s="4" t="n">
        <v>0</v>
      </c>
      <c r="Q1039" s="3" t="n">
        <v>0.0491</v>
      </c>
      <c r="R1039" s="3" t="n">
        <v>0.557</v>
      </c>
      <c r="S1039" s="3" t="str">
        <f aca="false">IF(R1039 &gt;= 0.5, "Positive", "Negative")</f>
        <v>Positive</v>
      </c>
      <c r="T1039" s="2" t="n">
        <v>155.788</v>
      </c>
      <c r="U1039" s="0" t="s">
        <v>31</v>
      </c>
    </row>
    <row r="1040" customFormat="false" ht="14.25" hidden="false" customHeight="false" outlineLevel="0" collapsed="false">
      <c r="A1040" s="0" t="n">
        <v>554</v>
      </c>
      <c r="B1040" s="0" t="str">
        <f aca="false">_xlfn.xlookup(A1040, artists!A$2:A$836, artists!B$2:B$836)</f>
        <v>ScHoolboy Q</v>
      </c>
      <c r="C1040" s="1" t="s">
        <v>1076</v>
      </c>
      <c r="D1040" s="2" t="n">
        <v>216013</v>
      </c>
      <c r="E1040" s="2" t="n">
        <f aca="false">D1040/1000</f>
        <v>216.013</v>
      </c>
      <c r="F1040" s="10" t="b">
        <f aca="false">TRUE()</f>
        <v>1</v>
      </c>
      <c r="G1040" s="0" t="n">
        <v>17</v>
      </c>
      <c r="H1040" s="0" t="n">
        <f aca="false">_xlfn.xlookup(G1040, years!A$2:A$836, years!B$2:B$836)</f>
        <v>2014</v>
      </c>
      <c r="I1040" s="2" t="n">
        <v>0</v>
      </c>
      <c r="J1040" s="0" t="n">
        <v>0.743</v>
      </c>
      <c r="K1040" s="0" t="n">
        <v>0.861</v>
      </c>
      <c r="L1040" s="3" t="str">
        <f aca="false">IF(K1040&gt;0.66,"High",IF(K1040&gt;0.33&amp;K1040&lt;=0.66,"Medium","Low"))</f>
        <v>High</v>
      </c>
      <c r="M1040" s="0" t="n">
        <v>-5.234</v>
      </c>
      <c r="N1040" s="3" t="n">
        <v>0.0428</v>
      </c>
      <c r="O1040" s="3" t="n">
        <v>0.00518</v>
      </c>
      <c r="P1040" s="4" t="n">
        <v>0</v>
      </c>
      <c r="Q1040" s="3" t="n">
        <v>0.181</v>
      </c>
      <c r="R1040" s="3" t="n">
        <v>0.391</v>
      </c>
      <c r="S1040" s="3" t="str">
        <f aca="false">IF(R1040 &gt;= 0.5, "Positive", "Negative")</f>
        <v>Negative</v>
      </c>
      <c r="T1040" s="2" t="n">
        <v>111.959</v>
      </c>
      <c r="U1040" s="0" t="s">
        <v>24</v>
      </c>
    </row>
    <row r="1041" customFormat="false" ht="14.25" hidden="false" customHeight="false" outlineLevel="0" collapsed="false">
      <c r="A1041" s="0" t="n">
        <v>71</v>
      </c>
      <c r="B1041" s="0" t="str">
        <f aca="false">_xlfn.xlookup(A1041, artists!A$2:A$836, artists!B$2:B$836)</f>
        <v>Westlife</v>
      </c>
      <c r="C1041" s="1" t="s">
        <v>1077</v>
      </c>
      <c r="D1041" s="2" t="n">
        <v>199320</v>
      </c>
      <c r="E1041" s="2" t="n">
        <f aca="false">D1041/1000</f>
        <v>199.32</v>
      </c>
      <c r="F1041" s="10" t="b">
        <f aca="false">FALSE()</f>
        <v>0</v>
      </c>
      <c r="G1041" s="0" t="n">
        <v>6</v>
      </c>
      <c r="H1041" s="0" t="n">
        <f aca="false">_xlfn.xlookup(G1041, years!A$2:A$836, years!B$2:B$836)</f>
        <v>2003</v>
      </c>
      <c r="I1041" s="2" t="n">
        <v>57</v>
      </c>
      <c r="J1041" s="0" t="n">
        <v>0.447</v>
      </c>
      <c r="K1041" s="0" t="n">
        <v>0.636</v>
      </c>
      <c r="L1041" s="3" t="str">
        <f aca="false">IF(K1041&gt;0.66,"High",IF(K1041&gt;0.33&amp;K1041&lt;=0.66,"Medium","Low"))</f>
        <v>Low</v>
      </c>
      <c r="M1041" s="0" t="n">
        <v>-5.08</v>
      </c>
      <c r="N1041" s="3" t="n">
        <v>0.0278</v>
      </c>
      <c r="O1041" s="3" t="n">
        <v>0.254</v>
      </c>
      <c r="P1041" s="4" t="n">
        <v>9.25E-005</v>
      </c>
      <c r="Q1041" s="3" t="n">
        <v>0.11</v>
      </c>
      <c r="R1041" s="3" t="n">
        <v>0.376</v>
      </c>
      <c r="S1041" s="3" t="str">
        <f aca="false">IF(R1041 &gt;= 0.5, "Positive", "Negative")</f>
        <v>Negative</v>
      </c>
      <c r="T1041" s="2" t="n">
        <v>105.678</v>
      </c>
      <c r="U1041" s="0" t="s">
        <v>39</v>
      </c>
    </row>
    <row r="1042" customFormat="false" ht="14.25" hidden="false" customHeight="false" outlineLevel="0" collapsed="false">
      <c r="A1042" s="0" t="n">
        <v>83</v>
      </c>
      <c r="B1042" s="0" t="str">
        <f aca="false">_xlfn.xlookup(A1042, artists!A$2:A$836, artists!B$2:B$836)</f>
        <v>Nelly Furtado</v>
      </c>
      <c r="C1042" s="1" t="s">
        <v>1078</v>
      </c>
      <c r="D1042" s="2" t="n">
        <v>258893</v>
      </c>
      <c r="E1042" s="2" t="n">
        <f aca="false">D1042/1000</f>
        <v>258.893</v>
      </c>
      <c r="F1042" s="10" t="b">
        <f aca="false">FALSE()</f>
        <v>0</v>
      </c>
      <c r="G1042" s="0" t="n">
        <v>9</v>
      </c>
      <c r="H1042" s="0" t="n">
        <f aca="false">_xlfn.xlookup(G1042, years!A$2:A$836, years!B$2:B$836)</f>
        <v>2006</v>
      </c>
      <c r="I1042" s="2" t="n">
        <v>79</v>
      </c>
      <c r="J1042" s="0" t="n">
        <v>0.796</v>
      </c>
      <c r="K1042" s="0" t="n">
        <v>0.777</v>
      </c>
      <c r="L1042" s="3" t="str">
        <f aca="false">IF(K1042&gt;0.66,"High",IF(K1042&gt;0.33&amp;K1042&lt;=0.66,"Medium","Low"))</f>
        <v>High</v>
      </c>
      <c r="M1042" s="0" t="n">
        <v>-4.81</v>
      </c>
      <c r="N1042" s="3" t="n">
        <v>0.0397</v>
      </c>
      <c r="O1042" s="3" t="n">
        <v>0.0261</v>
      </c>
      <c r="P1042" s="4" t="n">
        <v>0.000358</v>
      </c>
      <c r="Q1042" s="3" t="n">
        <v>0.121</v>
      </c>
      <c r="R1042" s="3" t="n">
        <v>0.787</v>
      </c>
      <c r="S1042" s="3" t="str">
        <f aca="false">IF(R1042 &gt;= 0.5, "Positive", "Negative")</f>
        <v>Positive</v>
      </c>
      <c r="T1042" s="2" t="n">
        <v>132.722</v>
      </c>
      <c r="U1042" s="0" t="s">
        <v>483</v>
      </c>
    </row>
    <row r="1043" customFormat="false" ht="14.25" hidden="false" customHeight="false" outlineLevel="0" collapsed="false">
      <c r="A1043" s="0" t="n">
        <v>299</v>
      </c>
      <c r="B1043" s="0" t="str">
        <f aca="false">_xlfn.xlookup(A1043, artists!A$2:A$836, artists!B$2:B$836)</f>
        <v>Bobby V.</v>
      </c>
      <c r="C1043" s="1" t="s">
        <v>1079</v>
      </c>
      <c r="D1043" s="2" t="n">
        <v>258666</v>
      </c>
      <c r="E1043" s="2" t="n">
        <f aca="false">D1043/1000</f>
        <v>258.666</v>
      </c>
      <c r="F1043" s="10" t="b">
        <f aca="false">FALSE()</f>
        <v>0</v>
      </c>
      <c r="G1043" s="0" t="n">
        <v>8</v>
      </c>
      <c r="H1043" s="0" t="n">
        <f aca="false">_xlfn.xlookup(G1043, years!A$2:A$836, years!B$2:B$836)</f>
        <v>2005</v>
      </c>
      <c r="I1043" s="2" t="n">
        <v>65</v>
      </c>
      <c r="J1043" s="0" t="n">
        <v>0.568</v>
      </c>
      <c r="K1043" s="0" t="n">
        <v>0.732</v>
      </c>
      <c r="L1043" s="3" t="str">
        <f aca="false">IF(K1043&gt;0.66,"High",IF(K1043&gt;0.33&amp;K1043&lt;=0.66,"Medium","Low"))</f>
        <v>High</v>
      </c>
      <c r="M1043" s="0" t="n">
        <v>-4.896</v>
      </c>
      <c r="N1043" s="3" t="n">
        <v>0.103</v>
      </c>
      <c r="O1043" s="3" t="n">
        <v>0.179</v>
      </c>
      <c r="P1043" s="4" t="n">
        <v>4.92E-006</v>
      </c>
      <c r="Q1043" s="3" t="n">
        <v>0.401</v>
      </c>
      <c r="R1043" s="3" t="n">
        <v>0.626</v>
      </c>
      <c r="S1043" s="3" t="str">
        <f aca="false">IF(R1043 &gt;= 0.5, "Positive", "Negative")</f>
        <v>Positive</v>
      </c>
      <c r="T1043" s="2" t="n">
        <v>186.048</v>
      </c>
      <c r="U1043" s="0" t="s">
        <v>31</v>
      </c>
    </row>
    <row r="1044" customFormat="false" ht="14.25" hidden="false" customHeight="false" outlineLevel="0" collapsed="false">
      <c r="A1044" s="0" t="n">
        <v>236</v>
      </c>
      <c r="B1044" s="0" t="str">
        <f aca="false">_xlfn.xlookup(A1044, artists!A$2:A$836, artists!B$2:B$836)</f>
        <v>Maroon 5</v>
      </c>
      <c r="C1044" s="1" t="s">
        <v>1080</v>
      </c>
      <c r="D1044" s="2" t="n">
        <v>189840</v>
      </c>
      <c r="E1044" s="2" t="n">
        <f aca="false">D1044/1000</f>
        <v>189.84</v>
      </c>
      <c r="F1044" s="10" t="b">
        <f aca="false">FALSE()</f>
        <v>0</v>
      </c>
      <c r="G1044" s="0" t="n">
        <v>17</v>
      </c>
      <c r="H1044" s="0" t="n">
        <f aca="false">_xlfn.xlookup(G1044, years!A$2:A$836, years!B$2:B$836)</f>
        <v>2014</v>
      </c>
      <c r="I1044" s="2" t="n">
        <v>0</v>
      </c>
      <c r="J1044" s="0" t="n">
        <v>0.737</v>
      </c>
      <c r="K1044" s="0" t="n">
        <v>0.723</v>
      </c>
      <c r="L1044" s="3" t="str">
        <f aca="false">IF(K1044&gt;0.66,"High",IF(K1044&gt;0.33&amp;K1044&lt;=0.66,"Medium","Low"))</f>
        <v>High</v>
      </c>
      <c r="M1044" s="0" t="n">
        <v>-5.51</v>
      </c>
      <c r="N1044" s="3" t="n">
        <v>0.0295</v>
      </c>
      <c r="O1044" s="3" t="n">
        <v>0.0179</v>
      </c>
      <c r="P1044" s="4" t="n">
        <v>0</v>
      </c>
      <c r="Q1044" s="3" t="n">
        <v>0.0675</v>
      </c>
      <c r="R1044" s="3" t="n">
        <v>0.893</v>
      </c>
      <c r="S1044" s="3" t="str">
        <f aca="false">IF(R1044 &gt;= 0.5, "Positive", "Negative")</f>
        <v>Positive</v>
      </c>
      <c r="T1044" s="2" t="n">
        <v>120.003</v>
      </c>
      <c r="U1044" s="0" t="s">
        <v>39</v>
      </c>
    </row>
    <row r="1045" customFormat="false" ht="14.25" hidden="false" customHeight="false" outlineLevel="0" collapsed="false">
      <c r="A1045" s="0" t="n">
        <v>60</v>
      </c>
      <c r="B1045" s="0" t="str">
        <f aca="false">_xlfn.xlookup(A1045, artists!A$2:A$836, artists!B$2:B$836)</f>
        <v>Santana</v>
      </c>
      <c r="C1045" s="1" t="s">
        <v>1081</v>
      </c>
      <c r="D1045" s="2" t="n">
        <v>261973</v>
      </c>
      <c r="E1045" s="2" t="n">
        <f aca="false">D1045/1000</f>
        <v>261.973</v>
      </c>
      <c r="F1045" s="10" t="b">
        <f aca="false">FALSE()</f>
        <v>0</v>
      </c>
      <c r="G1045" s="0" t="n">
        <v>2</v>
      </c>
      <c r="H1045" s="0" t="n">
        <f aca="false">_xlfn.xlookup(G1045, years!A$2:A$836, years!B$2:B$836)</f>
        <v>1999</v>
      </c>
      <c r="I1045" s="2" t="n">
        <v>66</v>
      </c>
      <c r="J1045" s="0" t="n">
        <v>0.777</v>
      </c>
      <c r="K1045" s="0" t="n">
        <v>0.601</v>
      </c>
      <c r="L1045" s="3" t="str">
        <f aca="false">IF(K1045&gt;0.66,"High",IF(K1045&gt;0.33&amp;K1045&lt;=0.66,"Medium","Low"))</f>
        <v>Low</v>
      </c>
      <c r="M1045" s="0" t="n">
        <v>-5.931</v>
      </c>
      <c r="N1045" s="3" t="n">
        <v>0.126</v>
      </c>
      <c r="O1045" s="3" t="n">
        <v>0.0406</v>
      </c>
      <c r="P1045" s="4" t="n">
        <v>0.00201</v>
      </c>
      <c r="Q1045" s="3" t="n">
        <v>0.0348</v>
      </c>
      <c r="R1045" s="3" t="n">
        <v>0.68</v>
      </c>
      <c r="S1045" s="3" t="str">
        <f aca="false">IF(R1045 &gt;= 0.5, "Positive", "Negative")</f>
        <v>Positive</v>
      </c>
      <c r="T1045" s="2" t="n">
        <v>97.911</v>
      </c>
      <c r="U1045" s="0" t="s">
        <v>874</v>
      </c>
    </row>
    <row r="1046" customFormat="false" ht="14.25" hidden="false" customHeight="false" outlineLevel="0" collapsed="false">
      <c r="A1046" s="0" t="n">
        <v>469</v>
      </c>
      <c r="B1046" s="0" t="str">
        <f aca="false">_xlfn.xlookup(A1046, artists!A$2:A$836, artists!B$2:B$836)</f>
        <v>Bruno Mars</v>
      </c>
      <c r="C1046" s="1" t="s">
        <v>1082</v>
      </c>
      <c r="D1046" s="2" t="n">
        <v>230192</v>
      </c>
      <c r="E1046" s="2" t="n">
        <f aca="false">D1046/1000</f>
        <v>230.192</v>
      </c>
      <c r="F1046" s="10" t="b">
        <f aca="false">FALSE()</f>
        <v>0</v>
      </c>
      <c r="G1046" s="0" t="n">
        <v>13</v>
      </c>
      <c r="H1046" s="0" t="n">
        <f aca="false">_xlfn.xlookup(G1046, years!A$2:A$836, years!B$2:B$836)</f>
        <v>2010</v>
      </c>
      <c r="I1046" s="2" t="n">
        <v>75</v>
      </c>
      <c r="J1046" s="0" t="n">
        <v>0.621</v>
      </c>
      <c r="K1046" s="0" t="n">
        <v>0.82</v>
      </c>
      <c r="L1046" s="3" t="str">
        <f aca="false">IF(K1046&gt;0.66,"High",IF(K1046&gt;0.33&amp;K1046&lt;=0.66,"Medium","Low"))</f>
        <v>High</v>
      </c>
      <c r="M1046" s="0" t="n">
        <v>-4.865</v>
      </c>
      <c r="N1046" s="3" t="n">
        <v>0.0367</v>
      </c>
      <c r="O1046" s="3" t="n">
        <v>0.332</v>
      </c>
      <c r="P1046" s="4" t="n">
        <v>0</v>
      </c>
      <c r="Q1046" s="3" t="n">
        <v>0.104</v>
      </c>
      <c r="R1046" s="3" t="n">
        <v>0.452</v>
      </c>
      <c r="S1046" s="3" t="str">
        <f aca="false">IF(R1046 &gt;= 0.5, "Positive", "Negative")</f>
        <v>Negative</v>
      </c>
      <c r="T1046" s="2" t="n">
        <v>144.905</v>
      </c>
      <c r="U1046" s="0" t="s">
        <v>39</v>
      </c>
    </row>
    <row r="1047" customFormat="false" ht="14.25" hidden="false" customHeight="false" outlineLevel="0" collapsed="false">
      <c r="A1047" s="0" t="n">
        <v>689</v>
      </c>
      <c r="B1047" s="0" t="str">
        <f aca="false">_xlfn.xlookup(A1047, artists!A$2:A$836, artists!B$2:B$836)</f>
        <v>Future</v>
      </c>
      <c r="C1047" s="1" t="s">
        <v>1083</v>
      </c>
      <c r="D1047" s="2" t="n">
        <v>204600</v>
      </c>
      <c r="E1047" s="2" t="n">
        <f aca="false">D1047/1000</f>
        <v>204.6</v>
      </c>
      <c r="F1047" s="10" t="b">
        <f aca="false">TRUE()</f>
        <v>1</v>
      </c>
      <c r="G1047" s="0" t="n">
        <v>20</v>
      </c>
      <c r="H1047" s="0" t="n">
        <f aca="false">_xlfn.xlookup(G1047, years!A$2:A$836, years!B$2:B$836)</f>
        <v>2017</v>
      </c>
      <c r="I1047" s="2" t="n">
        <v>79</v>
      </c>
      <c r="J1047" s="0" t="n">
        <v>0.833</v>
      </c>
      <c r="K1047" s="0" t="n">
        <v>0.434</v>
      </c>
      <c r="L1047" s="3" t="str">
        <f aca="false">IF(K1047&gt;0.66,"High",IF(K1047&gt;0.33&amp;K1047&lt;=0.66,"Medium","Low"))</f>
        <v>Low</v>
      </c>
      <c r="M1047" s="0" t="n">
        <v>-8.795</v>
      </c>
      <c r="N1047" s="3" t="n">
        <v>0.431</v>
      </c>
      <c r="O1047" s="3" t="n">
        <v>0.0102</v>
      </c>
      <c r="P1047" s="4" t="n">
        <v>0.0219</v>
      </c>
      <c r="Q1047" s="3" t="n">
        <v>0.165</v>
      </c>
      <c r="R1047" s="3" t="n">
        <v>0.281</v>
      </c>
      <c r="S1047" s="3" t="str">
        <f aca="false">IF(R1047 &gt;= 0.5, "Positive", "Negative")</f>
        <v>Negative</v>
      </c>
      <c r="T1047" s="2" t="n">
        <v>150.062</v>
      </c>
      <c r="U1047" s="0" t="s">
        <v>24</v>
      </c>
    </row>
    <row r="1048" customFormat="false" ht="14.25" hidden="false" customHeight="false" outlineLevel="0" collapsed="false">
      <c r="A1048" s="0" t="n">
        <v>325</v>
      </c>
      <c r="B1048" s="0" t="str">
        <f aca="false">_xlfn.xlookup(A1048, artists!A$2:A$836, artists!B$2:B$836)</f>
        <v>Cassie</v>
      </c>
      <c r="C1048" s="1" t="s">
        <v>1084</v>
      </c>
      <c r="D1048" s="2" t="n">
        <v>192213</v>
      </c>
      <c r="E1048" s="2" t="n">
        <f aca="false">D1048/1000</f>
        <v>192.213</v>
      </c>
      <c r="F1048" s="10" t="b">
        <f aca="false">FALSE()</f>
        <v>0</v>
      </c>
      <c r="G1048" s="0" t="n">
        <v>9</v>
      </c>
      <c r="H1048" s="0" t="n">
        <f aca="false">_xlfn.xlookup(G1048, years!A$2:A$836, years!B$2:B$836)</f>
        <v>2006</v>
      </c>
      <c r="I1048" s="2" t="n">
        <v>73</v>
      </c>
      <c r="J1048" s="0" t="n">
        <v>0.803</v>
      </c>
      <c r="K1048" s="0" t="n">
        <v>0.454</v>
      </c>
      <c r="L1048" s="3" t="str">
        <f aca="false">IF(K1048&gt;0.66,"High",IF(K1048&gt;0.33&amp;K1048&lt;=0.66,"Medium","Low"))</f>
        <v>Low</v>
      </c>
      <c r="M1048" s="0" t="n">
        <v>-4.802</v>
      </c>
      <c r="N1048" s="3" t="n">
        <v>0.0294</v>
      </c>
      <c r="O1048" s="3" t="n">
        <v>0.352</v>
      </c>
      <c r="P1048" s="4" t="n">
        <v>0</v>
      </c>
      <c r="Q1048" s="3" t="n">
        <v>0.0655</v>
      </c>
      <c r="R1048" s="3" t="n">
        <v>0.739</v>
      </c>
      <c r="S1048" s="3" t="str">
        <f aca="false">IF(R1048 &gt;= 0.5, "Positive", "Negative")</f>
        <v>Positive</v>
      </c>
      <c r="T1048" s="2" t="n">
        <v>99.99</v>
      </c>
      <c r="U1048" s="0" t="s">
        <v>33</v>
      </c>
    </row>
    <row r="1049" customFormat="false" ht="14.25" hidden="false" customHeight="false" outlineLevel="0" collapsed="false">
      <c r="A1049" s="0" t="n">
        <v>592</v>
      </c>
      <c r="B1049" s="0" t="str">
        <f aca="false">_xlfn.xlookup(A1049, artists!A$2:A$836, artists!B$2:B$836)</f>
        <v>Bastille</v>
      </c>
      <c r="C1049" s="1" t="s">
        <v>1085</v>
      </c>
      <c r="D1049" s="2" t="n">
        <v>206493</v>
      </c>
      <c r="E1049" s="2" t="n">
        <f aca="false">D1049/1000</f>
        <v>206.493</v>
      </c>
      <c r="F1049" s="10" t="b">
        <f aca="false">FALSE()</f>
        <v>0</v>
      </c>
      <c r="G1049" s="0" t="n">
        <v>19</v>
      </c>
      <c r="H1049" s="0" t="n">
        <f aca="false">_xlfn.xlookup(G1049, years!A$2:A$836, years!B$2:B$836)</f>
        <v>2016</v>
      </c>
      <c r="I1049" s="2" t="n">
        <v>65</v>
      </c>
      <c r="J1049" s="0" t="n">
        <v>0.73</v>
      </c>
      <c r="K1049" s="0" t="n">
        <v>0.758</v>
      </c>
      <c r="L1049" s="3" t="str">
        <f aca="false">IF(K1049&gt;0.66,"High",IF(K1049&gt;0.33&amp;K1049&lt;=0.66,"Medium","Low"))</f>
        <v>High</v>
      </c>
      <c r="M1049" s="0" t="n">
        <v>-4.888</v>
      </c>
      <c r="N1049" s="3" t="n">
        <v>0.0653</v>
      </c>
      <c r="O1049" s="3" t="n">
        <v>0.147</v>
      </c>
      <c r="P1049" s="4" t="n">
        <v>0</v>
      </c>
      <c r="Q1049" s="3" t="n">
        <v>0.311</v>
      </c>
      <c r="R1049" s="3" t="n">
        <v>0.877</v>
      </c>
      <c r="S1049" s="3" t="str">
        <f aca="false">IF(R1049 &gt;= 0.5, "Positive", "Negative")</f>
        <v>Positive</v>
      </c>
      <c r="T1049" s="2" t="n">
        <v>120.041</v>
      </c>
      <c r="U1049" s="0" t="s">
        <v>210</v>
      </c>
    </row>
    <row r="1050" customFormat="false" ht="14.25" hidden="false" customHeight="false" outlineLevel="0" collapsed="false">
      <c r="A1050" s="0" t="n">
        <v>620</v>
      </c>
      <c r="B1050" s="0" t="str">
        <f aca="false">_xlfn.xlookup(A1050, artists!A$2:A$836, artists!B$2:B$836)</f>
        <v>Rixton</v>
      </c>
      <c r="C1050" s="1" t="s">
        <v>1086</v>
      </c>
      <c r="D1050" s="2" t="n">
        <v>193733</v>
      </c>
      <c r="E1050" s="2" t="n">
        <f aca="false">D1050/1000</f>
        <v>193.733</v>
      </c>
      <c r="F1050" s="10" t="b">
        <f aca="false">FALSE()</f>
        <v>0</v>
      </c>
      <c r="G1050" s="0" t="n">
        <v>17</v>
      </c>
      <c r="H1050" s="0" t="n">
        <f aca="false">_xlfn.xlookup(G1050, years!A$2:A$836, years!B$2:B$836)</f>
        <v>2014</v>
      </c>
      <c r="I1050" s="2" t="n">
        <v>77</v>
      </c>
      <c r="J1050" s="0" t="n">
        <v>0.545</v>
      </c>
      <c r="K1050" s="0" t="n">
        <v>0.783</v>
      </c>
      <c r="L1050" s="3" t="str">
        <f aca="false">IF(K1050&gt;0.66,"High",IF(K1050&gt;0.33&amp;K1050&lt;=0.66,"Medium","Low"))</f>
        <v>High</v>
      </c>
      <c r="M1050" s="0" t="n">
        <v>-4.261</v>
      </c>
      <c r="N1050" s="3" t="n">
        <v>0.0345</v>
      </c>
      <c r="O1050" s="3" t="n">
        <v>0.00489</v>
      </c>
      <c r="P1050" s="4" t="n">
        <v>0</v>
      </c>
      <c r="Q1050" s="3" t="n">
        <v>0.132</v>
      </c>
      <c r="R1050" s="3" t="n">
        <v>0.551</v>
      </c>
      <c r="S1050" s="3" t="str">
        <f aca="false">IF(R1050 &gt;= 0.5, "Positive", "Negative")</f>
        <v>Positive</v>
      </c>
      <c r="T1050" s="2" t="n">
        <v>174.084</v>
      </c>
      <c r="U1050" s="0" t="s">
        <v>39</v>
      </c>
    </row>
    <row r="1051" customFormat="false" ht="14.25" hidden="false" customHeight="false" outlineLevel="0" collapsed="false">
      <c r="A1051" s="0" t="n">
        <v>724</v>
      </c>
      <c r="B1051" s="0" t="str">
        <f aca="false">_xlfn.xlookup(A1051, artists!A$2:A$836, artists!B$2:B$836)</f>
        <v>French Montana</v>
      </c>
      <c r="C1051" s="1" t="s">
        <v>1087</v>
      </c>
      <c r="D1051" s="2" t="n">
        <v>233901</v>
      </c>
      <c r="E1051" s="2" t="n">
        <f aca="false">D1051/1000</f>
        <v>233.901</v>
      </c>
      <c r="F1051" s="10" t="b">
        <f aca="false">TRUE()</f>
        <v>1</v>
      </c>
      <c r="G1051" s="0" t="n">
        <v>20</v>
      </c>
      <c r="H1051" s="0" t="n">
        <f aca="false">_xlfn.xlookup(G1051, years!A$2:A$836, years!B$2:B$836)</f>
        <v>2017</v>
      </c>
      <c r="I1051" s="2" t="n">
        <v>82</v>
      </c>
      <c r="J1051" s="0" t="n">
        <v>0.726</v>
      </c>
      <c r="K1051" s="0" t="n">
        <v>0.769</v>
      </c>
      <c r="L1051" s="3" t="str">
        <f aca="false">IF(K1051&gt;0.66,"High",IF(K1051&gt;0.33&amp;K1051&lt;=0.66,"Medium","Low"))</f>
        <v>High</v>
      </c>
      <c r="M1051" s="0" t="n">
        <v>-5.043</v>
      </c>
      <c r="N1051" s="3" t="n">
        <v>0.123</v>
      </c>
      <c r="O1051" s="3" t="n">
        <v>0.0293</v>
      </c>
      <c r="P1051" s="4" t="n">
        <v>0.0101</v>
      </c>
      <c r="Q1051" s="3" t="n">
        <v>0.104</v>
      </c>
      <c r="R1051" s="3" t="n">
        <v>0.733</v>
      </c>
      <c r="S1051" s="3" t="str">
        <f aca="false">IF(R1051 &gt;= 0.5, "Positive", "Negative")</f>
        <v>Positive</v>
      </c>
      <c r="T1051" s="2" t="n">
        <v>97.985</v>
      </c>
      <c r="U1051" s="0" t="s">
        <v>24</v>
      </c>
    </row>
    <row r="1052" customFormat="false" ht="14.25" hidden="false" customHeight="false" outlineLevel="0" collapsed="false">
      <c r="A1052" s="0" t="n">
        <v>372</v>
      </c>
      <c r="B1052" s="0" t="str">
        <f aca="false">_xlfn.xlookup(A1052, artists!A$2:A$836, artists!B$2:B$836)</f>
        <v>Calvin Harris</v>
      </c>
      <c r="C1052" s="1" t="s">
        <v>1088</v>
      </c>
      <c r="D1052" s="2" t="n">
        <v>223413</v>
      </c>
      <c r="E1052" s="2" t="n">
        <f aca="false">D1052/1000</f>
        <v>223.413</v>
      </c>
      <c r="F1052" s="10" t="b">
        <f aca="false">TRUE()</f>
        <v>1</v>
      </c>
      <c r="G1052" s="0" t="n">
        <v>20</v>
      </c>
      <c r="H1052" s="0" t="n">
        <f aca="false">_xlfn.xlookup(G1052, years!A$2:A$836, years!B$2:B$836)</f>
        <v>2017</v>
      </c>
      <c r="I1052" s="2" t="n">
        <v>79</v>
      </c>
      <c r="J1052" s="0" t="n">
        <v>0.893</v>
      </c>
      <c r="K1052" s="0" t="n">
        <v>0.745</v>
      </c>
      <c r="L1052" s="3" t="str">
        <f aca="false">IF(K1052&gt;0.66,"High",IF(K1052&gt;0.33&amp;K1052&lt;=0.66,"Medium","Low"))</f>
        <v>High</v>
      </c>
      <c r="M1052" s="0" t="n">
        <v>-3.105</v>
      </c>
      <c r="N1052" s="3" t="n">
        <v>0.0571</v>
      </c>
      <c r="O1052" s="3" t="n">
        <v>0.0642</v>
      </c>
      <c r="P1052" s="4" t="n">
        <v>0</v>
      </c>
      <c r="Q1052" s="3" t="n">
        <v>0.0943</v>
      </c>
      <c r="R1052" s="3" t="n">
        <v>0.872</v>
      </c>
      <c r="S1052" s="3" t="str">
        <f aca="false">IF(R1052 &gt;= 0.5, "Positive", "Negative")</f>
        <v>Positive</v>
      </c>
      <c r="T1052" s="2" t="n">
        <v>101.018</v>
      </c>
      <c r="U1052" s="0" t="s">
        <v>53</v>
      </c>
    </row>
    <row r="1053" customFormat="false" ht="14.25" hidden="false" customHeight="false" outlineLevel="0" collapsed="false">
      <c r="A1053" s="0" t="n">
        <v>469</v>
      </c>
      <c r="B1053" s="0" t="str">
        <f aca="false">_xlfn.xlookup(A1053, artists!A$2:A$836, artists!B$2:B$836)</f>
        <v>Bruno Mars</v>
      </c>
      <c r="C1053" s="1" t="s">
        <v>1089</v>
      </c>
      <c r="D1053" s="2" t="n">
        <v>217288</v>
      </c>
      <c r="E1053" s="2" t="n">
        <f aca="false">D1053/1000</f>
        <v>217.288</v>
      </c>
      <c r="F1053" s="10" t="b">
        <f aca="false">FALSE()</f>
        <v>0</v>
      </c>
      <c r="G1053" s="0" t="n">
        <v>20</v>
      </c>
      <c r="H1053" s="0" t="n">
        <f aca="false">_xlfn.xlookup(G1053, years!A$2:A$836, years!B$2:B$836)</f>
        <v>2017</v>
      </c>
      <c r="I1053" s="2" t="n">
        <v>74</v>
      </c>
      <c r="J1053" s="0" t="n">
        <v>0.704</v>
      </c>
      <c r="K1053" s="0" t="n">
        <v>0.859</v>
      </c>
      <c r="L1053" s="3" t="str">
        <f aca="false">IF(K1053&gt;0.66,"High",IF(K1053&gt;0.33&amp;K1053&lt;=0.66,"Medium","Low"))</f>
        <v>High</v>
      </c>
      <c r="M1053" s="0" t="n">
        <v>-4.877</v>
      </c>
      <c r="N1053" s="3" t="n">
        <v>0.0996</v>
      </c>
      <c r="O1053" s="3" t="n">
        <v>0.0185</v>
      </c>
      <c r="P1053" s="4" t="n">
        <v>0</v>
      </c>
      <c r="Q1053" s="3" t="n">
        <v>0.0215</v>
      </c>
      <c r="R1053" s="3" t="n">
        <v>0.926</v>
      </c>
      <c r="S1053" s="3" t="str">
        <f aca="false">IF(R1053 &gt;= 0.5, "Positive", "Negative")</f>
        <v>Positive</v>
      </c>
      <c r="T1053" s="2" t="n">
        <v>105.115</v>
      </c>
      <c r="U1053" s="0" t="s">
        <v>39</v>
      </c>
    </row>
    <row r="1054" customFormat="false" ht="14.25" hidden="false" customHeight="false" outlineLevel="0" collapsed="false">
      <c r="A1054" s="0" t="n">
        <v>231</v>
      </c>
      <c r="B1054" s="0" t="str">
        <f aca="false">_xlfn.xlookup(A1054, artists!A$2:A$836, artists!B$2:B$836)</f>
        <v>Switchfoot</v>
      </c>
      <c r="C1054" s="1" t="s">
        <v>1090</v>
      </c>
      <c r="D1054" s="2" t="n">
        <v>201373</v>
      </c>
      <c r="E1054" s="2" t="n">
        <f aca="false">D1054/1000</f>
        <v>201.373</v>
      </c>
      <c r="F1054" s="10" t="b">
        <f aca="false">FALSE()</f>
        <v>0</v>
      </c>
      <c r="G1054" s="0" t="n">
        <v>6</v>
      </c>
      <c r="H1054" s="0" t="n">
        <f aca="false">_xlfn.xlookup(G1054, years!A$2:A$836, years!B$2:B$836)</f>
        <v>2003</v>
      </c>
      <c r="I1054" s="2" t="n">
        <v>61</v>
      </c>
      <c r="J1054" s="0" t="n">
        <v>0.397</v>
      </c>
      <c r="K1054" s="0" t="n">
        <v>0.903</v>
      </c>
      <c r="L1054" s="3" t="str">
        <f aca="false">IF(K1054&gt;0.66,"High",IF(K1054&gt;0.33&amp;K1054&lt;=0.66,"Medium","Low"))</f>
        <v>High</v>
      </c>
      <c r="M1054" s="0" t="n">
        <v>-4.577</v>
      </c>
      <c r="N1054" s="3" t="n">
        <v>0.0457</v>
      </c>
      <c r="O1054" s="3" t="n">
        <v>0.00575</v>
      </c>
      <c r="P1054" s="4" t="n">
        <v>1.6E-006</v>
      </c>
      <c r="Q1054" s="3" t="n">
        <v>0.362</v>
      </c>
      <c r="R1054" s="3" t="n">
        <v>0.556</v>
      </c>
      <c r="S1054" s="3" t="str">
        <f aca="false">IF(R1054 &gt;= 0.5, "Positive", "Negative")</f>
        <v>Positive</v>
      </c>
      <c r="T1054" s="2" t="n">
        <v>151.551</v>
      </c>
      <c r="U1054" s="0" t="s">
        <v>35</v>
      </c>
    </row>
    <row r="1055" customFormat="false" ht="14.25" hidden="false" customHeight="false" outlineLevel="0" collapsed="false">
      <c r="A1055" s="0" t="n">
        <v>194</v>
      </c>
      <c r="B1055" s="0" t="str">
        <f aca="false">_xlfn.xlookup(A1055, artists!A$2:A$836, artists!B$2:B$836)</f>
        <v>Black Eyed Peas</v>
      </c>
      <c r="C1055" s="1" t="s">
        <v>1091</v>
      </c>
      <c r="D1055" s="2" t="n">
        <v>284373</v>
      </c>
      <c r="E1055" s="2" t="n">
        <f aca="false">D1055/1000</f>
        <v>284.373</v>
      </c>
      <c r="F1055" s="10" t="b">
        <f aca="false">FALSE()</f>
        <v>0</v>
      </c>
      <c r="G1055" s="0" t="n">
        <v>12</v>
      </c>
      <c r="H1055" s="0" t="n">
        <f aca="false">_xlfn.xlookup(G1055, years!A$2:A$836, years!B$2:B$836)</f>
        <v>2009</v>
      </c>
      <c r="I1055" s="2" t="n">
        <v>72</v>
      </c>
      <c r="J1055" s="0" t="n">
        <v>0.798</v>
      </c>
      <c r="K1055" s="0" t="n">
        <v>0.629</v>
      </c>
      <c r="L1055" s="3" t="str">
        <f aca="false">IF(K1055&gt;0.66,"High",IF(K1055&gt;0.33&amp;K1055&lt;=0.66,"Medium","Low"))</f>
        <v>Low</v>
      </c>
      <c r="M1055" s="0" t="n">
        <v>-6.857</v>
      </c>
      <c r="N1055" s="3" t="n">
        <v>0.0735</v>
      </c>
      <c r="O1055" s="3" t="n">
        <v>0.00474</v>
      </c>
      <c r="P1055" s="4" t="n">
        <v>2.17E-005</v>
      </c>
      <c r="Q1055" s="3" t="n">
        <v>0.324</v>
      </c>
      <c r="R1055" s="3" t="n">
        <v>0.4</v>
      </c>
      <c r="S1055" s="3" t="str">
        <f aca="false">IF(R1055 &gt;= 0.5, "Positive", "Negative")</f>
        <v>Negative</v>
      </c>
      <c r="T1055" s="2" t="n">
        <v>130</v>
      </c>
      <c r="U1055" s="0" t="s">
        <v>24</v>
      </c>
    </row>
    <row r="1056" customFormat="false" ht="14.25" hidden="false" customHeight="false" outlineLevel="0" collapsed="false">
      <c r="A1056" s="0" t="n">
        <v>438</v>
      </c>
      <c r="B1056" s="0" t="str">
        <f aca="false">_xlfn.xlookup(A1056, artists!A$2:A$836, artists!B$2:B$836)</f>
        <v>David Guetta</v>
      </c>
      <c r="C1056" s="1" t="s">
        <v>1092</v>
      </c>
      <c r="D1056" s="2" t="n">
        <v>210853</v>
      </c>
      <c r="E1056" s="2" t="n">
        <f aca="false">D1056/1000</f>
        <v>210.853</v>
      </c>
      <c r="F1056" s="10" t="b">
        <f aca="false">FALSE()</f>
        <v>0</v>
      </c>
      <c r="G1056" s="0" t="n">
        <v>13</v>
      </c>
      <c r="H1056" s="0" t="n">
        <f aca="false">_xlfn.xlookup(G1056, years!A$2:A$836, years!B$2:B$836)</f>
        <v>2010</v>
      </c>
      <c r="I1056" s="2" t="n">
        <v>76</v>
      </c>
      <c r="J1056" s="0" t="n">
        <v>0.546</v>
      </c>
      <c r="K1056" s="0" t="n">
        <v>0.916</v>
      </c>
      <c r="L1056" s="3" t="str">
        <f aca="false">IF(K1056&gt;0.66,"High",IF(K1056&gt;0.33&amp;K1056&lt;=0.66,"Medium","Low"))</f>
        <v>High</v>
      </c>
      <c r="M1056" s="0" t="n">
        <v>-3.932</v>
      </c>
      <c r="N1056" s="3" t="n">
        <v>0.255</v>
      </c>
      <c r="O1056" s="3" t="n">
        <v>0.00144</v>
      </c>
      <c r="P1056" s="4" t="n">
        <v>4.34E-006</v>
      </c>
      <c r="Q1056" s="3" t="n">
        <v>0.251</v>
      </c>
      <c r="R1056" s="3" t="n">
        <v>0.375</v>
      </c>
      <c r="S1056" s="3" t="str">
        <f aca="false">IF(R1056 &gt;= 0.5, "Positive", "Negative")</f>
        <v>Negative</v>
      </c>
      <c r="T1056" s="2" t="n">
        <v>129.983</v>
      </c>
      <c r="U1056" s="0" t="s">
        <v>53</v>
      </c>
    </row>
    <row r="1057" customFormat="false" ht="14.25" hidden="false" customHeight="false" outlineLevel="0" collapsed="false">
      <c r="A1057" s="0" t="n">
        <v>429</v>
      </c>
      <c r="B1057" s="0" t="str">
        <f aca="false">_xlfn.xlookup(A1057, artists!A$2:A$836, artists!B$2:B$836)</f>
        <v>Duffy</v>
      </c>
      <c r="C1057" s="1" t="s">
        <v>1093</v>
      </c>
      <c r="D1057" s="2" t="n">
        <v>219920</v>
      </c>
      <c r="E1057" s="2" t="n">
        <f aca="false">D1057/1000</f>
        <v>219.92</v>
      </c>
      <c r="F1057" s="10" t="b">
        <f aca="false">FALSE()</f>
        <v>0</v>
      </c>
      <c r="G1057" s="0" t="n">
        <v>11</v>
      </c>
      <c r="H1057" s="0" t="n">
        <f aca="false">_xlfn.xlookup(G1057, years!A$2:A$836, years!B$2:B$836)</f>
        <v>2008</v>
      </c>
      <c r="I1057" s="2" t="n">
        <v>69</v>
      </c>
      <c r="J1057" s="0" t="n">
        <v>0.793</v>
      </c>
      <c r="K1057" s="0" t="n">
        <v>0.859</v>
      </c>
      <c r="L1057" s="3" t="str">
        <f aca="false">IF(K1057&gt;0.66,"High",IF(K1057&gt;0.33&amp;K1057&lt;=0.66,"Medium","Low"))</f>
        <v>High</v>
      </c>
      <c r="M1057" s="0" t="n">
        <v>-3.774</v>
      </c>
      <c r="N1057" s="3" t="n">
        <v>0.0332</v>
      </c>
      <c r="O1057" s="3" t="n">
        <v>0.266</v>
      </c>
      <c r="P1057" s="4" t="n">
        <v>0.000356</v>
      </c>
      <c r="Q1057" s="3" t="n">
        <v>0.133</v>
      </c>
      <c r="R1057" s="3" t="n">
        <v>0.964</v>
      </c>
      <c r="S1057" s="3" t="str">
        <f aca="false">IF(R1057 &gt;= 0.5, "Positive", "Negative")</f>
        <v>Positive</v>
      </c>
      <c r="T1057" s="2" t="n">
        <v>129.911</v>
      </c>
      <c r="U1057" s="0" t="s">
        <v>33</v>
      </c>
    </row>
    <row r="1058" customFormat="false" ht="14.25" hidden="false" customHeight="false" outlineLevel="0" collapsed="false">
      <c r="A1058" s="0" t="n">
        <v>269</v>
      </c>
      <c r="B1058" s="0" t="str">
        <f aca="false">_xlfn.xlookup(A1058, artists!A$2:A$836, artists!B$2:B$836)</f>
        <v>Kanye West</v>
      </c>
      <c r="C1058" s="1" t="s">
        <v>1093</v>
      </c>
      <c r="D1058" s="2" t="n">
        <v>329320</v>
      </c>
      <c r="E1058" s="2" t="n">
        <f aca="false">D1058/1000</f>
        <v>329.32</v>
      </c>
      <c r="F1058" s="10" t="b">
        <f aca="false">TRUE()</f>
        <v>1</v>
      </c>
      <c r="G1058" s="0" t="n">
        <v>15</v>
      </c>
      <c r="H1058" s="0" t="n">
        <f aca="false">_xlfn.xlookup(G1058, years!A$2:A$836, years!B$2:B$836)</f>
        <v>2012</v>
      </c>
      <c r="I1058" s="2" t="n">
        <v>73</v>
      </c>
      <c r="J1058" s="0" t="n">
        <v>0.563</v>
      </c>
      <c r="K1058" s="0" t="n">
        <v>0.496</v>
      </c>
      <c r="L1058" s="3" t="str">
        <f aca="false">IF(K1058&gt;0.66,"High",IF(K1058&gt;0.33&amp;K1058&lt;=0.66,"Medium","Low"))</f>
        <v>Low</v>
      </c>
      <c r="M1058" s="0" t="n">
        <v>-9.381</v>
      </c>
      <c r="N1058" s="3" t="n">
        <v>0.406</v>
      </c>
      <c r="O1058" s="3" t="n">
        <v>0.0685</v>
      </c>
      <c r="P1058" s="4" t="n">
        <v>5.8E-005</v>
      </c>
      <c r="Q1058" s="3" t="n">
        <v>0.173</v>
      </c>
      <c r="R1058" s="3" t="n">
        <v>0.426</v>
      </c>
      <c r="S1058" s="3" t="str">
        <f aca="false">IF(R1058 &gt;= 0.5, "Positive", "Negative")</f>
        <v>Negative</v>
      </c>
      <c r="T1058" s="2" t="n">
        <v>139.993</v>
      </c>
      <c r="U1058" s="0" t="s">
        <v>29</v>
      </c>
    </row>
    <row r="1059" customFormat="false" ht="14.25" hidden="false" customHeight="false" outlineLevel="0" collapsed="false">
      <c r="A1059" s="0" t="n">
        <v>771</v>
      </c>
      <c r="B1059" s="0" t="str">
        <f aca="false">_xlfn.xlookup(A1059, artists!A$2:A$836, artists!B$2:B$836)</f>
        <v>NF</v>
      </c>
      <c r="C1059" s="1" t="s">
        <v>1094</v>
      </c>
      <c r="D1059" s="2" t="n">
        <v>212120</v>
      </c>
      <c r="E1059" s="2" t="n">
        <f aca="false">D1059/1000</f>
        <v>212.12</v>
      </c>
      <c r="F1059" s="10" t="b">
        <f aca="false">FALSE()</f>
        <v>0</v>
      </c>
      <c r="G1059" s="0" t="n">
        <v>20</v>
      </c>
      <c r="H1059" s="0" t="n">
        <f aca="false">_xlfn.xlookup(G1059, years!A$2:A$836, years!B$2:B$836)</f>
        <v>2017</v>
      </c>
      <c r="I1059" s="2" t="n">
        <v>79</v>
      </c>
      <c r="J1059" s="0" t="n">
        <v>0.662</v>
      </c>
      <c r="K1059" s="0" t="n">
        <v>0.714</v>
      </c>
      <c r="L1059" s="3" t="str">
        <f aca="false">IF(K1059&gt;0.66,"High",IF(K1059&gt;0.33&amp;K1059&lt;=0.66,"Medium","Low"))</f>
        <v>High</v>
      </c>
      <c r="M1059" s="0" t="n">
        <v>-5.68</v>
      </c>
      <c r="N1059" s="3" t="n">
        <v>0.121</v>
      </c>
      <c r="O1059" s="3" t="n">
        <v>0.312</v>
      </c>
      <c r="P1059" s="4" t="n">
        <v>0</v>
      </c>
      <c r="Q1059" s="3" t="n">
        <v>0.179</v>
      </c>
      <c r="R1059" s="3" t="n">
        <v>0.464</v>
      </c>
      <c r="S1059" s="3" t="str">
        <f aca="false">IF(R1059 &gt;= 0.5, "Positive", "Negative")</f>
        <v>Negative</v>
      </c>
      <c r="T1059" s="2" t="n">
        <v>147.997</v>
      </c>
      <c r="U1059" s="0" t="s">
        <v>24</v>
      </c>
    </row>
    <row r="1060" customFormat="false" ht="14.25" hidden="false" customHeight="false" outlineLevel="0" collapsed="false">
      <c r="A1060" s="0" t="n">
        <v>132</v>
      </c>
      <c r="B1060" s="0" t="str">
        <f aca="false">_xlfn.xlookup(A1060, artists!A$2:A$836, artists!B$2:B$836)</f>
        <v>Ja Rule</v>
      </c>
      <c r="C1060" s="1" t="s">
        <v>1095</v>
      </c>
      <c r="D1060" s="2" t="n">
        <v>278693</v>
      </c>
      <c r="E1060" s="2" t="n">
        <f aca="false">D1060/1000</f>
        <v>278.693</v>
      </c>
      <c r="F1060" s="10" t="b">
        <f aca="false">TRUE()</f>
        <v>1</v>
      </c>
      <c r="G1060" s="0" t="n">
        <v>5</v>
      </c>
      <c r="H1060" s="0" t="n">
        <f aca="false">_xlfn.xlookup(G1060, years!A$2:A$836, years!B$2:B$836)</f>
        <v>2002</v>
      </c>
      <c r="I1060" s="2" t="n">
        <v>61</v>
      </c>
      <c r="J1060" s="0" t="n">
        <v>0.769</v>
      </c>
      <c r="K1060" s="0" t="n">
        <v>0.646</v>
      </c>
      <c r="L1060" s="3" t="str">
        <f aca="false">IF(K1060&gt;0.66,"High",IF(K1060&gt;0.33&amp;K1060&lt;=0.66,"Medium","Low"))</f>
        <v>Low</v>
      </c>
      <c r="M1060" s="0" t="n">
        <v>-6.653</v>
      </c>
      <c r="N1060" s="3" t="n">
        <v>0.199</v>
      </c>
      <c r="O1060" s="3" t="n">
        <v>0.0566</v>
      </c>
      <c r="P1060" s="4" t="n">
        <v>0</v>
      </c>
      <c r="Q1060" s="3" t="n">
        <v>0.406</v>
      </c>
      <c r="R1060" s="3" t="n">
        <v>0.433</v>
      </c>
      <c r="S1060" s="3" t="str">
        <f aca="false">IF(R1060 &gt;= 0.5, "Positive", "Negative")</f>
        <v>Negative</v>
      </c>
      <c r="T1060" s="2" t="n">
        <v>90.079</v>
      </c>
      <c r="U1060" s="0" t="s">
        <v>31</v>
      </c>
    </row>
    <row r="1061" customFormat="false" ht="14.25" hidden="false" customHeight="false" outlineLevel="0" collapsed="false">
      <c r="A1061" s="0" t="n">
        <v>727</v>
      </c>
      <c r="B1061" s="0" t="str">
        <f aca="false">_xlfn.xlookup(A1061, artists!A$2:A$836, artists!B$2:B$836)</f>
        <v>J Balvin</v>
      </c>
      <c r="C1061" s="1" t="s">
        <v>1096</v>
      </c>
      <c r="D1061" s="2" t="n">
        <v>189029</v>
      </c>
      <c r="E1061" s="2" t="n">
        <f aca="false">D1061/1000</f>
        <v>189.029</v>
      </c>
      <c r="F1061" s="10" t="b">
        <f aca="false">FALSE()</f>
        <v>0</v>
      </c>
      <c r="G1061" s="0" t="n">
        <v>20</v>
      </c>
      <c r="H1061" s="0" t="n">
        <f aca="false">_xlfn.xlookup(G1061, years!A$2:A$836, years!B$2:B$836)</f>
        <v>2017</v>
      </c>
      <c r="I1061" s="2" t="n">
        <v>53</v>
      </c>
      <c r="J1061" s="0" t="n">
        <v>0.548</v>
      </c>
      <c r="K1061" s="0" t="n">
        <v>0.701</v>
      </c>
      <c r="L1061" s="3" t="str">
        <f aca="false">IF(K1061&gt;0.66,"High",IF(K1061&gt;0.33&amp;K1061&lt;=0.66,"Medium","Low"))</f>
        <v>High</v>
      </c>
      <c r="M1061" s="0" t="n">
        <v>-4.862</v>
      </c>
      <c r="N1061" s="3" t="n">
        <v>0.0914</v>
      </c>
      <c r="O1061" s="3" t="n">
        <v>0.0178</v>
      </c>
      <c r="P1061" s="4" t="n">
        <v>1.34E-005</v>
      </c>
      <c r="Q1061" s="3" t="n">
        <v>0.134</v>
      </c>
      <c r="R1061" s="3" t="n">
        <v>0.309</v>
      </c>
      <c r="S1061" s="3" t="str">
        <f aca="false">IF(R1061 &gt;= 0.5, "Positive", "Negative")</f>
        <v>Negative</v>
      </c>
      <c r="T1061" s="2" t="n">
        <v>104.237</v>
      </c>
      <c r="U1061" s="0" t="s">
        <v>312</v>
      </c>
    </row>
    <row r="1062" customFormat="false" ht="14.25" hidden="false" customHeight="false" outlineLevel="0" collapsed="false">
      <c r="A1062" s="0" t="n">
        <v>809</v>
      </c>
      <c r="B1062" s="0" t="str">
        <f aca="false">_xlfn.xlookup(A1062, artists!A$2:A$836, artists!B$2:B$836)</f>
        <v>Bad Bunny</v>
      </c>
      <c r="C1062" s="1" t="s">
        <v>1097</v>
      </c>
      <c r="D1062" s="2" t="n">
        <v>210367</v>
      </c>
      <c r="E1062" s="2" t="n">
        <f aca="false">D1062/1000</f>
        <v>210.367</v>
      </c>
      <c r="F1062" s="10" t="b">
        <f aca="false">FALSE()</f>
        <v>0</v>
      </c>
      <c r="G1062" s="0" t="n">
        <v>21</v>
      </c>
      <c r="H1062" s="0" t="n">
        <f aca="false">_xlfn.xlookup(G1062, years!A$2:A$836, years!B$2:B$836)</f>
        <v>2018</v>
      </c>
      <c r="I1062" s="2" t="n">
        <v>77</v>
      </c>
      <c r="J1062" s="0" t="n">
        <v>0.817</v>
      </c>
      <c r="K1062" s="0" t="n">
        <v>0.539</v>
      </c>
      <c r="L1062" s="3" t="str">
        <f aca="false">IF(K1062&gt;0.66,"High",IF(K1062&gt;0.33&amp;K1062&lt;=0.66,"Medium","Low"))</f>
        <v>Low</v>
      </c>
      <c r="M1062" s="0" t="n">
        <v>-6.349</v>
      </c>
      <c r="N1062" s="3" t="n">
        <v>0.0621</v>
      </c>
      <c r="O1062" s="3" t="n">
        <v>0.0141</v>
      </c>
      <c r="P1062" s="4" t="n">
        <v>0.000496</v>
      </c>
      <c r="Q1062" s="3" t="n">
        <v>0.099</v>
      </c>
      <c r="R1062" s="3" t="n">
        <v>0.158</v>
      </c>
      <c r="S1062" s="3" t="str">
        <f aca="false">IF(R1062 &gt;= 0.5, "Positive", "Negative")</f>
        <v>Negative</v>
      </c>
      <c r="T1062" s="2" t="n">
        <v>97.062</v>
      </c>
      <c r="U1062" s="0" t="s">
        <v>312</v>
      </c>
    </row>
    <row r="1063" customFormat="false" ht="14.25" hidden="false" customHeight="false" outlineLevel="0" collapsed="false">
      <c r="A1063" s="0" t="n">
        <v>480</v>
      </c>
      <c r="B1063" s="0" t="str">
        <f aca="false">_xlfn.xlookup(A1063, artists!A$2:A$836, artists!B$2:B$836)</f>
        <v>Swedish House Mafia</v>
      </c>
      <c r="C1063" s="1" t="s">
        <v>1098</v>
      </c>
      <c r="D1063" s="2" t="n">
        <v>206460</v>
      </c>
      <c r="E1063" s="2" t="n">
        <f aca="false">D1063/1000</f>
        <v>206.46</v>
      </c>
      <c r="F1063" s="10" t="b">
        <f aca="false">TRUE()</f>
        <v>1</v>
      </c>
      <c r="G1063" s="0" t="n">
        <v>13</v>
      </c>
      <c r="H1063" s="0" t="n">
        <f aca="false">_xlfn.xlookup(G1063, years!A$2:A$836, years!B$2:B$836)</f>
        <v>2010</v>
      </c>
      <c r="I1063" s="2" t="n">
        <v>54</v>
      </c>
      <c r="J1063" s="0" t="n">
        <v>0.736</v>
      </c>
      <c r="K1063" s="0" t="n">
        <v>0.929</v>
      </c>
      <c r="L1063" s="3" t="str">
        <f aca="false">IF(K1063&gt;0.66,"High",IF(K1063&gt;0.33&amp;K1063&lt;=0.66,"Medium","Low"))</f>
        <v>High</v>
      </c>
      <c r="M1063" s="0" t="n">
        <v>-5.89</v>
      </c>
      <c r="N1063" s="3" t="n">
        <v>0.0674</v>
      </c>
      <c r="O1063" s="3" t="n">
        <v>0.00237</v>
      </c>
      <c r="P1063" s="4" t="n">
        <v>1.11E-005</v>
      </c>
      <c r="Q1063" s="3" t="n">
        <v>0.402</v>
      </c>
      <c r="R1063" s="3" t="n">
        <v>0.658</v>
      </c>
      <c r="S1063" s="3" t="str">
        <f aca="false">IF(R1063 &gt;= 0.5, "Positive", "Negative")</f>
        <v>Positive</v>
      </c>
      <c r="T1063" s="2" t="n">
        <v>125.03</v>
      </c>
      <c r="U1063" s="0" t="s">
        <v>22</v>
      </c>
    </row>
    <row r="1064" customFormat="false" ht="14.25" hidden="false" customHeight="false" outlineLevel="0" collapsed="false">
      <c r="A1064" s="0" t="n">
        <v>735</v>
      </c>
      <c r="B1064" s="0" t="str">
        <f aca="false">_xlfn.xlookup(A1064, artists!A$2:A$836, artists!B$2:B$836)</f>
        <v>Rag'n'Bone Man</v>
      </c>
      <c r="C1064" s="1" t="s">
        <v>1099</v>
      </c>
      <c r="D1064" s="2" t="n">
        <v>200186</v>
      </c>
      <c r="E1064" s="2" t="n">
        <f aca="false">D1064/1000</f>
        <v>200.186</v>
      </c>
      <c r="F1064" s="10" t="b">
        <f aca="false">FALSE()</f>
        <v>0</v>
      </c>
      <c r="G1064" s="0" t="n">
        <v>20</v>
      </c>
      <c r="H1064" s="0" t="n">
        <f aca="false">_xlfn.xlookup(G1064, years!A$2:A$836, years!B$2:B$836)</f>
        <v>2017</v>
      </c>
      <c r="I1064" s="2" t="n">
        <v>76</v>
      </c>
      <c r="J1064" s="0" t="n">
        <v>0.602</v>
      </c>
      <c r="K1064" s="0" t="n">
        <v>0.707</v>
      </c>
      <c r="L1064" s="3" t="str">
        <f aca="false">IF(K1064&gt;0.66,"High",IF(K1064&gt;0.33&amp;K1064&lt;=0.66,"Medium","Low"))</f>
        <v>High</v>
      </c>
      <c r="M1064" s="0" t="n">
        <v>-4.097</v>
      </c>
      <c r="N1064" s="3" t="n">
        <v>0.302</v>
      </c>
      <c r="O1064" s="3" t="n">
        <v>0.393</v>
      </c>
      <c r="P1064" s="4" t="n">
        <v>0</v>
      </c>
      <c r="Q1064" s="3" t="n">
        <v>0.165</v>
      </c>
      <c r="R1064" s="3" t="n">
        <v>0.554</v>
      </c>
      <c r="S1064" s="3" t="str">
        <f aca="false">IF(R1064 &gt;= 0.5, "Positive", "Negative")</f>
        <v>Positive</v>
      </c>
      <c r="T1064" s="2" t="n">
        <v>75.087</v>
      </c>
      <c r="U1064" s="0" t="s">
        <v>128</v>
      </c>
    </row>
    <row r="1065" customFormat="false" ht="14.25" hidden="false" customHeight="false" outlineLevel="0" collapsed="false">
      <c r="A1065" s="0" t="n">
        <v>597</v>
      </c>
      <c r="B1065" s="0" t="str">
        <f aca="false">_xlfn.xlookup(A1065, artists!A$2:A$836, artists!B$2:B$836)</f>
        <v>J. Cole</v>
      </c>
      <c r="C1065" s="1" t="s">
        <v>1100</v>
      </c>
      <c r="D1065" s="2" t="n">
        <v>213593</v>
      </c>
      <c r="E1065" s="2" t="n">
        <f aca="false">D1065/1000</f>
        <v>213.593</v>
      </c>
      <c r="F1065" s="10" t="b">
        <f aca="false">TRUE()</f>
        <v>1</v>
      </c>
      <c r="G1065" s="0" t="n">
        <v>22</v>
      </c>
      <c r="H1065" s="0" t="n">
        <f aca="false">_xlfn.xlookup(G1065, years!A$2:A$836, years!B$2:B$836)</f>
        <v>2019</v>
      </c>
      <c r="I1065" s="2" t="n">
        <v>80</v>
      </c>
      <c r="J1065" s="0" t="n">
        <v>0.837</v>
      </c>
      <c r="K1065" s="0" t="n">
        <v>0.364</v>
      </c>
      <c r="L1065" s="3" t="str">
        <f aca="false">IF(K1065&gt;0.66,"High",IF(K1065&gt;0.33&amp;K1065&lt;=0.66,"Medium","Low"))</f>
        <v>Low</v>
      </c>
      <c r="M1065" s="0" t="n">
        <v>-11.713</v>
      </c>
      <c r="N1065" s="3" t="n">
        <v>0.276</v>
      </c>
      <c r="O1065" s="3" t="n">
        <v>0.149</v>
      </c>
      <c r="P1065" s="4" t="n">
        <v>0</v>
      </c>
      <c r="Q1065" s="3" t="n">
        <v>0.271</v>
      </c>
      <c r="R1065" s="3" t="n">
        <v>0.463</v>
      </c>
      <c r="S1065" s="3" t="str">
        <f aca="false">IF(R1065 &gt;= 0.5, "Positive", "Negative")</f>
        <v>Negative</v>
      </c>
      <c r="T1065" s="2" t="n">
        <v>123.984</v>
      </c>
      <c r="U1065" s="0" t="s">
        <v>29</v>
      </c>
    </row>
    <row r="1066" customFormat="false" ht="14.25" hidden="false" customHeight="false" outlineLevel="0" collapsed="false">
      <c r="A1066" s="0" t="n">
        <v>744</v>
      </c>
      <c r="B1066" s="0" t="str">
        <f aca="false">_xlfn.xlookup(A1066, artists!A$2:A$836, artists!B$2:B$836)</f>
        <v>The Vamps</v>
      </c>
      <c r="C1066" s="1" t="s">
        <v>1101</v>
      </c>
      <c r="D1066" s="2" t="n">
        <v>174600</v>
      </c>
      <c r="E1066" s="2" t="n">
        <f aca="false">D1066/1000</f>
        <v>174.6</v>
      </c>
      <c r="F1066" s="10" t="b">
        <f aca="false">FALSE()</f>
        <v>0</v>
      </c>
      <c r="G1066" s="0" t="n">
        <v>20</v>
      </c>
      <c r="H1066" s="0" t="n">
        <f aca="false">_xlfn.xlookup(G1066, years!A$2:A$836, years!B$2:B$836)</f>
        <v>2017</v>
      </c>
      <c r="I1066" s="2" t="n">
        <v>61</v>
      </c>
      <c r="J1066" s="0" t="n">
        <v>0.588</v>
      </c>
      <c r="K1066" s="0" t="n">
        <v>0.749</v>
      </c>
      <c r="L1066" s="3" t="str">
        <f aca="false">IF(K1066&gt;0.66,"High",IF(K1066&gt;0.33&amp;K1066&lt;=0.66,"Medium","Low"))</f>
        <v>High</v>
      </c>
      <c r="M1066" s="0" t="n">
        <v>-4.323</v>
      </c>
      <c r="N1066" s="3" t="n">
        <v>0.058</v>
      </c>
      <c r="O1066" s="3" t="n">
        <v>0.0037</v>
      </c>
      <c r="P1066" s="4" t="n">
        <v>0</v>
      </c>
      <c r="Q1066" s="3" t="n">
        <v>0.0813</v>
      </c>
      <c r="R1066" s="3" t="n">
        <v>0.397</v>
      </c>
      <c r="S1066" s="3" t="str">
        <f aca="false">IF(R1066 &gt;= 0.5, "Positive", "Negative")</f>
        <v>Negative</v>
      </c>
      <c r="T1066" s="2" t="n">
        <v>130.093</v>
      </c>
      <c r="U1066" s="0" t="s">
        <v>39</v>
      </c>
    </row>
    <row r="1067" customFormat="false" ht="14.25" hidden="false" customHeight="false" outlineLevel="0" collapsed="false">
      <c r="A1067" s="0" t="n">
        <v>516</v>
      </c>
      <c r="B1067" s="0" t="str">
        <f aca="false">_xlfn.xlookup(A1067, artists!A$2:A$836, artists!B$2:B$836)</f>
        <v>M83</v>
      </c>
      <c r="C1067" s="1" t="s">
        <v>1102</v>
      </c>
      <c r="D1067" s="2" t="n">
        <v>243960</v>
      </c>
      <c r="E1067" s="2" t="n">
        <f aca="false">D1067/1000</f>
        <v>243.96</v>
      </c>
      <c r="F1067" s="10" t="b">
        <f aca="false">FALSE()</f>
        <v>0</v>
      </c>
      <c r="G1067" s="0" t="n">
        <v>14</v>
      </c>
      <c r="H1067" s="0" t="n">
        <f aca="false">_xlfn.xlookup(G1067, years!A$2:A$836, years!B$2:B$836)</f>
        <v>2011</v>
      </c>
      <c r="I1067" s="2" t="n">
        <v>76</v>
      </c>
      <c r="J1067" s="0" t="n">
        <v>0.507</v>
      </c>
      <c r="K1067" s="0" t="n">
        <v>0.729</v>
      </c>
      <c r="L1067" s="3" t="str">
        <f aca="false">IF(K1067&gt;0.66,"High",IF(K1067&gt;0.33&amp;K1067&lt;=0.66,"Medium","Low"))</f>
        <v>High</v>
      </c>
      <c r="M1067" s="0" t="n">
        <v>-5.399</v>
      </c>
      <c r="N1067" s="3" t="n">
        <v>0.0393</v>
      </c>
      <c r="O1067" s="3" t="n">
        <v>0.0182</v>
      </c>
      <c r="P1067" s="4" t="n">
        <v>1.4E-006</v>
      </c>
      <c r="Q1067" s="3" t="n">
        <v>0.0658</v>
      </c>
      <c r="R1067" s="3" t="n">
        <v>0.272</v>
      </c>
      <c r="S1067" s="3" t="str">
        <f aca="false">IF(R1067 &gt;= 0.5, "Positive", "Negative")</f>
        <v>Negative</v>
      </c>
      <c r="T1067" s="2" t="n">
        <v>105.013</v>
      </c>
      <c r="U1067" s="0" t="s">
        <v>1103</v>
      </c>
    </row>
    <row r="1068" customFormat="false" ht="14.25" hidden="false" customHeight="false" outlineLevel="0" collapsed="false">
      <c r="A1068" s="0" t="n">
        <v>250</v>
      </c>
      <c r="B1068" s="0" t="str">
        <f aca="false">_xlfn.xlookup(A1068, artists!A$2:A$836, artists!B$2:B$836)</f>
        <v>Kelis</v>
      </c>
      <c r="C1068" s="1" t="s">
        <v>1104</v>
      </c>
      <c r="D1068" s="2" t="n">
        <v>182626</v>
      </c>
      <c r="E1068" s="2" t="n">
        <f aca="false">D1068/1000</f>
        <v>182.626</v>
      </c>
      <c r="F1068" s="10" t="b">
        <f aca="false">FALSE()</f>
        <v>0</v>
      </c>
      <c r="G1068" s="0" t="n">
        <v>6</v>
      </c>
      <c r="H1068" s="0" t="n">
        <f aca="false">_xlfn.xlookup(G1068, years!A$2:A$836, years!B$2:B$836)</f>
        <v>2003</v>
      </c>
      <c r="I1068" s="2" t="n">
        <v>68</v>
      </c>
      <c r="J1068" s="0" t="n">
        <v>0.881</v>
      </c>
      <c r="K1068" s="0" t="n">
        <v>0.774</v>
      </c>
      <c r="L1068" s="3" t="str">
        <f aca="false">IF(K1068&gt;0.66,"High",IF(K1068&gt;0.33&amp;K1068&lt;=0.66,"Medium","Low"))</f>
        <v>High</v>
      </c>
      <c r="M1068" s="0" t="n">
        <v>-6.068</v>
      </c>
      <c r="N1068" s="3" t="n">
        <v>0.0439</v>
      </c>
      <c r="O1068" s="3" t="n">
        <v>0.00986</v>
      </c>
      <c r="P1068" s="4" t="n">
        <v>0.0346</v>
      </c>
      <c r="Q1068" s="3" t="n">
        <v>0.206</v>
      </c>
      <c r="R1068" s="3" t="n">
        <v>0.759</v>
      </c>
      <c r="S1068" s="3" t="str">
        <f aca="false">IF(R1068 &gt;= 0.5, "Positive", "Negative")</f>
        <v>Positive</v>
      </c>
      <c r="T1068" s="2" t="n">
        <v>112.968</v>
      </c>
      <c r="U1068" s="0" t="s">
        <v>266</v>
      </c>
    </row>
    <row r="1069" customFormat="false" ht="14.25" hidden="false" customHeight="false" outlineLevel="0" collapsed="false">
      <c r="A1069" s="0" t="n">
        <v>548</v>
      </c>
      <c r="B1069" s="0" t="str">
        <f aca="false">_xlfn.xlookup(A1069, artists!A$2:A$836, artists!B$2:B$836)</f>
        <v>Otto Knows</v>
      </c>
      <c r="C1069" s="1" t="s">
        <v>1105</v>
      </c>
      <c r="D1069" s="2" t="n">
        <v>192866</v>
      </c>
      <c r="E1069" s="2" t="n">
        <f aca="false">D1069/1000</f>
        <v>192.866</v>
      </c>
      <c r="F1069" s="10" t="b">
        <f aca="false">FALSE()</f>
        <v>0</v>
      </c>
      <c r="G1069" s="0" t="n">
        <v>15</v>
      </c>
      <c r="H1069" s="0" t="n">
        <f aca="false">_xlfn.xlookup(G1069, years!A$2:A$836, years!B$2:B$836)</f>
        <v>2012</v>
      </c>
      <c r="I1069" s="2" t="n">
        <v>0</v>
      </c>
      <c r="J1069" s="0" t="n">
        <v>0.582</v>
      </c>
      <c r="K1069" s="0" t="n">
        <v>0.894</v>
      </c>
      <c r="L1069" s="3" t="str">
        <f aca="false">IF(K1069&gt;0.66,"High",IF(K1069&gt;0.33&amp;K1069&lt;=0.66,"Medium","Low"))</f>
        <v>High</v>
      </c>
      <c r="M1069" s="0" t="n">
        <v>-6.298</v>
      </c>
      <c r="N1069" s="3" t="n">
        <v>0.041</v>
      </c>
      <c r="O1069" s="3" t="n">
        <v>0.0022</v>
      </c>
      <c r="P1069" s="4" t="n">
        <v>0.0223</v>
      </c>
      <c r="Q1069" s="3" t="n">
        <v>0.0664</v>
      </c>
      <c r="R1069" s="3" t="n">
        <v>0.0694</v>
      </c>
      <c r="S1069" s="3" t="str">
        <f aca="false">IF(R1069 &gt;= 0.5, "Positive", "Negative")</f>
        <v>Negative</v>
      </c>
      <c r="T1069" s="2" t="n">
        <v>125.946</v>
      </c>
      <c r="U1069" s="0" t="s">
        <v>22</v>
      </c>
    </row>
    <row r="1070" customFormat="false" ht="14.25" hidden="false" customHeight="false" outlineLevel="0" collapsed="false">
      <c r="A1070" s="0" t="n">
        <v>250</v>
      </c>
      <c r="B1070" s="0" t="str">
        <f aca="false">_xlfn.xlookup(A1070, artists!A$2:A$836, artists!B$2:B$836)</f>
        <v>Kelis</v>
      </c>
      <c r="C1070" s="1" t="s">
        <v>1106</v>
      </c>
      <c r="D1070" s="2" t="n">
        <v>224933</v>
      </c>
      <c r="E1070" s="2" t="n">
        <f aca="false">D1070/1000</f>
        <v>224.933</v>
      </c>
      <c r="F1070" s="10" t="b">
        <f aca="false">FALSE()</f>
        <v>0</v>
      </c>
      <c r="G1070" s="0" t="n">
        <v>6</v>
      </c>
      <c r="H1070" s="0" t="n">
        <f aca="false">_xlfn.xlookup(G1070, years!A$2:A$836, years!B$2:B$836)</f>
        <v>2003</v>
      </c>
      <c r="I1070" s="2" t="n">
        <v>57</v>
      </c>
      <c r="J1070" s="0" t="n">
        <v>0.68</v>
      </c>
      <c r="K1070" s="0" t="n">
        <v>0.847</v>
      </c>
      <c r="L1070" s="3" t="str">
        <f aca="false">IF(K1070&gt;0.66,"High",IF(K1070&gt;0.33&amp;K1070&lt;=0.66,"Medium","Low"))</f>
        <v>High</v>
      </c>
      <c r="M1070" s="0" t="n">
        <v>-6.636</v>
      </c>
      <c r="N1070" s="3" t="n">
        <v>0.108</v>
      </c>
      <c r="O1070" s="3" t="n">
        <v>0.0217</v>
      </c>
      <c r="P1070" s="4" t="n">
        <v>0</v>
      </c>
      <c r="Q1070" s="3" t="n">
        <v>0.0374</v>
      </c>
      <c r="R1070" s="3" t="n">
        <v>0.75</v>
      </c>
      <c r="S1070" s="3" t="str">
        <f aca="false">IF(R1070 &gt;= 0.5, "Positive", "Negative")</f>
        <v>Positive</v>
      </c>
      <c r="T1070" s="2" t="n">
        <v>176.051</v>
      </c>
      <c r="U1070" s="0" t="s">
        <v>266</v>
      </c>
    </row>
    <row r="1071" customFormat="false" ht="14.25" hidden="false" customHeight="false" outlineLevel="0" collapsed="false">
      <c r="A1071" s="0" t="n">
        <v>1</v>
      </c>
      <c r="B1071" s="0" t="str">
        <f aca="false">_xlfn.xlookup(A1071, artists!A$2:A$836, artists!B$2:B$836)</f>
        <v>Britney Spears</v>
      </c>
      <c r="C1071" s="1" t="s">
        <v>1107</v>
      </c>
      <c r="D1071" s="2" t="n">
        <v>243533</v>
      </c>
      <c r="E1071" s="2" t="n">
        <f aca="false">D1071/1000</f>
        <v>243.533</v>
      </c>
      <c r="F1071" s="10" t="b">
        <f aca="false">FALSE()</f>
        <v>0</v>
      </c>
      <c r="G1071" s="0" t="n">
        <v>2</v>
      </c>
      <c r="H1071" s="0" t="n">
        <f aca="false">_xlfn.xlookup(G1071, years!A$2:A$836, years!B$2:B$836)</f>
        <v>1999</v>
      </c>
      <c r="I1071" s="2" t="n">
        <v>58</v>
      </c>
      <c r="J1071" s="0" t="n">
        <v>0.633</v>
      </c>
      <c r="K1071" s="0" t="n">
        <v>0.922</v>
      </c>
      <c r="L1071" s="3" t="str">
        <f aca="false">IF(K1071&gt;0.66,"High",IF(K1071&gt;0.33&amp;K1071&lt;=0.66,"Medium","Low"))</f>
        <v>High</v>
      </c>
      <c r="M1071" s="0" t="n">
        <v>-4.842</v>
      </c>
      <c r="N1071" s="3" t="n">
        <v>0.0454</v>
      </c>
      <c r="O1071" s="3" t="n">
        <v>0.116</v>
      </c>
      <c r="P1071" s="4" t="n">
        <v>0.000465</v>
      </c>
      <c r="Q1071" s="3" t="n">
        <v>0.071</v>
      </c>
      <c r="R1071" s="3" t="n">
        <v>0.686</v>
      </c>
      <c r="S1071" s="3" t="str">
        <f aca="false">IF(R1071 &gt;= 0.5, "Positive", "Negative")</f>
        <v>Positive</v>
      </c>
      <c r="T1071" s="2" t="n">
        <v>84.11</v>
      </c>
      <c r="U1071" s="0" t="s">
        <v>39</v>
      </c>
    </row>
    <row r="1072" customFormat="false" ht="14.25" hidden="false" customHeight="false" outlineLevel="0" collapsed="false">
      <c r="A1072" s="0" t="n">
        <v>176</v>
      </c>
      <c r="B1072" s="0" t="str">
        <f aca="false">_xlfn.xlookup(A1072, artists!A$2:A$836, artists!B$2:B$836)</f>
        <v>Justin Timberlake</v>
      </c>
      <c r="C1072" s="1" t="s">
        <v>1108</v>
      </c>
      <c r="D1072" s="2" t="n">
        <v>484146</v>
      </c>
      <c r="E1072" s="2" t="n">
        <f aca="false">D1072/1000</f>
        <v>484.146</v>
      </c>
      <c r="F1072" s="10" t="b">
        <f aca="false">FALSE()</f>
        <v>0</v>
      </c>
      <c r="G1072" s="0" t="n">
        <v>16</v>
      </c>
      <c r="H1072" s="0" t="n">
        <f aca="false">_xlfn.xlookup(G1072, years!A$2:A$836, years!B$2:B$836)</f>
        <v>2013</v>
      </c>
      <c r="I1072" s="2" t="n">
        <v>78</v>
      </c>
      <c r="J1072" s="0" t="n">
        <v>0.574</v>
      </c>
      <c r="K1072" s="0" t="n">
        <v>0.512</v>
      </c>
      <c r="L1072" s="3" t="str">
        <f aca="false">IF(K1072&gt;0.66,"High",IF(K1072&gt;0.33&amp;K1072&lt;=0.66,"Medium","Low"))</f>
        <v>Low</v>
      </c>
      <c r="M1072" s="0" t="n">
        <v>-6.664</v>
      </c>
      <c r="N1072" s="3" t="n">
        <v>0.0503</v>
      </c>
      <c r="O1072" s="3" t="n">
        <v>0.234</v>
      </c>
      <c r="P1072" s="4" t="n">
        <v>0</v>
      </c>
      <c r="Q1072" s="3" t="n">
        <v>0.0946</v>
      </c>
      <c r="R1072" s="3" t="n">
        <v>0.512</v>
      </c>
      <c r="S1072" s="3" t="str">
        <f aca="false">IF(R1072 &gt;= 0.5, "Positive", "Negative")</f>
        <v>Positive</v>
      </c>
      <c r="T1072" s="2" t="n">
        <v>76.899</v>
      </c>
      <c r="U1072" s="0" t="s">
        <v>39</v>
      </c>
    </row>
    <row r="1073" customFormat="false" ht="14.25" hidden="false" customHeight="false" outlineLevel="0" collapsed="false">
      <c r="A1073" s="0" t="n">
        <v>236</v>
      </c>
      <c r="B1073" s="0" t="str">
        <f aca="false">_xlfn.xlookup(A1073, artists!A$2:A$836, artists!B$2:B$836)</f>
        <v>Maroon 5</v>
      </c>
      <c r="C1073" s="1" t="s">
        <v>1109</v>
      </c>
      <c r="D1073" s="2" t="n">
        <v>216200</v>
      </c>
      <c r="E1073" s="2" t="n">
        <f aca="false">D1073/1000</f>
        <v>216.2</v>
      </c>
      <c r="F1073" s="10" t="b">
        <f aca="false">FALSE()</f>
        <v>0</v>
      </c>
      <c r="G1073" s="0" t="n">
        <v>13</v>
      </c>
      <c r="H1073" s="0" t="n">
        <f aca="false">_xlfn.xlookup(G1073, years!A$2:A$836, years!B$2:B$836)</f>
        <v>2010</v>
      </c>
      <c r="I1073" s="2" t="n">
        <v>67</v>
      </c>
      <c r="J1073" s="0" t="n">
        <v>0.703</v>
      </c>
      <c r="K1073" s="0" t="n">
        <v>0.81</v>
      </c>
      <c r="L1073" s="3" t="str">
        <f aca="false">IF(K1073&gt;0.66,"High",IF(K1073&gt;0.33&amp;K1073&lt;=0.66,"Medium","Low"))</f>
        <v>High</v>
      </c>
      <c r="M1073" s="0" t="n">
        <v>-4.874</v>
      </c>
      <c r="N1073" s="3" t="n">
        <v>0.0424</v>
      </c>
      <c r="O1073" s="3" t="n">
        <v>0.000315</v>
      </c>
      <c r="P1073" s="4" t="n">
        <v>0</v>
      </c>
      <c r="Q1073" s="3" t="n">
        <v>0.216</v>
      </c>
      <c r="R1073" s="3" t="n">
        <v>0.726</v>
      </c>
      <c r="S1073" s="3" t="str">
        <f aca="false">IF(R1073 &gt;= 0.5, "Positive", "Negative")</f>
        <v>Positive</v>
      </c>
      <c r="T1073" s="2" t="n">
        <v>102.978</v>
      </c>
      <c r="U1073" s="0" t="s">
        <v>39</v>
      </c>
    </row>
    <row r="1074" customFormat="false" ht="14.25" hidden="false" customHeight="false" outlineLevel="0" collapsed="false">
      <c r="A1074" s="0" t="n">
        <v>381</v>
      </c>
      <c r="B1074" s="0" t="str">
        <f aca="false">_xlfn.xlookup(A1074, artists!A$2:A$836, artists!B$2:B$836)</f>
        <v>Paramore</v>
      </c>
      <c r="C1074" s="1" t="s">
        <v>1110</v>
      </c>
      <c r="D1074" s="2" t="n">
        <v>211520</v>
      </c>
      <c r="E1074" s="2" t="n">
        <f aca="false">D1074/1000</f>
        <v>211.52</v>
      </c>
      <c r="F1074" s="10" t="b">
        <f aca="false">FALSE()</f>
        <v>0</v>
      </c>
      <c r="G1074" s="0" t="n">
        <v>10</v>
      </c>
      <c r="H1074" s="0" t="n">
        <f aca="false">_xlfn.xlookup(G1074, years!A$2:A$836, years!B$2:B$836)</f>
        <v>2007</v>
      </c>
      <c r="I1074" s="2" t="n">
        <v>72</v>
      </c>
      <c r="J1074" s="0" t="n">
        <v>0.517</v>
      </c>
      <c r="K1074" s="0" t="n">
        <v>0.906</v>
      </c>
      <c r="L1074" s="3" t="str">
        <f aca="false">IF(K1074&gt;0.66,"High",IF(K1074&gt;0.33&amp;K1074&lt;=0.66,"Medium","Low"))</f>
        <v>High</v>
      </c>
      <c r="M1074" s="0" t="n">
        <v>-3.677</v>
      </c>
      <c r="N1074" s="3" t="n">
        <v>0.0735</v>
      </c>
      <c r="O1074" s="3" t="n">
        <v>0.00272</v>
      </c>
      <c r="P1074" s="4" t="n">
        <v>9.26E-006</v>
      </c>
      <c r="Q1074" s="3" t="n">
        <v>0.113</v>
      </c>
      <c r="R1074" s="3" t="n">
        <v>0.731</v>
      </c>
      <c r="S1074" s="3" t="str">
        <f aca="false">IF(R1074 &gt;= 0.5, "Positive", "Negative")</f>
        <v>Positive</v>
      </c>
      <c r="T1074" s="2" t="n">
        <v>172.977</v>
      </c>
      <c r="U1074" s="0" t="s">
        <v>210</v>
      </c>
    </row>
    <row r="1075" customFormat="false" ht="14.25" hidden="false" customHeight="false" outlineLevel="0" collapsed="false">
      <c r="A1075" s="0" t="n">
        <v>230</v>
      </c>
      <c r="B1075" s="0" t="str">
        <f aca="false">_xlfn.xlookup(A1075, artists!A$2:A$836, artists!B$2:B$836)</f>
        <v>Kelly Clarkson</v>
      </c>
      <c r="C1075" s="1" t="s">
        <v>1111</v>
      </c>
      <c r="D1075" s="2" t="n">
        <v>214773</v>
      </c>
      <c r="E1075" s="2" t="n">
        <f aca="false">D1075/1000</f>
        <v>214.773</v>
      </c>
      <c r="F1075" s="10" t="b">
        <f aca="false">FALSE()</f>
        <v>0</v>
      </c>
      <c r="G1075" s="0" t="n">
        <v>6</v>
      </c>
      <c r="H1075" s="0" t="n">
        <f aca="false">_xlfn.xlookup(G1075, years!A$2:A$836, years!B$2:B$836)</f>
        <v>2003</v>
      </c>
      <c r="I1075" s="2" t="n">
        <v>47</v>
      </c>
      <c r="J1075" s="0" t="n">
        <v>0.656</v>
      </c>
      <c r="K1075" s="0" t="n">
        <v>0.615</v>
      </c>
      <c r="L1075" s="3" t="str">
        <f aca="false">IF(K1075&gt;0.66,"High",IF(K1075&gt;0.33&amp;K1075&lt;=0.66,"Medium","Low"))</f>
        <v>Low</v>
      </c>
      <c r="M1075" s="0" t="n">
        <v>-6.359</v>
      </c>
      <c r="N1075" s="3" t="n">
        <v>0.137</v>
      </c>
      <c r="O1075" s="3" t="n">
        <v>0.0769</v>
      </c>
      <c r="P1075" s="4" t="n">
        <v>0.000415</v>
      </c>
      <c r="Q1075" s="3" t="n">
        <v>0.0706</v>
      </c>
      <c r="R1075" s="3" t="n">
        <v>0.592</v>
      </c>
      <c r="S1075" s="3" t="str">
        <f aca="false">IF(R1075 &gt;= 0.5, "Positive", "Negative")</f>
        <v>Positive</v>
      </c>
      <c r="T1075" s="2" t="n">
        <v>175.943</v>
      </c>
      <c r="U1075" s="0" t="s">
        <v>33</v>
      </c>
    </row>
    <row r="1076" customFormat="false" ht="14.25" hidden="false" customHeight="false" outlineLevel="0" collapsed="false">
      <c r="A1076" s="0" t="n">
        <v>343</v>
      </c>
      <c r="B1076" s="0" t="str">
        <f aca="false">_xlfn.xlookup(A1076, artists!A$2:A$836, artists!B$2:B$836)</f>
        <v>Ne-Yo</v>
      </c>
      <c r="C1076" s="1" t="s">
        <v>1111</v>
      </c>
      <c r="D1076" s="2" t="n">
        <v>232000</v>
      </c>
      <c r="E1076" s="2" t="n">
        <f aca="false">D1076/1000</f>
        <v>232</v>
      </c>
      <c r="F1076" s="10" t="b">
        <f aca="false">FALSE()</f>
        <v>0</v>
      </c>
      <c r="G1076" s="0" t="n">
        <v>11</v>
      </c>
      <c r="H1076" s="0" t="n">
        <f aca="false">_xlfn.xlookup(G1076, years!A$2:A$836, years!B$2:B$836)</f>
        <v>2008</v>
      </c>
      <c r="I1076" s="2" t="n">
        <v>71</v>
      </c>
      <c r="J1076" s="0" t="n">
        <v>0.668</v>
      </c>
      <c r="K1076" s="0" t="n">
        <v>0.673</v>
      </c>
      <c r="L1076" s="3" t="str">
        <f aca="false">IF(K1076&gt;0.66,"High",IF(K1076&gt;0.33&amp;K1076&lt;=0.66,"Medium","Low"))</f>
        <v>High</v>
      </c>
      <c r="M1076" s="0" t="n">
        <v>-5.714</v>
      </c>
      <c r="N1076" s="3" t="n">
        <v>0.145</v>
      </c>
      <c r="O1076" s="3" t="n">
        <v>0.48</v>
      </c>
      <c r="P1076" s="4" t="n">
        <v>0</v>
      </c>
      <c r="Q1076" s="3" t="n">
        <v>0.194</v>
      </c>
      <c r="R1076" s="3" t="n">
        <v>0.727</v>
      </c>
      <c r="S1076" s="3" t="str">
        <f aca="false">IF(R1076 &gt;= 0.5, "Positive", "Negative")</f>
        <v>Positive</v>
      </c>
      <c r="T1076" s="2" t="n">
        <v>171.812</v>
      </c>
      <c r="U1076" s="0" t="s">
        <v>33</v>
      </c>
    </row>
    <row r="1077" customFormat="false" ht="14.25" hidden="false" customHeight="false" outlineLevel="0" collapsed="false">
      <c r="A1077" s="0" t="n">
        <v>16</v>
      </c>
      <c r="B1077" s="0" t="str">
        <f aca="false">_xlfn.xlookup(A1077, artists!A$2:A$836, artists!B$2:B$836)</f>
        <v>Aaliyah</v>
      </c>
      <c r="C1077" s="1" t="s">
        <v>1112</v>
      </c>
      <c r="D1077" s="2" t="n">
        <v>245240</v>
      </c>
      <c r="E1077" s="2" t="n">
        <f aca="false">D1077/1000</f>
        <v>245.24</v>
      </c>
      <c r="F1077" s="10" t="b">
        <f aca="false">FALSE()</f>
        <v>0</v>
      </c>
      <c r="G1077" s="0" t="n">
        <v>5</v>
      </c>
      <c r="H1077" s="0" t="n">
        <f aca="false">_xlfn.xlookup(G1077, years!A$2:A$836, years!B$2:B$836)</f>
        <v>2002</v>
      </c>
      <c r="I1077" s="2" t="n">
        <v>36</v>
      </c>
      <c r="J1077" s="0" t="n">
        <v>0.602</v>
      </c>
      <c r="K1077" s="0" t="n">
        <v>0.34</v>
      </c>
      <c r="L1077" s="3" t="str">
        <f aca="false">IF(K1077&gt;0.66,"High",IF(K1077&gt;0.33&amp;K1077&lt;=0.66,"Medium","Low"))</f>
        <v>Low</v>
      </c>
      <c r="M1077" s="0" t="n">
        <v>-9.867</v>
      </c>
      <c r="N1077" s="3" t="n">
        <v>0.0375</v>
      </c>
      <c r="O1077" s="3" t="n">
        <v>0.618</v>
      </c>
      <c r="P1077" s="4" t="n">
        <v>0</v>
      </c>
      <c r="Q1077" s="3" t="n">
        <v>0.234</v>
      </c>
      <c r="R1077" s="3" t="n">
        <v>0.511</v>
      </c>
      <c r="S1077" s="3" t="str">
        <f aca="false">IF(R1077 &gt;= 0.5, "Positive", "Negative")</f>
        <v>Positive</v>
      </c>
      <c r="T1077" s="2" t="n">
        <v>109.598</v>
      </c>
      <c r="U1077" s="0" t="s">
        <v>31</v>
      </c>
    </row>
    <row r="1078" customFormat="false" ht="14.25" hidden="false" customHeight="false" outlineLevel="0" collapsed="false">
      <c r="A1078" s="0" t="n">
        <v>788</v>
      </c>
      <c r="B1078" s="0" t="str">
        <f aca="false">_xlfn.xlookup(A1078, artists!A$2:A$836, artists!B$2:B$836)</f>
        <v>Cashmere Cat</v>
      </c>
      <c r="C1078" s="1" t="s">
        <v>1113</v>
      </c>
      <c r="D1078" s="2" t="n">
        <v>186231</v>
      </c>
      <c r="E1078" s="2" t="n">
        <f aca="false">D1078/1000</f>
        <v>186.231</v>
      </c>
      <c r="F1078" s="10" t="b">
        <f aca="false">FALSE()</f>
        <v>0</v>
      </c>
      <c r="G1078" s="0" t="n">
        <v>21</v>
      </c>
      <c r="H1078" s="0" t="n">
        <f aca="false">_xlfn.xlookup(G1078, years!A$2:A$836, years!B$2:B$836)</f>
        <v>2018</v>
      </c>
      <c r="I1078" s="2" t="n">
        <v>56</v>
      </c>
      <c r="J1078" s="0" t="n">
        <v>0.747</v>
      </c>
      <c r="K1078" s="0" t="n">
        <v>0.641</v>
      </c>
      <c r="L1078" s="3" t="str">
        <f aca="false">IF(K1078&gt;0.66,"High",IF(K1078&gt;0.33&amp;K1078&lt;=0.66,"Medium","Low"))</f>
        <v>Low</v>
      </c>
      <c r="M1078" s="0" t="n">
        <v>-4.502</v>
      </c>
      <c r="N1078" s="3" t="n">
        <v>0.0925</v>
      </c>
      <c r="O1078" s="3" t="n">
        <v>0.25</v>
      </c>
      <c r="P1078" s="4" t="n">
        <v>0.00107</v>
      </c>
      <c r="Q1078" s="3" t="n">
        <v>0.106</v>
      </c>
      <c r="R1078" s="3" t="n">
        <v>0.453</v>
      </c>
      <c r="S1078" s="3" t="str">
        <f aca="false">IF(R1078 &gt;= 0.5, "Positive", "Negative")</f>
        <v>Negative</v>
      </c>
      <c r="T1078" s="2" t="n">
        <v>100.028</v>
      </c>
      <c r="U1078" s="0" t="s">
        <v>210</v>
      </c>
    </row>
    <row r="1079" customFormat="false" ht="14.25" hidden="false" customHeight="false" outlineLevel="0" collapsed="false">
      <c r="A1079" s="0" t="n">
        <v>114</v>
      </c>
      <c r="B1079" s="0" t="str">
        <f aca="false">_xlfn.xlookup(A1079, artists!A$2:A$836, artists!B$2:B$836)</f>
        <v>Case</v>
      </c>
      <c r="C1079" s="1" t="s">
        <v>1114</v>
      </c>
      <c r="D1079" s="2" t="n">
        <v>284666</v>
      </c>
      <c r="E1079" s="2" t="n">
        <f aca="false">D1079/1000</f>
        <v>284.666</v>
      </c>
      <c r="F1079" s="10" t="b">
        <f aca="false">FALSE()</f>
        <v>0</v>
      </c>
      <c r="G1079" s="0" t="n">
        <v>4</v>
      </c>
      <c r="H1079" s="0" t="n">
        <f aca="false">_xlfn.xlookup(G1079, years!A$2:A$836, years!B$2:B$836)</f>
        <v>2001</v>
      </c>
      <c r="I1079" s="2" t="n">
        <v>55</v>
      </c>
      <c r="J1079" s="0" t="n">
        <v>0.612</v>
      </c>
      <c r="K1079" s="0" t="n">
        <v>0.579</v>
      </c>
      <c r="L1079" s="3" t="str">
        <f aca="false">IF(K1079&gt;0.66,"High",IF(K1079&gt;0.33&amp;K1079&lt;=0.66,"Medium","Low"))</f>
        <v>Low</v>
      </c>
      <c r="M1079" s="0" t="n">
        <v>-6.417</v>
      </c>
      <c r="N1079" s="3" t="n">
        <v>0.0553</v>
      </c>
      <c r="O1079" s="3" t="n">
        <v>0.285</v>
      </c>
      <c r="P1079" s="4" t="n">
        <v>0</v>
      </c>
      <c r="Q1079" s="3" t="n">
        <v>0.0556</v>
      </c>
      <c r="R1079" s="3" t="n">
        <v>0.716</v>
      </c>
      <c r="S1079" s="3" t="str">
        <f aca="false">IF(R1079 &gt;= 0.5, "Positive", "Negative")</f>
        <v>Positive</v>
      </c>
      <c r="T1079" s="2" t="n">
        <v>86.31</v>
      </c>
      <c r="U1079" s="0" t="s">
        <v>31</v>
      </c>
    </row>
    <row r="1080" customFormat="false" ht="14.25" hidden="false" customHeight="false" outlineLevel="0" collapsed="false">
      <c r="A1080" s="0" t="n">
        <v>758</v>
      </c>
      <c r="B1080" s="0" t="str">
        <f aca="false">_xlfn.xlookup(A1080, artists!A$2:A$836, artists!B$2:B$836)</f>
        <v>Sheck Wes</v>
      </c>
      <c r="C1080" s="1" t="s">
        <v>1115</v>
      </c>
      <c r="D1080" s="2" t="n">
        <v>183906</v>
      </c>
      <c r="E1080" s="2" t="n">
        <f aca="false">D1080/1000</f>
        <v>183.906</v>
      </c>
      <c r="F1080" s="10" t="b">
        <f aca="false">TRUE()</f>
        <v>1</v>
      </c>
      <c r="G1080" s="0" t="n">
        <v>21</v>
      </c>
      <c r="H1080" s="0" t="n">
        <f aca="false">_xlfn.xlookup(G1080, years!A$2:A$836, years!B$2:B$836)</f>
        <v>2018</v>
      </c>
      <c r="I1080" s="2" t="n">
        <v>77</v>
      </c>
      <c r="J1080" s="0" t="n">
        <v>0.729</v>
      </c>
      <c r="K1080" s="0" t="n">
        <v>0.625</v>
      </c>
      <c r="L1080" s="3" t="str">
        <f aca="false">IF(K1080&gt;0.66,"High",IF(K1080&gt;0.33&amp;K1080&lt;=0.66,"Medium","Low"))</f>
        <v>Low</v>
      </c>
      <c r="M1080" s="0" t="n">
        <v>-5.266</v>
      </c>
      <c r="N1080" s="3" t="n">
        <v>0.0315</v>
      </c>
      <c r="O1080" s="3" t="n">
        <v>0.194</v>
      </c>
      <c r="P1080" s="4" t="n">
        <v>0.00986</v>
      </c>
      <c r="Q1080" s="3" t="n">
        <v>0.248</v>
      </c>
      <c r="R1080" s="3" t="n">
        <v>0.261</v>
      </c>
      <c r="S1080" s="3" t="str">
        <f aca="false">IF(R1080 &gt;= 0.5, "Positive", "Negative")</f>
        <v>Negative</v>
      </c>
      <c r="T1080" s="2" t="n">
        <v>146.034</v>
      </c>
      <c r="U1080" s="0" t="s">
        <v>29</v>
      </c>
    </row>
    <row r="1081" customFormat="false" ht="14.25" hidden="false" customHeight="false" outlineLevel="0" collapsed="false">
      <c r="A1081" s="0" t="n">
        <v>7</v>
      </c>
      <c r="B1081" s="0" t="str">
        <f aca="false">_xlfn.xlookup(A1081, artists!A$2:A$836, artists!B$2:B$836)</f>
        <v>Eminem</v>
      </c>
      <c r="C1081" s="1" t="s">
        <v>1116</v>
      </c>
      <c r="D1081" s="2" t="n">
        <v>250760</v>
      </c>
      <c r="E1081" s="2" t="n">
        <f aca="false">D1081/1000</f>
        <v>250.76</v>
      </c>
      <c r="F1081" s="10" t="b">
        <f aca="false">TRUE()</f>
        <v>1</v>
      </c>
      <c r="G1081" s="0" t="n">
        <v>7</v>
      </c>
      <c r="H1081" s="0" t="n">
        <f aca="false">_xlfn.xlookup(G1081, years!A$2:A$836, years!B$2:B$836)</f>
        <v>2004</v>
      </c>
      <c r="I1081" s="2" t="n">
        <v>77</v>
      </c>
      <c r="J1081" s="0" t="n">
        <v>0.637</v>
      </c>
      <c r="K1081" s="0" t="n">
        <v>0.678</v>
      </c>
      <c r="L1081" s="3" t="str">
        <f aca="false">IF(K1081&gt;0.66,"High",IF(K1081&gt;0.33&amp;K1081&lt;=0.66,"Medium","Low"))</f>
        <v>High</v>
      </c>
      <c r="M1081" s="0" t="n">
        <v>-3.798</v>
      </c>
      <c r="N1081" s="3" t="n">
        <v>0.266</v>
      </c>
      <c r="O1081" s="3" t="n">
        <v>0.209</v>
      </c>
      <c r="P1081" s="4" t="n">
        <v>0</v>
      </c>
      <c r="Q1081" s="3" t="n">
        <v>0.156</v>
      </c>
      <c r="R1081" s="3" t="n">
        <v>0.254</v>
      </c>
      <c r="S1081" s="3" t="str">
        <f aca="false">IF(R1081 &gt;= 0.5, "Positive", "Negative")</f>
        <v>Negative</v>
      </c>
      <c r="T1081" s="2" t="n">
        <v>84.039</v>
      </c>
      <c r="U1081" s="0" t="s">
        <v>29</v>
      </c>
    </row>
    <row r="1082" customFormat="false" ht="14.25" hidden="false" customHeight="false" outlineLevel="0" collapsed="false">
      <c r="A1082" s="0" t="n">
        <v>745</v>
      </c>
      <c r="B1082" s="0" t="str">
        <f aca="false">_xlfn.xlookup(A1082, artists!A$2:A$836, artists!B$2:B$836)</f>
        <v>Cardi B</v>
      </c>
      <c r="C1082" s="1" t="s">
        <v>1117</v>
      </c>
      <c r="D1082" s="2" t="n">
        <v>183527</v>
      </c>
      <c r="E1082" s="2" t="n">
        <f aca="false">D1082/1000</f>
        <v>183.527</v>
      </c>
      <c r="F1082" s="10" t="b">
        <f aca="false">TRUE()</f>
        <v>1</v>
      </c>
      <c r="G1082" s="0" t="n">
        <v>21</v>
      </c>
      <c r="H1082" s="0" t="n">
        <f aca="false">_xlfn.xlookup(G1082, years!A$2:A$836, years!B$2:B$836)</f>
        <v>2018</v>
      </c>
      <c r="I1082" s="2" t="n">
        <v>73</v>
      </c>
      <c r="J1082" s="0" t="n">
        <v>0.95</v>
      </c>
      <c r="K1082" s="0" t="n">
        <v>0.59</v>
      </c>
      <c r="L1082" s="3" t="str">
        <f aca="false">IF(K1082&gt;0.66,"High",IF(K1082&gt;0.33&amp;K1082&lt;=0.66,"Medium","Low"))</f>
        <v>Low</v>
      </c>
      <c r="M1082" s="0" t="n">
        <v>-6.508</v>
      </c>
      <c r="N1082" s="3" t="n">
        <v>0.29</v>
      </c>
      <c r="O1082" s="3" t="n">
        <v>0.00534</v>
      </c>
      <c r="P1082" s="4" t="n">
        <v>0</v>
      </c>
      <c r="Q1082" s="3" t="n">
        <v>0.11</v>
      </c>
      <c r="R1082" s="3" t="n">
        <v>0.219</v>
      </c>
      <c r="S1082" s="3" t="str">
        <f aca="false">IF(R1082 &gt;= 0.5, "Positive", "Negative")</f>
        <v>Negative</v>
      </c>
      <c r="T1082" s="2" t="n">
        <v>130.003</v>
      </c>
      <c r="U1082" s="0" t="s">
        <v>24</v>
      </c>
    </row>
    <row r="1083" customFormat="false" ht="14.25" hidden="false" customHeight="false" outlineLevel="0" collapsed="false">
      <c r="A1083" s="0" t="n">
        <v>455</v>
      </c>
      <c r="B1083" s="0" t="str">
        <f aca="false">_xlfn.xlookup(A1083, artists!A$2:A$836, artists!B$2:B$836)</f>
        <v>Drake</v>
      </c>
      <c r="C1083" s="1" t="s">
        <v>1118</v>
      </c>
      <c r="D1083" s="2" t="n">
        <v>205426</v>
      </c>
      <c r="E1083" s="2" t="n">
        <f aca="false">D1083/1000</f>
        <v>205.426</v>
      </c>
      <c r="F1083" s="10" t="b">
        <f aca="false">TRUE()</f>
        <v>1</v>
      </c>
      <c r="G1083" s="0" t="n">
        <v>22</v>
      </c>
      <c r="H1083" s="0" t="n">
        <f aca="false">_xlfn.xlookup(G1083, years!A$2:A$836, years!B$2:B$836)</f>
        <v>2019</v>
      </c>
      <c r="I1083" s="2" t="n">
        <v>76</v>
      </c>
      <c r="J1083" s="0" t="n">
        <v>0.831</v>
      </c>
      <c r="K1083" s="0" t="n">
        <v>0.502</v>
      </c>
      <c r="L1083" s="3" t="str">
        <f aca="false">IF(K1083&gt;0.66,"High",IF(K1083&gt;0.33&amp;K1083&lt;=0.66,"Medium","Low"))</f>
        <v>Low</v>
      </c>
      <c r="M1083" s="0" t="n">
        <v>-4.045</v>
      </c>
      <c r="N1083" s="3" t="n">
        <v>0.046</v>
      </c>
      <c r="O1083" s="3" t="n">
        <v>0.101</v>
      </c>
      <c r="P1083" s="4" t="n">
        <v>0</v>
      </c>
      <c r="Q1083" s="3" t="n">
        <v>0.122</v>
      </c>
      <c r="R1083" s="3" t="n">
        <v>0.101</v>
      </c>
      <c r="S1083" s="3" t="str">
        <f aca="false">IF(R1083 &gt;= 0.5, "Positive", "Negative")</f>
        <v>Negative</v>
      </c>
      <c r="T1083" s="2" t="n">
        <v>100.541</v>
      </c>
      <c r="U1083" s="0" t="s">
        <v>31</v>
      </c>
    </row>
    <row r="1084" customFormat="false" ht="14.25" hidden="false" customHeight="false" outlineLevel="0" collapsed="false">
      <c r="A1084" s="0" t="n">
        <v>137</v>
      </c>
      <c r="B1084" s="0" t="str">
        <f aca="false">_xlfn.xlookup(A1084, artists!A$2:A$836, artists!B$2:B$836)</f>
        <v>Ludacris</v>
      </c>
      <c r="C1084" s="1" t="s">
        <v>1119</v>
      </c>
      <c r="D1084" s="2" t="n">
        <v>230613</v>
      </c>
      <c r="E1084" s="2" t="n">
        <f aca="false">D1084/1000</f>
        <v>230.613</v>
      </c>
      <c r="F1084" s="10" t="b">
        <f aca="false">TRUE()</f>
        <v>1</v>
      </c>
      <c r="G1084" s="0" t="n">
        <v>9</v>
      </c>
      <c r="H1084" s="0" t="n">
        <f aca="false">_xlfn.xlookup(G1084, years!A$2:A$836, years!B$2:B$836)</f>
        <v>2006</v>
      </c>
      <c r="I1084" s="2" t="n">
        <v>62</v>
      </c>
      <c r="J1084" s="0" t="n">
        <v>0.551</v>
      </c>
      <c r="K1084" s="0" t="n">
        <v>0.598</v>
      </c>
      <c r="L1084" s="3" t="str">
        <f aca="false">IF(K1084&gt;0.66,"High",IF(K1084&gt;0.33&amp;K1084&lt;=0.66,"Medium","Low"))</f>
        <v>Low</v>
      </c>
      <c r="M1084" s="0" t="n">
        <v>-6.79</v>
      </c>
      <c r="N1084" s="3" t="n">
        <v>0.27</v>
      </c>
      <c r="O1084" s="3" t="n">
        <v>0.15</v>
      </c>
      <c r="P1084" s="4" t="n">
        <v>0</v>
      </c>
      <c r="Q1084" s="3" t="n">
        <v>0.299</v>
      </c>
      <c r="R1084" s="3" t="n">
        <v>0.612</v>
      </c>
      <c r="S1084" s="3" t="str">
        <f aca="false">IF(R1084 &gt;= 0.5, "Positive", "Negative")</f>
        <v>Positive</v>
      </c>
      <c r="T1084" s="2" t="n">
        <v>78.756</v>
      </c>
      <c r="U1084" s="0" t="s">
        <v>24</v>
      </c>
    </row>
    <row r="1085" customFormat="false" ht="14.25" hidden="false" customHeight="false" outlineLevel="0" collapsed="false">
      <c r="A1085" s="0" t="n">
        <v>603</v>
      </c>
      <c r="B1085" s="0" t="str">
        <f aca="false">_xlfn.xlookup(A1085, artists!A$2:A$836, artists!B$2:B$836)</f>
        <v>Sam Smith</v>
      </c>
      <c r="C1085" s="1" t="s">
        <v>1120</v>
      </c>
      <c r="D1085" s="2" t="n">
        <v>192670</v>
      </c>
      <c r="E1085" s="2" t="n">
        <f aca="false">D1085/1000</f>
        <v>192.67</v>
      </c>
      <c r="F1085" s="10" t="b">
        <f aca="false">FALSE()</f>
        <v>0</v>
      </c>
      <c r="G1085" s="0" t="n">
        <v>17</v>
      </c>
      <c r="H1085" s="0" t="n">
        <f aca="false">_xlfn.xlookup(G1085, years!A$2:A$836, years!B$2:B$836)</f>
        <v>2014</v>
      </c>
      <c r="I1085" s="2" t="n">
        <v>62</v>
      </c>
      <c r="J1085" s="0" t="n">
        <v>0.688</v>
      </c>
      <c r="K1085" s="0" t="n">
        <v>0.841</v>
      </c>
      <c r="L1085" s="3" t="str">
        <f aca="false">IF(K1085&gt;0.66,"High",IF(K1085&gt;0.33&amp;K1085&lt;=0.66,"Medium","Low"))</f>
        <v>High</v>
      </c>
      <c r="M1085" s="0" t="n">
        <v>-5.217</v>
      </c>
      <c r="N1085" s="3" t="n">
        <v>0.179</v>
      </c>
      <c r="O1085" s="3" t="n">
        <v>0.204</v>
      </c>
      <c r="P1085" s="4" t="n">
        <v>0.000295</v>
      </c>
      <c r="Q1085" s="3" t="n">
        <v>0.229</v>
      </c>
      <c r="R1085" s="3" t="n">
        <v>0.743</v>
      </c>
      <c r="S1085" s="3" t="str">
        <f aca="false">IF(R1085 &gt;= 0.5, "Positive", "Negative")</f>
        <v>Positive</v>
      </c>
      <c r="T1085" s="2" t="n">
        <v>133.912</v>
      </c>
      <c r="U1085" s="0" t="s">
        <v>39</v>
      </c>
    </row>
    <row r="1086" customFormat="false" ht="14.25" hidden="false" customHeight="false" outlineLevel="0" collapsed="false">
      <c r="A1086" s="0" t="n">
        <v>441</v>
      </c>
      <c r="B1086" s="0" t="str">
        <f aca="false">_xlfn.xlookup(A1086, artists!A$2:A$836, artists!B$2:B$836)</f>
        <v>Skillet</v>
      </c>
      <c r="C1086" s="1" t="s">
        <v>1121</v>
      </c>
      <c r="D1086" s="2" t="n">
        <v>178013</v>
      </c>
      <c r="E1086" s="2" t="n">
        <f aca="false">D1086/1000</f>
        <v>178.013</v>
      </c>
      <c r="F1086" s="10" t="b">
        <f aca="false">FALSE()</f>
        <v>0</v>
      </c>
      <c r="G1086" s="0" t="n">
        <v>12</v>
      </c>
      <c r="H1086" s="0" t="n">
        <f aca="false">_xlfn.xlookup(G1086, years!A$2:A$836, years!B$2:B$836)</f>
        <v>2009</v>
      </c>
      <c r="I1086" s="2" t="n">
        <v>75</v>
      </c>
      <c r="J1086" s="0" t="n">
        <v>0.64</v>
      </c>
      <c r="K1086" s="0" t="n">
        <v>0.957</v>
      </c>
      <c r="L1086" s="3" t="str">
        <f aca="false">IF(K1086&gt;0.66,"High",IF(K1086&gt;0.33&amp;K1086&lt;=0.66,"Medium","Low"))</f>
        <v>High</v>
      </c>
      <c r="M1086" s="0" t="n">
        <v>-2.336</v>
      </c>
      <c r="N1086" s="3" t="n">
        <v>0.0741</v>
      </c>
      <c r="O1086" s="3" t="n">
        <v>0.0431</v>
      </c>
      <c r="P1086" s="4" t="n">
        <v>0</v>
      </c>
      <c r="Q1086" s="3" t="n">
        <v>0.0789</v>
      </c>
      <c r="R1086" s="3" t="n">
        <v>0.692</v>
      </c>
      <c r="S1086" s="3" t="str">
        <f aca="false">IF(R1086 &gt;= 0.5, "Positive", "Negative")</f>
        <v>Positive</v>
      </c>
      <c r="T1086" s="2" t="n">
        <v>134.992</v>
      </c>
      <c r="U1086" s="0" t="s">
        <v>697</v>
      </c>
    </row>
    <row r="1087" customFormat="false" ht="14.25" hidden="false" customHeight="false" outlineLevel="0" collapsed="false">
      <c r="A1087" s="0" t="n">
        <v>740</v>
      </c>
      <c r="B1087" s="0" t="str">
        <f aca="false">_xlfn.xlookup(A1087, artists!A$2:A$836, artists!B$2:B$836)</f>
        <v>XXXTENTACION</v>
      </c>
      <c r="C1087" s="1" t="s">
        <v>1122</v>
      </c>
      <c r="D1087" s="2" t="n">
        <v>135090</v>
      </c>
      <c r="E1087" s="2" t="n">
        <f aca="false">D1087/1000</f>
        <v>135.09</v>
      </c>
      <c r="F1087" s="10" t="b">
        <f aca="false">TRUE()</f>
        <v>1</v>
      </c>
      <c r="G1087" s="0" t="n">
        <v>21</v>
      </c>
      <c r="H1087" s="0" t="n">
        <f aca="false">_xlfn.xlookup(G1087, years!A$2:A$836, years!B$2:B$836)</f>
        <v>2018</v>
      </c>
      <c r="I1087" s="2" t="n">
        <v>82</v>
      </c>
      <c r="J1087" s="0" t="n">
        <v>0.921</v>
      </c>
      <c r="K1087" s="0" t="n">
        <v>0.537</v>
      </c>
      <c r="L1087" s="3" t="str">
        <f aca="false">IF(K1087&gt;0.66,"High",IF(K1087&gt;0.33&amp;K1087&lt;=0.66,"Medium","Low"))</f>
        <v>Low</v>
      </c>
      <c r="M1087" s="0" t="n">
        <v>-5.723</v>
      </c>
      <c r="N1087" s="3" t="n">
        <v>0.0804</v>
      </c>
      <c r="O1087" s="3" t="n">
        <v>0.556</v>
      </c>
      <c r="P1087" s="4" t="n">
        <v>0.00404</v>
      </c>
      <c r="Q1087" s="3" t="n">
        <v>0.102</v>
      </c>
      <c r="R1087" s="3" t="n">
        <v>0.711</v>
      </c>
      <c r="S1087" s="3" t="str">
        <f aca="false">IF(R1087 &gt;= 0.5, "Positive", "Negative")</f>
        <v>Positive</v>
      </c>
      <c r="T1087" s="2" t="n">
        <v>128.009</v>
      </c>
      <c r="U1087" s="0" t="s">
        <v>29</v>
      </c>
    </row>
    <row r="1088" customFormat="false" ht="14.25" hidden="false" customHeight="false" outlineLevel="0" collapsed="false">
      <c r="A1088" s="0" t="n">
        <v>120</v>
      </c>
      <c r="B1088" s="0" t="str">
        <f aca="false">_xlfn.xlookup(A1088, artists!A$2:A$836, artists!B$2:B$836)</f>
        <v>Usher</v>
      </c>
      <c r="C1088" s="1" t="s">
        <v>1123</v>
      </c>
      <c r="D1088" s="2" t="n">
        <v>219986</v>
      </c>
      <c r="E1088" s="2" t="n">
        <f aca="false">D1088/1000</f>
        <v>219.986</v>
      </c>
      <c r="F1088" s="10" t="b">
        <f aca="false">FALSE()</f>
        <v>0</v>
      </c>
      <c r="G1088" s="0" t="n">
        <v>13</v>
      </c>
      <c r="H1088" s="0" t="n">
        <f aca="false">_xlfn.xlookup(G1088, years!A$2:A$836, years!B$2:B$836)</f>
        <v>2010</v>
      </c>
      <c r="I1088" s="2" t="n">
        <v>67</v>
      </c>
      <c r="J1088" s="0" t="n">
        <v>0.551</v>
      </c>
      <c r="K1088" s="0" t="n">
        <v>0.893</v>
      </c>
      <c r="L1088" s="3" t="str">
        <f aca="false">IF(K1088&gt;0.66,"High",IF(K1088&gt;0.33&amp;K1088&lt;=0.66,"Medium","Low"))</f>
        <v>High</v>
      </c>
      <c r="M1088" s="0" t="n">
        <v>-2.628</v>
      </c>
      <c r="N1088" s="3" t="n">
        <v>0.0543</v>
      </c>
      <c r="O1088" s="3" t="n">
        <v>0.00166</v>
      </c>
      <c r="P1088" s="4" t="n">
        <v>0</v>
      </c>
      <c r="Q1088" s="3" t="n">
        <v>0.348</v>
      </c>
      <c r="R1088" s="3" t="n">
        <v>0.794</v>
      </c>
      <c r="S1088" s="3" t="str">
        <f aca="false">IF(R1088 &gt;= 0.5, "Positive", "Negative")</f>
        <v>Positive</v>
      </c>
      <c r="T1088" s="2" t="n">
        <v>125.083</v>
      </c>
      <c r="U1088" s="0" t="s">
        <v>31</v>
      </c>
    </row>
    <row r="1089" customFormat="false" ht="14.25" hidden="false" customHeight="false" outlineLevel="0" collapsed="false">
      <c r="A1089" s="0" t="n">
        <v>16</v>
      </c>
      <c r="B1089" s="0" t="str">
        <f aca="false">_xlfn.xlookup(A1089, artists!A$2:A$836, artists!B$2:B$836)</f>
        <v>Aaliyah</v>
      </c>
      <c r="C1089" s="1" t="s">
        <v>1124</v>
      </c>
      <c r="D1089" s="2" t="n">
        <v>230346</v>
      </c>
      <c r="E1089" s="2" t="n">
        <f aca="false">D1089/1000</f>
        <v>230.346</v>
      </c>
      <c r="F1089" s="10" t="b">
        <f aca="false">FALSE()</f>
        <v>0</v>
      </c>
      <c r="G1089" s="0" t="n">
        <v>5</v>
      </c>
      <c r="H1089" s="0" t="n">
        <f aca="false">_xlfn.xlookup(G1089, years!A$2:A$836, years!B$2:B$836)</f>
        <v>2002</v>
      </c>
      <c r="I1089" s="2" t="n">
        <v>42</v>
      </c>
      <c r="J1089" s="0" t="n">
        <v>0.646</v>
      </c>
      <c r="K1089" s="0" t="n">
        <v>0.638</v>
      </c>
      <c r="L1089" s="3" t="str">
        <f aca="false">IF(K1089&gt;0.66,"High",IF(K1089&gt;0.33&amp;K1089&lt;=0.66,"Medium","Low"))</f>
        <v>Low</v>
      </c>
      <c r="M1089" s="0" t="n">
        <v>-5.803</v>
      </c>
      <c r="N1089" s="3" t="n">
        <v>0.0787</v>
      </c>
      <c r="O1089" s="3" t="n">
        <v>0.0556</v>
      </c>
      <c r="P1089" s="4" t="n">
        <v>0.0014</v>
      </c>
      <c r="Q1089" s="3" t="n">
        <v>0.182</v>
      </c>
      <c r="R1089" s="3" t="n">
        <v>0.74</v>
      </c>
      <c r="S1089" s="3" t="str">
        <f aca="false">IF(R1089 &gt;= 0.5, "Positive", "Negative")</f>
        <v>Positive</v>
      </c>
      <c r="T1089" s="2" t="n">
        <v>86.994</v>
      </c>
      <c r="U1089" s="0" t="s">
        <v>31</v>
      </c>
    </row>
    <row r="1090" customFormat="false" ht="14.25" hidden="false" customHeight="false" outlineLevel="0" collapsed="false">
      <c r="A1090" s="0" t="n">
        <v>439</v>
      </c>
      <c r="B1090" s="0" t="str">
        <f aca="false">_xlfn.xlookup(A1090, artists!A$2:A$836, artists!B$2:B$836)</f>
        <v>Taylor Swift</v>
      </c>
      <c r="C1090" s="1" t="s">
        <v>1125</v>
      </c>
      <c r="D1090" s="2" t="n">
        <v>211853</v>
      </c>
      <c r="E1090" s="2" t="n">
        <f aca="false">D1090/1000</f>
        <v>211.853</v>
      </c>
      <c r="F1090" s="10" t="b">
        <f aca="false">FALSE()</f>
        <v>0</v>
      </c>
      <c r="G1090" s="0" t="n">
        <v>20</v>
      </c>
      <c r="H1090" s="0" t="n">
        <f aca="false">_xlfn.xlookup(G1090, years!A$2:A$836, years!B$2:B$836)</f>
        <v>2017</v>
      </c>
      <c r="I1090" s="2" t="n">
        <v>76</v>
      </c>
      <c r="J1090" s="0" t="n">
        <v>0.766</v>
      </c>
      <c r="K1090" s="0" t="n">
        <v>0.709</v>
      </c>
      <c r="L1090" s="3" t="str">
        <f aca="false">IF(K1090&gt;0.66,"High",IF(K1090&gt;0.33&amp;K1090&lt;=0.66,"Medium","Low"))</f>
        <v>High</v>
      </c>
      <c r="M1090" s="0" t="n">
        <v>-6.471</v>
      </c>
      <c r="N1090" s="3" t="n">
        <v>0.123</v>
      </c>
      <c r="O1090" s="3" t="n">
        <v>0.204</v>
      </c>
      <c r="P1090" s="4" t="n">
        <v>1.41E-005</v>
      </c>
      <c r="Q1090" s="3" t="n">
        <v>0.126</v>
      </c>
      <c r="R1090" s="3" t="n">
        <v>0.506</v>
      </c>
      <c r="S1090" s="3" t="str">
        <f aca="false">IF(R1090 &gt;= 0.5, "Positive", "Negative")</f>
        <v>Positive</v>
      </c>
      <c r="T1090" s="2" t="n">
        <v>128.07</v>
      </c>
      <c r="U1090" s="0" t="s">
        <v>39</v>
      </c>
    </row>
    <row r="1091" customFormat="false" ht="14.25" hidden="false" customHeight="false" outlineLevel="0" collapsed="false">
      <c r="A1091" s="0" t="n">
        <v>55</v>
      </c>
      <c r="B1091" s="0" t="str">
        <f aca="false">_xlfn.xlookup(A1091, artists!A$2:A$836, artists!B$2:B$836)</f>
        <v>P!nk</v>
      </c>
      <c r="C1091" s="1" t="s">
        <v>1126</v>
      </c>
      <c r="D1091" s="2" t="n">
        <v>298960</v>
      </c>
      <c r="E1091" s="2" t="n">
        <f aca="false">D1091/1000</f>
        <v>298.96</v>
      </c>
      <c r="F1091" s="10" t="b">
        <f aca="false">FALSE()</f>
        <v>0</v>
      </c>
      <c r="G1091" s="0" t="n">
        <v>3</v>
      </c>
      <c r="H1091" s="0" t="n">
        <f aca="false">_xlfn.xlookup(G1091, years!A$2:A$836, years!B$2:B$836)</f>
        <v>2000</v>
      </c>
      <c r="I1091" s="2" t="n">
        <v>52</v>
      </c>
      <c r="J1091" s="0" t="n">
        <v>0.742</v>
      </c>
      <c r="K1091" s="0" t="n">
        <v>0.732</v>
      </c>
      <c r="L1091" s="3" t="str">
        <f aca="false">IF(K1091&gt;0.66,"High",IF(K1091&gt;0.33&amp;K1091&lt;=0.66,"Medium","Low"))</f>
        <v>High</v>
      </c>
      <c r="M1091" s="0" t="n">
        <v>-6.046</v>
      </c>
      <c r="N1091" s="3" t="n">
        <v>0.0311</v>
      </c>
      <c r="O1091" s="3" t="n">
        <v>0.0424</v>
      </c>
      <c r="P1091" s="4" t="n">
        <v>0.00446</v>
      </c>
      <c r="Q1091" s="3" t="n">
        <v>0.101</v>
      </c>
      <c r="R1091" s="3" t="n">
        <v>0.694</v>
      </c>
      <c r="S1091" s="3" t="str">
        <f aca="false">IF(R1091 &gt;= 0.5, "Positive", "Negative")</f>
        <v>Positive</v>
      </c>
      <c r="T1091" s="2" t="n">
        <v>97.922</v>
      </c>
      <c r="U1091" s="0" t="s">
        <v>39</v>
      </c>
    </row>
    <row r="1092" customFormat="false" ht="14.25" hidden="false" customHeight="false" outlineLevel="0" collapsed="false">
      <c r="A1092" s="0" t="n">
        <v>223</v>
      </c>
      <c r="B1092" s="0" t="str">
        <f aca="false">_xlfn.xlookup(A1092, artists!A$2:A$836, artists!B$2:B$836)</f>
        <v>Kelly Rowland</v>
      </c>
      <c r="C1092" s="1" t="s">
        <v>1127</v>
      </c>
      <c r="D1092" s="2" t="n">
        <v>230560</v>
      </c>
      <c r="E1092" s="2" t="n">
        <f aca="false">D1092/1000</f>
        <v>230.56</v>
      </c>
      <c r="F1092" s="10" t="b">
        <f aca="false">FALSE()</f>
        <v>0</v>
      </c>
      <c r="G1092" s="0" t="n">
        <v>14</v>
      </c>
      <c r="H1092" s="0" t="n">
        <f aca="false">_xlfn.xlookup(G1092, years!A$2:A$836, years!B$2:B$836)</f>
        <v>2011</v>
      </c>
      <c r="I1092" s="2" t="n">
        <v>65</v>
      </c>
      <c r="J1092" s="0" t="n">
        <v>0.744</v>
      </c>
      <c r="K1092" s="0" t="n">
        <v>0.672</v>
      </c>
      <c r="L1092" s="3" t="str">
        <f aca="false">IF(K1092&gt;0.66,"High",IF(K1092&gt;0.33&amp;K1092&lt;=0.66,"Medium","Low"))</f>
        <v>High</v>
      </c>
      <c r="M1092" s="0" t="n">
        <v>-5.589</v>
      </c>
      <c r="N1092" s="3" t="n">
        <v>0.0418</v>
      </c>
      <c r="O1092" s="3" t="n">
        <v>0.187</v>
      </c>
      <c r="P1092" s="4" t="n">
        <v>0.000123</v>
      </c>
      <c r="Q1092" s="3" t="n">
        <v>0.105</v>
      </c>
      <c r="R1092" s="3" t="n">
        <v>0.266</v>
      </c>
      <c r="S1092" s="3" t="str">
        <f aca="false">IF(R1092 &gt;= 0.5, "Positive", "Negative")</f>
        <v>Negative</v>
      </c>
      <c r="T1092" s="2" t="n">
        <v>140.889</v>
      </c>
      <c r="U1092" s="0" t="s">
        <v>31</v>
      </c>
    </row>
    <row r="1093" customFormat="false" ht="14.25" hidden="false" customHeight="false" outlineLevel="0" collapsed="false">
      <c r="A1093" s="0" t="n">
        <v>833</v>
      </c>
      <c r="B1093" s="0" t="str">
        <f aca="false">_xlfn.xlookup(A1093, artists!A$2:A$836, artists!B$2:B$836)</f>
        <v>Normani</v>
      </c>
      <c r="C1093" s="1" t="s">
        <v>1127</v>
      </c>
      <c r="D1093" s="2" t="n">
        <v>193837</v>
      </c>
      <c r="E1093" s="2" t="n">
        <f aca="false">D1093/1000</f>
        <v>193.837</v>
      </c>
      <c r="F1093" s="10" t="b">
        <f aca="false">FALSE()</f>
        <v>0</v>
      </c>
      <c r="G1093" s="0" t="n">
        <v>22</v>
      </c>
      <c r="H1093" s="0" t="n">
        <f aca="false">_xlfn.xlookup(G1093, years!A$2:A$836, years!B$2:B$836)</f>
        <v>2019</v>
      </c>
      <c r="I1093" s="2" t="n">
        <v>71</v>
      </c>
      <c r="J1093" s="0" t="n">
        <v>0.599</v>
      </c>
      <c r="K1093" s="0" t="n">
        <v>0.887</v>
      </c>
      <c r="L1093" s="3" t="str">
        <f aca="false">IF(K1093&gt;0.66,"High",IF(K1093&gt;0.33&amp;K1093&lt;=0.66,"Medium","Low"))</f>
        <v>High</v>
      </c>
      <c r="M1093" s="0" t="n">
        <v>-3.967</v>
      </c>
      <c r="N1093" s="3" t="n">
        <v>0.0984</v>
      </c>
      <c r="O1093" s="3" t="n">
        <v>0.0192</v>
      </c>
      <c r="P1093" s="4" t="n">
        <v>1.21E-006</v>
      </c>
      <c r="Q1093" s="3" t="n">
        <v>0.3</v>
      </c>
      <c r="R1093" s="3" t="n">
        <v>0.881</v>
      </c>
      <c r="S1093" s="3" t="str">
        <f aca="false">IF(R1093 &gt;= 0.5, "Positive", "Negative")</f>
        <v>Positive</v>
      </c>
      <c r="T1093" s="2" t="n">
        <v>170.918</v>
      </c>
      <c r="U1093" s="0" t="s">
        <v>33</v>
      </c>
    </row>
    <row r="1094" customFormat="false" ht="14.25" hidden="false" customHeight="false" outlineLevel="0" collapsed="false">
      <c r="A1094" s="0" t="n">
        <v>741</v>
      </c>
      <c r="B1094" s="0" t="str">
        <f aca="false">_xlfn.xlookup(A1094, artists!A$2:A$836, artists!B$2:B$836)</f>
        <v>Migos</v>
      </c>
      <c r="C1094" s="1" t="s">
        <v>1128</v>
      </c>
      <c r="D1094" s="2" t="n">
        <v>303076</v>
      </c>
      <c r="E1094" s="2" t="n">
        <f aca="false">D1094/1000</f>
        <v>303.076</v>
      </c>
      <c r="F1094" s="10" t="b">
        <f aca="false">TRUE()</f>
        <v>1</v>
      </c>
      <c r="G1094" s="0" t="n">
        <v>21</v>
      </c>
      <c r="H1094" s="0" t="n">
        <f aca="false">_xlfn.xlookup(G1094, years!A$2:A$836, years!B$2:B$836)</f>
        <v>2018</v>
      </c>
      <c r="I1094" s="2" t="n">
        <v>72</v>
      </c>
      <c r="J1094" s="0" t="n">
        <v>0.904</v>
      </c>
      <c r="K1094" s="0" t="n">
        <v>0.518</v>
      </c>
      <c r="L1094" s="3" t="str">
        <f aca="false">IF(K1094&gt;0.66,"High",IF(K1094&gt;0.33&amp;K1094&lt;=0.66,"Medium","Low"))</f>
        <v>Low</v>
      </c>
      <c r="M1094" s="0" t="n">
        <v>-5.32</v>
      </c>
      <c r="N1094" s="3" t="n">
        <v>0.183</v>
      </c>
      <c r="O1094" s="3" t="n">
        <v>0.0305</v>
      </c>
      <c r="P1094" s="4" t="n">
        <v>0</v>
      </c>
      <c r="Q1094" s="3" t="n">
        <v>0.325</v>
      </c>
      <c r="R1094" s="3" t="n">
        <v>0.188</v>
      </c>
      <c r="S1094" s="3" t="str">
        <f aca="false">IF(R1094 &gt;= 0.5, "Positive", "Negative")</f>
        <v>Negative</v>
      </c>
      <c r="T1094" s="2" t="n">
        <v>137.996</v>
      </c>
      <c r="U1094" s="0" t="s">
        <v>24</v>
      </c>
    </row>
    <row r="1095" customFormat="false" ht="14.25" hidden="false" customHeight="false" outlineLevel="0" collapsed="false">
      <c r="A1095" s="0" t="n">
        <v>160</v>
      </c>
      <c r="B1095" s="0" t="str">
        <f aca="false">_xlfn.xlookup(A1095, artists!A$2:A$836, artists!B$2:B$836)</f>
        <v>Disturbing Tha Peace</v>
      </c>
      <c r="C1095" s="1" t="s">
        <v>1129</v>
      </c>
      <c r="D1095" s="2" t="n">
        <v>272293</v>
      </c>
      <c r="E1095" s="2" t="n">
        <f aca="false">D1095/1000</f>
        <v>272.293</v>
      </c>
      <c r="F1095" s="10" t="b">
        <f aca="false">TRUE()</f>
        <v>1</v>
      </c>
      <c r="G1095" s="0" t="n">
        <v>5</v>
      </c>
      <c r="H1095" s="0" t="n">
        <f aca="false">_xlfn.xlookup(G1095, years!A$2:A$836, years!B$2:B$836)</f>
        <v>2002</v>
      </c>
      <c r="I1095" s="2" t="n">
        <v>59</v>
      </c>
      <c r="J1095" s="0" t="n">
        <v>0.777</v>
      </c>
      <c r="K1095" s="0" t="n">
        <v>0.751</v>
      </c>
      <c r="L1095" s="3" t="str">
        <f aca="false">IF(K1095&gt;0.66,"High",IF(K1095&gt;0.33&amp;K1095&lt;=0.66,"Medium","Low"))</f>
        <v>High</v>
      </c>
      <c r="M1095" s="0" t="n">
        <v>-5.692</v>
      </c>
      <c r="N1095" s="3" t="n">
        <v>0.133</v>
      </c>
      <c r="O1095" s="3" t="n">
        <v>0.245</v>
      </c>
      <c r="P1095" s="4" t="n">
        <v>0</v>
      </c>
      <c r="Q1095" s="3" t="n">
        <v>0.1</v>
      </c>
      <c r="R1095" s="3" t="n">
        <v>0.191</v>
      </c>
      <c r="S1095" s="3" t="str">
        <f aca="false">IF(R1095 &gt;= 0.5, "Positive", "Negative")</f>
        <v>Negative</v>
      </c>
      <c r="T1095" s="2" t="n">
        <v>177.894</v>
      </c>
      <c r="U1095" s="0" t="s">
        <v>24</v>
      </c>
    </row>
    <row r="1096" customFormat="false" ht="14.25" hidden="false" customHeight="false" outlineLevel="0" collapsed="false">
      <c r="A1096" s="0" t="n">
        <v>253</v>
      </c>
      <c r="B1096" s="0" t="str">
        <f aca="false">_xlfn.xlookup(A1096, artists!A$2:A$836, artists!B$2:B$836)</f>
        <v>Nina Sky</v>
      </c>
      <c r="C1096" s="1" t="s">
        <v>1130</v>
      </c>
      <c r="D1096" s="2" t="n">
        <v>232000</v>
      </c>
      <c r="E1096" s="2" t="n">
        <f aca="false">D1096/1000</f>
        <v>232</v>
      </c>
      <c r="F1096" s="10" t="b">
        <f aca="false">FALSE()</f>
        <v>0</v>
      </c>
      <c r="G1096" s="0" t="n">
        <v>7</v>
      </c>
      <c r="H1096" s="0" t="n">
        <f aca="false">_xlfn.xlookup(G1096, years!A$2:A$836, years!B$2:B$836)</f>
        <v>2004</v>
      </c>
      <c r="I1096" s="2" t="n">
        <v>67</v>
      </c>
      <c r="J1096" s="0" t="n">
        <v>0.87</v>
      </c>
      <c r="K1096" s="0" t="n">
        <v>0.712</v>
      </c>
      <c r="L1096" s="3" t="str">
        <f aca="false">IF(K1096&gt;0.66,"High",IF(K1096&gt;0.33&amp;K1096&lt;=0.66,"Medium","Low"))</f>
        <v>High</v>
      </c>
      <c r="M1096" s="0" t="n">
        <v>-6.313</v>
      </c>
      <c r="N1096" s="3" t="n">
        <v>0.0432</v>
      </c>
      <c r="O1096" s="3" t="n">
        <v>0.0202</v>
      </c>
      <c r="P1096" s="4" t="n">
        <v>0.000331</v>
      </c>
      <c r="Q1096" s="3" t="n">
        <v>0.0576</v>
      </c>
      <c r="R1096" s="3" t="n">
        <v>0.877</v>
      </c>
      <c r="S1096" s="3" t="str">
        <f aca="false">IF(R1096 &gt;= 0.5, "Positive", "Negative")</f>
        <v>Positive</v>
      </c>
      <c r="T1096" s="2" t="n">
        <v>121.057</v>
      </c>
      <c r="U1096" s="0" t="s">
        <v>33</v>
      </c>
    </row>
    <row r="1097" customFormat="false" ht="14.25" hidden="false" customHeight="false" outlineLevel="0" collapsed="false">
      <c r="A1097" s="0" t="n">
        <v>12</v>
      </c>
      <c r="B1097" s="0" t="str">
        <f aca="false">_xlfn.xlookup(A1097, artists!A$2:A$836, artists!B$2:B$836)</f>
        <v>Eiffel 65</v>
      </c>
      <c r="C1097" s="1" t="s">
        <v>1131</v>
      </c>
      <c r="D1097" s="2" t="n">
        <v>268863</v>
      </c>
      <c r="E1097" s="2" t="n">
        <f aca="false">D1097/1000</f>
        <v>268.863</v>
      </c>
      <c r="F1097" s="10" t="b">
        <f aca="false">FALSE()</f>
        <v>0</v>
      </c>
      <c r="G1097" s="0" t="n">
        <v>2</v>
      </c>
      <c r="H1097" s="0" t="n">
        <f aca="false">_xlfn.xlookup(G1097, years!A$2:A$836, years!B$2:B$836)</f>
        <v>1999</v>
      </c>
      <c r="I1097" s="2" t="n">
        <v>56</v>
      </c>
      <c r="J1097" s="0" t="n">
        <v>0.745</v>
      </c>
      <c r="K1097" s="0" t="n">
        <v>0.958</v>
      </c>
      <c r="L1097" s="3" t="str">
        <f aca="false">IF(K1097&gt;0.66,"High",IF(K1097&gt;0.33&amp;K1097&lt;=0.66,"Medium","Low"))</f>
        <v>High</v>
      </c>
      <c r="M1097" s="0" t="n">
        <v>-9.664</v>
      </c>
      <c r="N1097" s="3" t="n">
        <v>0.0287</v>
      </c>
      <c r="O1097" s="3" t="n">
        <v>0.0813</v>
      </c>
      <c r="P1097" s="4" t="n">
        <v>0.324</v>
      </c>
      <c r="Q1097" s="3" t="n">
        <v>0.533</v>
      </c>
      <c r="R1097" s="3" t="n">
        <v>0.96</v>
      </c>
      <c r="S1097" s="3" t="str">
        <f aca="false">IF(R1097 &gt;= 0.5, "Positive", "Negative")</f>
        <v>Positive</v>
      </c>
      <c r="T1097" s="2" t="n">
        <v>129.962</v>
      </c>
      <c r="U1097" s="0" t="s">
        <v>39</v>
      </c>
    </row>
    <row r="1098" customFormat="false" ht="14.25" hidden="false" customHeight="false" outlineLevel="0" collapsed="false">
      <c r="A1098" s="0" t="n">
        <v>224</v>
      </c>
      <c r="B1098" s="0" t="str">
        <f aca="false">_xlfn.xlookup(A1098, artists!A$2:A$836, artists!B$2:B$836)</f>
        <v>Junior Senior</v>
      </c>
      <c r="C1098" s="1" t="s">
        <v>1132</v>
      </c>
      <c r="D1098" s="2" t="n">
        <v>181826</v>
      </c>
      <c r="E1098" s="2" t="n">
        <f aca="false">D1098/1000</f>
        <v>181.826</v>
      </c>
      <c r="F1098" s="10" t="b">
        <f aca="false">FALSE()</f>
        <v>0</v>
      </c>
      <c r="G1098" s="0" t="n">
        <v>5</v>
      </c>
      <c r="H1098" s="0" t="n">
        <f aca="false">_xlfn.xlookup(G1098, years!A$2:A$836, years!B$2:B$836)</f>
        <v>2002</v>
      </c>
      <c r="I1098" s="2" t="n">
        <v>67</v>
      </c>
      <c r="J1098" s="0" t="n">
        <v>0.747</v>
      </c>
      <c r="K1098" s="0" t="n">
        <v>0.904</v>
      </c>
      <c r="L1098" s="3" t="str">
        <f aca="false">IF(K1098&gt;0.66,"High",IF(K1098&gt;0.33&amp;K1098&lt;=0.66,"Medium","Low"))</f>
        <v>High</v>
      </c>
      <c r="M1098" s="0" t="n">
        <v>-2.623</v>
      </c>
      <c r="N1098" s="3" t="n">
        <v>0.0803</v>
      </c>
      <c r="O1098" s="3" t="n">
        <v>0.046</v>
      </c>
      <c r="P1098" s="4" t="n">
        <v>0.106</v>
      </c>
      <c r="Q1098" s="3" t="n">
        <v>0.203</v>
      </c>
      <c r="R1098" s="3" t="n">
        <v>0.846</v>
      </c>
      <c r="S1098" s="3" t="str">
        <f aca="false">IF(R1098 &gt;= 0.5, "Positive", "Negative")</f>
        <v>Positive</v>
      </c>
      <c r="T1098" s="2" t="n">
        <v>118.877</v>
      </c>
      <c r="U1098" s="0" t="s">
        <v>39</v>
      </c>
    </row>
    <row r="1099" customFormat="false" ht="14.25" hidden="false" customHeight="false" outlineLevel="0" collapsed="false">
      <c r="A1099" s="0" t="n">
        <v>236</v>
      </c>
      <c r="B1099" s="0" t="str">
        <f aca="false">_xlfn.xlookup(A1099, artists!A$2:A$836, artists!B$2:B$836)</f>
        <v>Maroon 5</v>
      </c>
      <c r="C1099" s="1" t="s">
        <v>1133</v>
      </c>
      <c r="D1099" s="2" t="n">
        <v>201493</v>
      </c>
      <c r="E1099" s="2" t="n">
        <f aca="false">D1099/1000</f>
        <v>201.493</v>
      </c>
      <c r="F1099" s="10" t="b">
        <f aca="false">FALSE()</f>
        <v>0</v>
      </c>
      <c r="G1099" s="0" t="n">
        <v>13</v>
      </c>
      <c r="H1099" s="0" t="n">
        <f aca="false">_xlfn.xlookup(G1099, years!A$2:A$836, years!B$2:B$836)</f>
        <v>2010</v>
      </c>
      <c r="I1099" s="2" t="n">
        <v>77</v>
      </c>
      <c r="J1099" s="0" t="n">
        <v>0.722</v>
      </c>
      <c r="K1099" s="0" t="n">
        <v>0.761</v>
      </c>
      <c r="L1099" s="3" t="str">
        <f aca="false">IF(K1099&gt;0.66,"High",IF(K1099&gt;0.33&amp;K1099&lt;=0.66,"Medium","Low"))</f>
        <v>High</v>
      </c>
      <c r="M1099" s="0" t="n">
        <v>-4.459</v>
      </c>
      <c r="N1099" s="3" t="n">
        <v>0.0475</v>
      </c>
      <c r="O1099" s="3" t="n">
        <v>0.0117</v>
      </c>
      <c r="P1099" s="4" t="n">
        <v>0</v>
      </c>
      <c r="Q1099" s="3" t="n">
        <v>0.315</v>
      </c>
      <c r="R1099" s="3" t="n">
        <v>0.624</v>
      </c>
      <c r="S1099" s="3" t="str">
        <f aca="false">IF(R1099 &gt;= 0.5, "Positive", "Negative")</f>
        <v>Positive</v>
      </c>
      <c r="T1099" s="2" t="n">
        <v>128.044</v>
      </c>
      <c r="U1099" s="0" t="s">
        <v>39</v>
      </c>
    </row>
    <row r="1100" customFormat="false" ht="14.25" hidden="false" customHeight="false" outlineLevel="0" collapsed="false">
      <c r="A1100" s="0" t="n">
        <v>510</v>
      </c>
      <c r="B1100" s="0" t="str">
        <f aca="false">_xlfn.xlookup(A1100, artists!A$2:A$836, artists!B$2:B$836)</f>
        <v>Alexandra Stan</v>
      </c>
      <c r="C1100" s="1" t="s">
        <v>1134</v>
      </c>
      <c r="D1100" s="2" t="n">
        <v>195105</v>
      </c>
      <c r="E1100" s="2" t="n">
        <f aca="false">D1100/1000</f>
        <v>195.105</v>
      </c>
      <c r="F1100" s="10" t="b">
        <f aca="false">FALSE()</f>
        <v>0</v>
      </c>
      <c r="G1100" s="0" t="n">
        <v>14</v>
      </c>
      <c r="H1100" s="0" t="n">
        <f aca="false">_xlfn.xlookup(G1100, years!A$2:A$836, years!B$2:B$836)</f>
        <v>2011</v>
      </c>
      <c r="I1100" s="2" t="n">
        <v>0</v>
      </c>
      <c r="J1100" s="0" t="n">
        <v>0.726</v>
      </c>
      <c r="K1100" s="0" t="n">
        <v>0.931</v>
      </c>
      <c r="L1100" s="3" t="str">
        <f aca="false">IF(K1100&gt;0.66,"High",IF(K1100&gt;0.33&amp;K1100&lt;=0.66,"Medium","Low"))</f>
        <v>High</v>
      </c>
      <c r="M1100" s="0" t="n">
        <v>-4.152</v>
      </c>
      <c r="N1100" s="3" t="n">
        <v>0.0468</v>
      </c>
      <c r="O1100" s="3" t="n">
        <v>0.0218</v>
      </c>
      <c r="P1100" s="4" t="n">
        <v>0.000283</v>
      </c>
      <c r="Q1100" s="3" t="n">
        <v>0.143</v>
      </c>
      <c r="R1100" s="3" t="n">
        <v>0.797</v>
      </c>
      <c r="S1100" s="3" t="str">
        <f aca="false">IF(R1100 &gt;= 0.5, "Positive", "Negative")</f>
        <v>Positive</v>
      </c>
      <c r="T1100" s="2" t="n">
        <v>126.976</v>
      </c>
      <c r="U1100" s="0" t="s">
        <v>22</v>
      </c>
    </row>
    <row r="1101" customFormat="false" ht="14.25" hidden="false" customHeight="false" outlineLevel="0" collapsed="false">
      <c r="A1101" s="0" t="n">
        <v>104</v>
      </c>
      <c r="B1101" s="0" t="str">
        <f aca="false">_xlfn.xlookup(A1101, artists!A$2:A$836, artists!B$2:B$836)</f>
        <v>Outkast</v>
      </c>
      <c r="C1101" s="1" t="s">
        <v>1135</v>
      </c>
      <c r="D1101" s="2" t="n">
        <v>270506</v>
      </c>
      <c r="E1101" s="2" t="n">
        <f aca="false">D1101/1000</f>
        <v>270.506</v>
      </c>
      <c r="F1101" s="10" t="b">
        <f aca="false">TRUE()</f>
        <v>1</v>
      </c>
      <c r="G1101" s="0" t="n">
        <v>3</v>
      </c>
      <c r="H1101" s="0" t="n">
        <f aca="false">_xlfn.xlookup(G1101, years!A$2:A$836, years!B$2:B$836)</f>
        <v>2000</v>
      </c>
      <c r="I1101" s="2" t="n">
        <v>82</v>
      </c>
      <c r="J1101" s="0" t="n">
        <v>0.843</v>
      </c>
      <c r="K1101" s="0" t="n">
        <v>0.806</v>
      </c>
      <c r="L1101" s="3" t="str">
        <f aca="false">IF(K1101&gt;0.66,"High",IF(K1101&gt;0.33&amp;K1101&lt;=0.66,"Medium","Low"))</f>
        <v>High</v>
      </c>
      <c r="M1101" s="0" t="n">
        <v>-5.946</v>
      </c>
      <c r="N1101" s="3" t="n">
        <v>0.269</v>
      </c>
      <c r="O1101" s="3" t="n">
        <v>0.143</v>
      </c>
      <c r="P1101" s="4" t="n">
        <v>0</v>
      </c>
      <c r="Q1101" s="3" t="n">
        <v>0.0771</v>
      </c>
      <c r="R1101" s="3" t="n">
        <v>0.613</v>
      </c>
      <c r="S1101" s="3" t="str">
        <f aca="false">IF(R1101 &gt;= 0.5, "Positive", "Negative")</f>
        <v>Positive</v>
      </c>
      <c r="T1101" s="2" t="n">
        <v>94.948</v>
      </c>
      <c r="U1101" s="0" t="s">
        <v>24</v>
      </c>
    </row>
    <row r="1102" customFormat="false" ht="14.25" hidden="false" customHeight="false" outlineLevel="0" collapsed="false">
      <c r="A1102" s="0" t="n">
        <v>101</v>
      </c>
      <c r="B1102" s="0" t="str">
        <f aca="false">_xlfn.xlookup(A1102, artists!A$2:A$836, artists!B$2:B$836)</f>
        <v>Brandy</v>
      </c>
      <c r="C1102" s="1" t="s">
        <v>1136</v>
      </c>
      <c r="D1102" s="2" t="n">
        <v>248933</v>
      </c>
      <c r="E1102" s="2" t="n">
        <f aca="false">D1102/1000</f>
        <v>248.933</v>
      </c>
      <c r="F1102" s="10" t="b">
        <f aca="false">FALSE()</f>
        <v>0</v>
      </c>
      <c r="G1102" s="0" t="n">
        <v>5</v>
      </c>
      <c r="H1102" s="0" t="n">
        <f aca="false">_xlfn.xlookup(G1102, years!A$2:A$836, years!B$2:B$836)</f>
        <v>2002</v>
      </c>
      <c r="I1102" s="2" t="n">
        <v>52</v>
      </c>
      <c r="J1102" s="0" t="n">
        <v>0.611</v>
      </c>
      <c r="K1102" s="0" t="n">
        <v>0.654</v>
      </c>
      <c r="L1102" s="3" t="str">
        <f aca="false">IF(K1102&gt;0.66,"High",IF(K1102&gt;0.33&amp;K1102&lt;=0.66,"Medium","Low"))</f>
        <v>Low</v>
      </c>
      <c r="M1102" s="0" t="n">
        <v>-4.823</v>
      </c>
      <c r="N1102" s="3" t="n">
        <v>0.139</v>
      </c>
      <c r="O1102" s="3" t="n">
        <v>0.372</v>
      </c>
      <c r="P1102" s="4" t="n">
        <v>0.00432</v>
      </c>
      <c r="Q1102" s="3" t="n">
        <v>0.0926</v>
      </c>
      <c r="R1102" s="3" t="n">
        <v>0.609</v>
      </c>
      <c r="S1102" s="3" t="str">
        <f aca="false">IF(R1102 &gt;= 0.5, "Positive", "Negative")</f>
        <v>Positive</v>
      </c>
      <c r="T1102" s="2" t="n">
        <v>105.922</v>
      </c>
      <c r="U1102" s="0" t="s">
        <v>31</v>
      </c>
    </row>
    <row r="1103" customFormat="false" ht="14.25" hidden="false" customHeight="false" outlineLevel="0" collapsed="false">
      <c r="A1103" s="0" t="n">
        <v>197</v>
      </c>
      <c r="B1103" s="0" t="str">
        <f aca="false">_xlfn.xlookup(A1103, artists!A$2:A$836, artists!B$2:B$836)</f>
        <v>Panjabi MC</v>
      </c>
      <c r="C1103" s="1" t="s">
        <v>1137</v>
      </c>
      <c r="D1103" s="2" t="n">
        <v>244666</v>
      </c>
      <c r="E1103" s="2" t="n">
        <f aca="false">D1103/1000</f>
        <v>244.666</v>
      </c>
      <c r="F1103" s="10" t="b">
        <f aca="false">FALSE()</f>
        <v>0</v>
      </c>
      <c r="G1103" s="0" t="n">
        <v>6</v>
      </c>
      <c r="H1103" s="0" t="n">
        <f aca="false">_xlfn.xlookup(G1103, years!A$2:A$836, years!B$2:B$836)</f>
        <v>2003</v>
      </c>
      <c r="I1103" s="2" t="n">
        <v>61</v>
      </c>
      <c r="J1103" s="0" t="n">
        <v>0.778</v>
      </c>
      <c r="K1103" s="0" t="n">
        <v>0.879</v>
      </c>
      <c r="L1103" s="3" t="str">
        <f aca="false">IF(K1103&gt;0.66,"High",IF(K1103&gt;0.33&amp;K1103&lt;=0.66,"Medium","Low"))</f>
        <v>High</v>
      </c>
      <c r="M1103" s="0" t="n">
        <v>-4.951</v>
      </c>
      <c r="N1103" s="3" t="n">
        <v>0.0371</v>
      </c>
      <c r="O1103" s="3" t="n">
        <v>0.399</v>
      </c>
      <c r="P1103" s="4" t="n">
        <v>0.792</v>
      </c>
      <c r="Q1103" s="3" t="n">
        <v>0.15</v>
      </c>
      <c r="R1103" s="3" t="n">
        <v>0.942</v>
      </c>
      <c r="S1103" s="3" t="str">
        <f aca="false">IF(R1103 &gt;= 0.5, "Positive", "Negative")</f>
        <v>Positive</v>
      </c>
      <c r="T1103" s="2" t="n">
        <v>98.077</v>
      </c>
      <c r="U1103" s="0" t="s">
        <v>1138</v>
      </c>
    </row>
    <row r="1104" customFormat="false" ht="14.25" hidden="false" customHeight="false" outlineLevel="0" collapsed="false">
      <c r="A1104" s="0" t="n">
        <v>175</v>
      </c>
      <c r="B1104" s="0" t="str">
        <f aca="false">_xlfn.xlookup(A1104, artists!A$2:A$836, artists!B$2:B$836)</f>
        <v>Sophie Ellis-Bextor</v>
      </c>
      <c r="C1104" s="1" t="s">
        <v>1139</v>
      </c>
      <c r="D1104" s="2" t="n">
        <v>230013</v>
      </c>
      <c r="E1104" s="2" t="n">
        <f aca="false">D1104/1000</f>
        <v>230.013</v>
      </c>
      <c r="F1104" s="10" t="b">
        <f aca="false">FALSE()</f>
        <v>0</v>
      </c>
      <c r="G1104" s="0" t="n">
        <v>5</v>
      </c>
      <c r="H1104" s="0" t="n">
        <f aca="false">_xlfn.xlookup(G1104, years!A$2:A$836, years!B$2:B$836)</f>
        <v>2002</v>
      </c>
      <c r="I1104" s="2" t="n">
        <v>62</v>
      </c>
      <c r="J1104" s="0" t="n">
        <v>0.734</v>
      </c>
      <c r="K1104" s="0" t="n">
        <v>0.848</v>
      </c>
      <c r="L1104" s="3" t="str">
        <f aca="false">IF(K1104&gt;0.66,"High",IF(K1104&gt;0.33&amp;K1104&lt;=0.66,"Medium","Low"))</f>
        <v>High</v>
      </c>
      <c r="M1104" s="0" t="n">
        <v>-5.285</v>
      </c>
      <c r="N1104" s="3" t="n">
        <v>0.0309</v>
      </c>
      <c r="O1104" s="3" t="n">
        <v>0.00312</v>
      </c>
      <c r="P1104" s="4" t="n">
        <v>1.16E-005</v>
      </c>
      <c r="Q1104" s="3" t="n">
        <v>0.313</v>
      </c>
      <c r="R1104" s="3" t="n">
        <v>0.863</v>
      </c>
      <c r="S1104" s="3" t="str">
        <f aca="false">IF(R1104 &gt;= 0.5, "Positive", "Negative")</f>
        <v>Positive</v>
      </c>
      <c r="T1104" s="2" t="n">
        <v>117.31</v>
      </c>
      <c r="U1104" s="0" t="s">
        <v>22</v>
      </c>
    </row>
    <row r="1105" customFormat="false" ht="14.25" hidden="false" customHeight="false" outlineLevel="0" collapsed="false">
      <c r="A1105" s="0" t="n">
        <v>31</v>
      </c>
      <c r="B1105" s="0" t="str">
        <f aca="false">_xlfn.xlookup(A1105, artists!A$2:A$836, artists!B$2:B$836)</f>
        <v>Madonna</v>
      </c>
      <c r="C1105" s="1" t="s">
        <v>1140</v>
      </c>
      <c r="D1105" s="2" t="n">
        <v>225973</v>
      </c>
      <c r="E1105" s="2" t="n">
        <f aca="false">D1105/1000</f>
        <v>225.973</v>
      </c>
      <c r="F1105" s="10" t="b">
        <f aca="false">FALSE()</f>
        <v>0</v>
      </c>
      <c r="G1105" s="0" t="n">
        <v>3</v>
      </c>
      <c r="H1105" s="0" t="n">
        <f aca="false">_xlfn.xlookup(G1105, years!A$2:A$836, years!B$2:B$836)</f>
        <v>2000</v>
      </c>
      <c r="I1105" s="2" t="n">
        <v>58</v>
      </c>
      <c r="J1105" s="0" t="n">
        <v>0.736</v>
      </c>
      <c r="K1105" s="0" t="n">
        <v>0.802</v>
      </c>
      <c r="L1105" s="3" t="str">
        <f aca="false">IF(K1105&gt;0.66,"High",IF(K1105&gt;0.33&amp;K1105&lt;=0.66,"Medium","Low"))</f>
        <v>High</v>
      </c>
      <c r="M1105" s="0" t="n">
        <v>-8.527</v>
      </c>
      <c r="N1105" s="3" t="n">
        <v>0.0663</v>
      </c>
      <c r="O1105" s="3" t="n">
        <v>0.00149</v>
      </c>
      <c r="P1105" s="4" t="n">
        <v>0.0876</v>
      </c>
      <c r="Q1105" s="3" t="n">
        <v>0.14</v>
      </c>
      <c r="R1105" s="3" t="n">
        <v>0.871</v>
      </c>
      <c r="S1105" s="3" t="str">
        <f aca="false">IF(R1105 &gt;= 0.5, "Positive", "Negative")</f>
        <v>Positive</v>
      </c>
      <c r="T1105" s="2" t="n">
        <v>119.854</v>
      </c>
      <c r="U1105" s="0" t="s">
        <v>39</v>
      </c>
    </row>
    <row r="1106" customFormat="false" ht="14.25" hidden="false" customHeight="false" outlineLevel="0" collapsed="false">
      <c r="A1106" s="0" t="n">
        <v>118</v>
      </c>
      <c r="B1106" s="0" t="str">
        <f aca="false">_xlfn.xlookup(A1106, artists!A$2:A$836, artists!B$2:B$836)</f>
        <v>Erick Sermon</v>
      </c>
      <c r="C1106" s="1" t="s">
        <v>1141</v>
      </c>
      <c r="D1106" s="2" t="n">
        <v>223133</v>
      </c>
      <c r="E1106" s="2" t="n">
        <f aca="false">D1106/1000</f>
        <v>223.133</v>
      </c>
      <c r="F1106" s="10" t="b">
        <f aca="false">TRUE()</f>
        <v>1</v>
      </c>
      <c r="G1106" s="0" t="n">
        <v>4</v>
      </c>
      <c r="H1106" s="0" t="n">
        <f aca="false">_xlfn.xlookup(G1106, years!A$2:A$836, years!B$2:B$836)</f>
        <v>2001</v>
      </c>
      <c r="I1106" s="2" t="n">
        <v>57</v>
      </c>
      <c r="J1106" s="0" t="n">
        <v>0.897</v>
      </c>
      <c r="K1106" s="0" t="n">
        <v>0.466</v>
      </c>
      <c r="L1106" s="3" t="str">
        <f aca="false">IF(K1106&gt;0.66,"High",IF(K1106&gt;0.33&amp;K1106&lt;=0.66,"Medium","Low"))</f>
        <v>Low</v>
      </c>
      <c r="M1106" s="0" t="n">
        <v>-9.053</v>
      </c>
      <c r="N1106" s="3" t="n">
        <v>0.203</v>
      </c>
      <c r="O1106" s="3" t="n">
        <v>0.187</v>
      </c>
      <c r="P1106" s="4" t="n">
        <v>1.35E-006</v>
      </c>
      <c r="Q1106" s="3" t="n">
        <v>0.0757</v>
      </c>
      <c r="R1106" s="3" t="n">
        <v>0.884</v>
      </c>
      <c r="S1106" s="3" t="str">
        <f aca="false">IF(R1106 &gt;= 0.5, "Positive", "Negative")</f>
        <v>Positive</v>
      </c>
      <c r="T1106" s="2" t="n">
        <v>100.01</v>
      </c>
      <c r="U1106" s="0" t="s">
        <v>24</v>
      </c>
    </row>
    <row r="1107" customFormat="false" ht="14.25" hidden="false" customHeight="false" outlineLevel="0" collapsed="false">
      <c r="A1107" s="0" t="n">
        <v>119</v>
      </c>
      <c r="B1107" s="0" t="str">
        <f aca="false">_xlfn.xlookup(A1107, artists!A$2:A$836, artists!B$2:B$836)</f>
        <v>D12</v>
      </c>
      <c r="C1107" s="1" t="s">
        <v>1142</v>
      </c>
      <c r="D1107" s="2" t="n">
        <v>298773</v>
      </c>
      <c r="E1107" s="2" t="n">
        <f aca="false">D1107/1000</f>
        <v>298.773</v>
      </c>
      <c r="F1107" s="10" t="b">
        <f aca="false">TRUE()</f>
        <v>1</v>
      </c>
      <c r="G1107" s="0" t="n">
        <v>7</v>
      </c>
      <c r="H1107" s="0" t="n">
        <f aca="false">_xlfn.xlookup(G1107, years!A$2:A$836, years!B$2:B$836)</f>
        <v>2004</v>
      </c>
      <c r="I1107" s="2" t="n">
        <v>73</v>
      </c>
      <c r="J1107" s="0" t="n">
        <v>0.851</v>
      </c>
      <c r="K1107" s="0" t="n">
        <v>0.849</v>
      </c>
      <c r="L1107" s="3" t="str">
        <f aca="false">IF(K1107&gt;0.66,"High",IF(K1107&gt;0.33&amp;K1107&lt;=0.66,"Medium","Low"))</f>
        <v>High</v>
      </c>
      <c r="M1107" s="0" t="n">
        <v>-3.383</v>
      </c>
      <c r="N1107" s="3" t="n">
        <v>0.0828</v>
      </c>
      <c r="O1107" s="3" t="n">
        <v>0.497</v>
      </c>
      <c r="P1107" s="4" t="n">
        <v>2.05E-006</v>
      </c>
      <c r="Q1107" s="3" t="n">
        <v>0.116</v>
      </c>
      <c r="R1107" s="3" t="n">
        <v>0.844</v>
      </c>
      <c r="S1107" s="3" t="str">
        <f aca="false">IF(R1107 &gt;= 0.5, "Positive", "Negative")</f>
        <v>Positive</v>
      </c>
      <c r="T1107" s="2" t="n">
        <v>120.014</v>
      </c>
      <c r="U1107" s="0" t="s">
        <v>493</v>
      </c>
    </row>
    <row r="1108" customFormat="false" ht="14.25" hidden="false" customHeight="false" outlineLevel="0" collapsed="false">
      <c r="A1108" s="0" t="n">
        <v>120</v>
      </c>
      <c r="B1108" s="0" t="str">
        <f aca="false">_xlfn.xlookup(A1108, artists!A$2:A$836, artists!B$2:B$836)</f>
        <v>Usher</v>
      </c>
      <c r="C1108" s="1" t="s">
        <v>1143</v>
      </c>
      <c r="D1108" s="2" t="n">
        <v>223440</v>
      </c>
      <c r="E1108" s="2" t="n">
        <f aca="false">D1108/1000</f>
        <v>223.44</v>
      </c>
      <c r="F1108" s="10" t="b">
        <f aca="false">FALSE()</f>
        <v>0</v>
      </c>
      <c r="G1108" s="0" t="n">
        <v>7</v>
      </c>
      <c r="H1108" s="0" t="n">
        <f aca="false">_xlfn.xlookup(G1108, years!A$2:A$836, years!B$2:B$836)</f>
        <v>2004</v>
      </c>
      <c r="I1108" s="2" t="n">
        <v>76</v>
      </c>
      <c r="J1108" s="0" t="n">
        <v>0.662</v>
      </c>
      <c r="K1108" s="0" t="n">
        <v>0.507</v>
      </c>
      <c r="L1108" s="3" t="str">
        <f aca="false">IF(K1108&gt;0.66,"High",IF(K1108&gt;0.33&amp;K1108&lt;=0.66,"Medium","Low"))</f>
        <v>Low</v>
      </c>
      <c r="M1108" s="0" t="n">
        <v>-8.238</v>
      </c>
      <c r="N1108" s="3" t="n">
        <v>0.118</v>
      </c>
      <c r="O1108" s="3" t="n">
        <v>0.257</v>
      </c>
      <c r="P1108" s="4" t="n">
        <v>0</v>
      </c>
      <c r="Q1108" s="3" t="n">
        <v>0.0465</v>
      </c>
      <c r="R1108" s="3" t="n">
        <v>0.676</v>
      </c>
      <c r="S1108" s="3" t="str">
        <f aca="false">IF(R1108 &gt;= 0.5, "Positive", "Negative")</f>
        <v>Positive</v>
      </c>
      <c r="T1108" s="2" t="n">
        <v>86.412</v>
      </c>
      <c r="U1108" s="0" t="s">
        <v>31</v>
      </c>
    </row>
    <row r="1109" customFormat="false" ht="14.25" hidden="false" customHeight="false" outlineLevel="0" collapsed="false">
      <c r="A1109" s="0" t="n">
        <v>137</v>
      </c>
      <c r="B1109" s="0" t="str">
        <f aca="false">_xlfn.xlookup(A1109, artists!A$2:A$836, artists!B$2:B$836)</f>
        <v>Ludacris</v>
      </c>
      <c r="C1109" s="1" t="s">
        <v>1144</v>
      </c>
      <c r="D1109" s="2" t="n">
        <v>216933</v>
      </c>
      <c r="E1109" s="2" t="n">
        <f aca="false">D1109/1000</f>
        <v>216.933</v>
      </c>
      <c r="F1109" s="10" t="b">
        <f aca="false">TRUE()</f>
        <v>1</v>
      </c>
      <c r="G1109" s="0" t="n">
        <v>13</v>
      </c>
      <c r="H1109" s="0" t="n">
        <f aca="false">_xlfn.xlookup(G1109, years!A$2:A$836, years!B$2:B$836)</f>
        <v>2010</v>
      </c>
      <c r="I1109" s="2" t="n">
        <v>68</v>
      </c>
      <c r="J1109" s="0" t="n">
        <v>0.624</v>
      </c>
      <c r="K1109" s="0" t="n">
        <v>0.723</v>
      </c>
      <c r="L1109" s="3" t="str">
        <f aca="false">IF(K1109&gt;0.66,"High",IF(K1109&gt;0.33&amp;K1109&lt;=0.66,"Medium","Low"))</f>
        <v>High</v>
      </c>
      <c r="M1109" s="0" t="n">
        <v>-6.782</v>
      </c>
      <c r="N1109" s="3" t="n">
        <v>0.378</v>
      </c>
      <c r="O1109" s="3" t="n">
        <v>0.172</v>
      </c>
      <c r="P1109" s="4" t="n">
        <v>0</v>
      </c>
      <c r="Q1109" s="3" t="n">
        <v>0.483</v>
      </c>
      <c r="R1109" s="3" t="n">
        <v>0.757</v>
      </c>
      <c r="S1109" s="3" t="str">
        <f aca="false">IF(R1109 &gt;= 0.5, "Positive", "Negative")</f>
        <v>Positive</v>
      </c>
      <c r="T1109" s="2" t="n">
        <v>84.789</v>
      </c>
      <c r="U1109" s="0" t="s">
        <v>24</v>
      </c>
    </row>
    <row r="1110" customFormat="false" ht="14.25" hidden="false" customHeight="false" outlineLevel="0" collapsed="false">
      <c r="A1110" s="0" t="n">
        <v>453</v>
      </c>
      <c r="B1110" s="0" t="str">
        <f aca="false">_xlfn.xlookup(A1110, artists!A$2:A$836, artists!B$2:B$836)</f>
        <v>3OH!3</v>
      </c>
      <c r="C1110" s="1" t="s">
        <v>1145</v>
      </c>
      <c r="D1110" s="2" t="n">
        <v>192440</v>
      </c>
      <c r="E1110" s="2" t="n">
        <f aca="false">D1110/1000</f>
        <v>192.44</v>
      </c>
      <c r="F1110" s="10" t="b">
        <f aca="false">FALSE()</f>
        <v>0</v>
      </c>
      <c r="G1110" s="0" t="n">
        <v>13</v>
      </c>
      <c r="H1110" s="0" t="n">
        <f aca="false">_xlfn.xlookup(G1110, years!A$2:A$836, years!B$2:B$836)</f>
        <v>2010</v>
      </c>
      <c r="I1110" s="2" t="n">
        <v>62</v>
      </c>
      <c r="J1110" s="0" t="n">
        <v>0.682</v>
      </c>
      <c r="K1110" s="0" t="n">
        <v>0.889</v>
      </c>
      <c r="L1110" s="3" t="str">
        <f aca="false">IF(K1110&gt;0.66,"High",IF(K1110&gt;0.33&amp;K1110&lt;=0.66,"Medium","Low"))</f>
        <v>High</v>
      </c>
      <c r="M1110" s="0" t="n">
        <v>-4.166</v>
      </c>
      <c r="N1110" s="3" t="n">
        <v>0.0804</v>
      </c>
      <c r="O1110" s="3" t="n">
        <v>0.00564</v>
      </c>
      <c r="P1110" s="4" t="n">
        <v>0</v>
      </c>
      <c r="Q1110" s="3" t="n">
        <v>0.36</v>
      </c>
      <c r="R1110" s="3" t="n">
        <v>0.827</v>
      </c>
      <c r="S1110" s="3" t="str">
        <f aca="false">IF(R1110 &gt;= 0.5, "Positive", "Negative")</f>
        <v>Positive</v>
      </c>
      <c r="T1110" s="2" t="n">
        <v>138.021</v>
      </c>
      <c r="U1110" s="0" t="s">
        <v>493</v>
      </c>
    </row>
    <row r="1111" customFormat="false" ht="14.25" hidden="false" customHeight="false" outlineLevel="0" collapsed="false">
      <c r="A1111" s="0" t="n">
        <v>146</v>
      </c>
      <c r="B1111" s="0" t="str">
        <f aca="false">_xlfn.xlookup(A1111, artists!A$2:A$836, artists!B$2:B$836)</f>
        <v>Avril Lavigne</v>
      </c>
      <c r="C1111" s="1" t="s">
        <v>1146</v>
      </c>
      <c r="D1111" s="2" t="n">
        <v>242413</v>
      </c>
      <c r="E1111" s="2" t="n">
        <f aca="false">D1111/1000</f>
        <v>242.413</v>
      </c>
      <c r="F1111" s="10" t="b">
        <f aca="false">TRUE()</f>
        <v>1</v>
      </c>
      <c r="G1111" s="0" t="n">
        <v>7</v>
      </c>
      <c r="H1111" s="0" t="n">
        <f aca="false">_xlfn.xlookup(G1111, years!A$2:A$836, years!B$2:B$836)</f>
        <v>2004</v>
      </c>
      <c r="I1111" s="2" t="n">
        <v>68</v>
      </c>
      <c r="J1111" s="0" t="n">
        <v>0.414</v>
      </c>
      <c r="K1111" s="0" t="n">
        <v>0.936</v>
      </c>
      <c r="L1111" s="3" t="str">
        <f aca="false">IF(K1111&gt;0.66,"High",IF(K1111&gt;0.33&amp;K1111&lt;=0.66,"Medium","Low"))</f>
        <v>High</v>
      </c>
      <c r="M1111" s="0" t="n">
        <v>-2.407</v>
      </c>
      <c r="N1111" s="3" t="n">
        <v>0.0758</v>
      </c>
      <c r="O1111" s="3" t="n">
        <v>0.00136</v>
      </c>
      <c r="P1111" s="4" t="n">
        <v>0</v>
      </c>
      <c r="Q1111" s="3" t="n">
        <v>0.369</v>
      </c>
      <c r="R1111" s="3" t="n">
        <v>0.74</v>
      </c>
      <c r="S1111" s="3" t="str">
        <f aca="false">IF(R1111 &gt;= 0.5, "Positive", "Negative")</f>
        <v>Positive</v>
      </c>
      <c r="T1111" s="2" t="n">
        <v>170.229</v>
      </c>
      <c r="U1111" s="0" t="s">
        <v>39</v>
      </c>
    </row>
    <row r="1112" customFormat="false" ht="14.25" hidden="false" customHeight="false" outlineLevel="0" collapsed="false">
      <c r="A1112" s="0" t="n">
        <v>397</v>
      </c>
      <c r="B1112" s="0" t="str">
        <f aca="false">_xlfn.xlookup(A1112, artists!A$2:A$836, artists!B$2:B$836)</f>
        <v>Flo Rida</v>
      </c>
      <c r="C1112" s="1" t="s">
        <v>1147</v>
      </c>
      <c r="D1112" s="2" t="n">
        <v>192190</v>
      </c>
      <c r="E1112" s="2" t="n">
        <f aca="false">D1112/1000</f>
        <v>192.19</v>
      </c>
      <c r="F1112" s="10" t="b">
        <f aca="false">FALSE()</f>
        <v>0</v>
      </c>
      <c r="G1112" s="0" t="n">
        <v>18</v>
      </c>
      <c r="H1112" s="0" t="n">
        <f aca="false">_xlfn.xlookup(G1112, years!A$2:A$836, years!B$2:B$836)</f>
        <v>2015</v>
      </c>
      <c r="I1112" s="2" t="n">
        <v>76</v>
      </c>
      <c r="J1112" s="0" t="n">
        <v>0.688</v>
      </c>
      <c r="K1112" s="0" t="n">
        <v>0.702</v>
      </c>
      <c r="L1112" s="3" t="str">
        <f aca="false">IF(K1112&gt;0.66,"High",IF(K1112&gt;0.33&amp;K1112&lt;=0.66,"Medium","Low"))</f>
        <v>High</v>
      </c>
      <c r="M1112" s="0" t="n">
        <v>-4.792</v>
      </c>
      <c r="N1112" s="3" t="n">
        <v>0.0499</v>
      </c>
      <c r="O1112" s="3" t="n">
        <v>0.0215</v>
      </c>
      <c r="P1112" s="4" t="n">
        <v>0</v>
      </c>
      <c r="Q1112" s="3" t="n">
        <v>0.128</v>
      </c>
      <c r="R1112" s="3" t="n">
        <v>0.74</v>
      </c>
      <c r="S1112" s="3" t="str">
        <f aca="false">IF(R1112 &gt;= 0.5, "Positive", "Negative")</f>
        <v>Positive</v>
      </c>
      <c r="T1112" s="2" t="n">
        <v>94.006</v>
      </c>
      <c r="U1112" s="0" t="s">
        <v>24</v>
      </c>
    </row>
    <row r="1113" customFormat="false" ht="14.25" hidden="false" customHeight="false" outlineLevel="0" collapsed="false">
      <c r="A1113" s="0" t="n">
        <v>824</v>
      </c>
      <c r="B1113" s="0" t="str">
        <f aca="false">_xlfn.xlookup(A1113, artists!A$2:A$836, artists!B$2:B$836)</f>
        <v>BTS</v>
      </c>
      <c r="C1113" s="1" t="s">
        <v>1148</v>
      </c>
      <c r="D1113" s="2" t="n">
        <v>229773</v>
      </c>
      <c r="E1113" s="2" t="n">
        <f aca="false">D1113/1000</f>
        <v>229.773</v>
      </c>
      <c r="F1113" s="10" t="b">
        <f aca="false">FALSE()</f>
        <v>0</v>
      </c>
      <c r="G1113" s="0" t="n">
        <v>22</v>
      </c>
      <c r="H1113" s="0" t="n">
        <f aca="false">_xlfn.xlookup(G1113, years!A$2:A$836, years!B$2:B$836)</f>
        <v>2019</v>
      </c>
      <c r="I1113" s="2" t="n">
        <v>35</v>
      </c>
      <c r="J1113" s="0" t="n">
        <v>0.645</v>
      </c>
      <c r="K1113" s="0" t="n">
        <v>0.862</v>
      </c>
      <c r="L1113" s="3" t="str">
        <f aca="false">IF(K1113&gt;0.66,"High",IF(K1113&gt;0.33&amp;K1113&lt;=0.66,"Medium","Low"))</f>
        <v>High</v>
      </c>
      <c r="M1113" s="0" t="n">
        <v>-4.757</v>
      </c>
      <c r="N1113" s="3" t="n">
        <v>0.0965</v>
      </c>
      <c r="O1113" s="3" t="n">
        <v>0.0923</v>
      </c>
      <c r="P1113" s="4" t="n">
        <v>0</v>
      </c>
      <c r="Q1113" s="3" t="n">
        <v>0.192</v>
      </c>
      <c r="R1113" s="3" t="n">
        <v>0.798</v>
      </c>
      <c r="S1113" s="3" t="str">
        <f aca="false">IF(R1113 &gt;= 0.5, "Positive", "Negative")</f>
        <v>Positive</v>
      </c>
      <c r="T1113" s="2" t="n">
        <v>119.991</v>
      </c>
      <c r="U1113" s="0" t="s">
        <v>39</v>
      </c>
    </row>
    <row r="1114" customFormat="false" ht="14.25" hidden="false" customHeight="false" outlineLevel="0" collapsed="false">
      <c r="A1114" s="0" t="n">
        <v>199</v>
      </c>
      <c r="B1114" s="0" t="str">
        <f aca="false">_xlfn.xlookup(A1114, artists!A$2:A$836, artists!B$2:B$836)</f>
        <v>Evanescence</v>
      </c>
      <c r="C1114" s="1" t="s">
        <v>1149</v>
      </c>
      <c r="D1114" s="2" t="n">
        <v>262533</v>
      </c>
      <c r="E1114" s="2" t="n">
        <f aca="false">D1114/1000</f>
        <v>262.533</v>
      </c>
      <c r="F1114" s="10" t="b">
        <f aca="false">FALSE()</f>
        <v>0</v>
      </c>
      <c r="G1114" s="0" t="n">
        <v>6</v>
      </c>
      <c r="H1114" s="0" t="n">
        <f aca="false">_xlfn.xlookup(G1114, years!A$2:A$836, years!B$2:B$836)</f>
        <v>2003</v>
      </c>
      <c r="I1114" s="2" t="n">
        <v>72</v>
      </c>
      <c r="J1114" s="0" t="n">
        <v>0.19</v>
      </c>
      <c r="K1114" s="0" t="n">
        <v>0.265</v>
      </c>
      <c r="L1114" s="3" t="str">
        <f aca="false">IF(K1114&gt;0.66,"High",IF(K1114&gt;0.33&amp;K1114&lt;=0.66,"Medium","Low"))</f>
        <v>Low</v>
      </c>
      <c r="M1114" s="0" t="n">
        <v>-9.206</v>
      </c>
      <c r="N1114" s="3" t="n">
        <v>0.0356</v>
      </c>
      <c r="O1114" s="3" t="n">
        <v>0.863</v>
      </c>
      <c r="P1114" s="4" t="n">
        <v>0</v>
      </c>
      <c r="Q1114" s="3" t="n">
        <v>0.134</v>
      </c>
      <c r="R1114" s="3" t="n">
        <v>0.101</v>
      </c>
      <c r="S1114" s="3" t="str">
        <f aca="false">IF(R1114 &gt;= 0.5, "Positive", "Negative")</f>
        <v>Negative</v>
      </c>
      <c r="T1114" s="2" t="n">
        <v>79.012</v>
      </c>
      <c r="U1114" s="0" t="s">
        <v>27</v>
      </c>
    </row>
    <row r="1115" customFormat="false" ht="14.25" hidden="false" customHeight="false" outlineLevel="0" collapsed="false">
      <c r="A1115" s="0" t="n">
        <v>290</v>
      </c>
      <c r="B1115" s="0" t="str">
        <f aca="false">_xlfn.xlookup(A1115, artists!A$2:A$836, artists!B$2:B$836)</f>
        <v>The Game</v>
      </c>
      <c r="C1115" s="1" t="s">
        <v>1150</v>
      </c>
      <c r="D1115" s="2" t="n">
        <v>320893</v>
      </c>
      <c r="E1115" s="2" t="n">
        <f aca="false">D1115/1000</f>
        <v>320.893</v>
      </c>
      <c r="F1115" s="10" t="b">
        <f aca="false">TRUE()</f>
        <v>1</v>
      </c>
      <c r="G1115" s="0" t="n">
        <v>11</v>
      </c>
      <c r="H1115" s="0" t="n">
        <f aca="false">_xlfn.xlookup(G1115, years!A$2:A$836, years!B$2:B$836)</f>
        <v>2008</v>
      </c>
      <c r="I1115" s="2" t="n">
        <v>60</v>
      </c>
      <c r="J1115" s="0" t="n">
        <v>0.673</v>
      </c>
      <c r="K1115" s="0" t="n">
        <v>0.766</v>
      </c>
      <c r="L1115" s="3" t="str">
        <f aca="false">IF(K1115&gt;0.66,"High",IF(K1115&gt;0.33&amp;K1115&lt;=0.66,"Medium","Low"))</f>
        <v>High</v>
      </c>
      <c r="M1115" s="0" t="n">
        <v>-5.018</v>
      </c>
      <c r="N1115" s="3" t="n">
        <v>0.349</v>
      </c>
      <c r="O1115" s="3" t="n">
        <v>0.0724</v>
      </c>
      <c r="P1115" s="4" t="n">
        <v>0</v>
      </c>
      <c r="Q1115" s="3" t="n">
        <v>0.0563</v>
      </c>
      <c r="R1115" s="3" t="n">
        <v>0.382</v>
      </c>
      <c r="S1115" s="3" t="str">
        <f aca="false">IF(R1115 &gt;= 0.5, "Positive", "Negative")</f>
        <v>Negative</v>
      </c>
      <c r="T1115" s="2" t="n">
        <v>148.113</v>
      </c>
      <c r="U1115" s="0" t="s">
        <v>24</v>
      </c>
    </row>
    <row r="1116" customFormat="false" ht="14.25" hidden="false" customHeight="false" outlineLevel="0" collapsed="false">
      <c r="A1116" s="0" t="n">
        <v>230</v>
      </c>
      <c r="B1116" s="0" t="str">
        <f aca="false">_xlfn.xlookup(A1116, artists!A$2:A$836, artists!B$2:B$836)</f>
        <v>Kelly Clarkson</v>
      </c>
      <c r="C1116" s="1" t="s">
        <v>1151</v>
      </c>
      <c r="D1116" s="2" t="n">
        <v>211493</v>
      </c>
      <c r="E1116" s="2" t="n">
        <f aca="false">D1116/1000</f>
        <v>211.493</v>
      </c>
      <c r="F1116" s="10" t="b">
        <f aca="false">FALSE()</f>
        <v>0</v>
      </c>
      <c r="G1116" s="0" t="n">
        <v>12</v>
      </c>
      <c r="H1116" s="0" t="n">
        <f aca="false">_xlfn.xlookup(G1116, years!A$2:A$836, years!B$2:B$836)</f>
        <v>2009</v>
      </c>
      <c r="I1116" s="2" t="n">
        <v>68</v>
      </c>
      <c r="J1116" s="0" t="n">
        <v>0.526</v>
      </c>
      <c r="K1116" s="0" t="n">
        <v>0.882</v>
      </c>
      <c r="L1116" s="3" t="str">
        <f aca="false">IF(K1116&gt;0.66,"High",IF(K1116&gt;0.33&amp;K1116&lt;=0.66,"Medium","Low"))</f>
        <v>High</v>
      </c>
      <c r="M1116" s="0" t="n">
        <v>-4.006</v>
      </c>
      <c r="N1116" s="3" t="n">
        <v>0.0509</v>
      </c>
      <c r="O1116" s="3" t="n">
        <v>0.0014</v>
      </c>
      <c r="P1116" s="4" t="n">
        <v>0</v>
      </c>
      <c r="Q1116" s="3" t="n">
        <v>0.144</v>
      </c>
      <c r="R1116" s="3" t="n">
        <v>0.424</v>
      </c>
      <c r="S1116" s="3" t="str">
        <f aca="false">IF(R1116 &gt;= 0.5, "Positive", "Negative")</f>
        <v>Negative</v>
      </c>
      <c r="T1116" s="2" t="n">
        <v>144.982</v>
      </c>
      <c r="U1116" s="0" t="s">
        <v>33</v>
      </c>
    </row>
    <row r="1117" customFormat="false" ht="14.25" hidden="false" customHeight="false" outlineLevel="0" collapsed="false">
      <c r="A1117" s="0" t="n">
        <v>71</v>
      </c>
      <c r="B1117" s="0" t="str">
        <f aca="false">_xlfn.xlookup(A1117, artists!A$2:A$836, artists!B$2:B$836)</f>
        <v>Westlife</v>
      </c>
      <c r="C1117" s="1" t="s">
        <v>1152</v>
      </c>
      <c r="D1117" s="2" t="n">
        <v>231760</v>
      </c>
      <c r="E1117" s="2" t="n">
        <f aca="false">D1117/1000</f>
        <v>231.76</v>
      </c>
      <c r="F1117" s="10" t="b">
        <f aca="false">FALSE()</f>
        <v>0</v>
      </c>
      <c r="G1117" s="0" t="n">
        <v>3</v>
      </c>
      <c r="H1117" s="0" t="n">
        <f aca="false">_xlfn.xlookup(G1117, years!A$2:A$836, years!B$2:B$836)</f>
        <v>2000</v>
      </c>
      <c r="I1117" s="2" t="n">
        <v>68</v>
      </c>
      <c r="J1117" s="0" t="n">
        <v>0.491</v>
      </c>
      <c r="K1117" s="0" t="n">
        <v>0.593</v>
      </c>
      <c r="L1117" s="3" t="str">
        <f aca="false">IF(K1117&gt;0.66,"High",IF(K1117&gt;0.33&amp;K1117&lt;=0.66,"Medium","Low"))</f>
        <v>Low</v>
      </c>
      <c r="M1117" s="0" t="n">
        <v>-5.975</v>
      </c>
      <c r="N1117" s="3" t="n">
        <v>0.0255</v>
      </c>
      <c r="O1117" s="3" t="n">
        <v>0.098</v>
      </c>
      <c r="P1117" s="4" t="n">
        <v>0</v>
      </c>
      <c r="Q1117" s="3" t="n">
        <v>0.257</v>
      </c>
      <c r="R1117" s="3" t="n">
        <v>0.328</v>
      </c>
      <c r="S1117" s="3" t="str">
        <f aca="false">IF(R1117 &gt;= 0.5, "Positive", "Negative")</f>
        <v>Negative</v>
      </c>
      <c r="T1117" s="2" t="n">
        <v>144.142</v>
      </c>
      <c r="U1117" s="0" t="s">
        <v>39</v>
      </c>
    </row>
    <row r="1118" customFormat="false" ht="14.25" hidden="false" customHeight="false" outlineLevel="0" collapsed="false">
      <c r="A1118" s="0" t="n">
        <v>612</v>
      </c>
      <c r="B1118" s="0" t="str">
        <f aca="false">_xlfn.xlookup(A1118, artists!A$2:A$836, artists!B$2:B$836)</f>
        <v>Route 94</v>
      </c>
      <c r="C1118" s="1" t="s">
        <v>1153</v>
      </c>
      <c r="D1118" s="2" t="n">
        <v>259934</v>
      </c>
      <c r="E1118" s="2" t="n">
        <f aca="false">D1118/1000</f>
        <v>259.934</v>
      </c>
      <c r="F1118" s="10" t="b">
        <f aca="false">FALSE()</f>
        <v>0</v>
      </c>
      <c r="G1118" s="0" t="n">
        <v>17</v>
      </c>
      <c r="H1118" s="0" t="n">
        <f aca="false">_xlfn.xlookup(G1118, years!A$2:A$836, years!B$2:B$836)</f>
        <v>2014</v>
      </c>
      <c r="I1118" s="2" t="n">
        <v>72</v>
      </c>
      <c r="J1118" s="0" t="n">
        <v>0.814</v>
      </c>
      <c r="K1118" s="0" t="n">
        <v>0.622</v>
      </c>
      <c r="L1118" s="3" t="str">
        <f aca="false">IF(K1118&gt;0.66,"High",IF(K1118&gt;0.33&amp;K1118&lt;=0.66,"Medium","Low"))</f>
        <v>Low</v>
      </c>
      <c r="M1118" s="0" t="n">
        <v>-7.573</v>
      </c>
      <c r="N1118" s="3" t="n">
        <v>0.0492</v>
      </c>
      <c r="O1118" s="3" t="n">
        <v>0.000132</v>
      </c>
      <c r="P1118" s="4" t="n">
        <v>0.72</v>
      </c>
      <c r="Q1118" s="3" t="n">
        <v>0.0658</v>
      </c>
      <c r="R1118" s="3" t="n">
        <v>0.726</v>
      </c>
      <c r="S1118" s="3" t="str">
        <f aca="false">IF(R1118 &gt;= 0.5, "Positive", "Negative")</f>
        <v>Positive</v>
      </c>
      <c r="T1118" s="2" t="n">
        <v>119.976</v>
      </c>
      <c r="U1118" s="0" t="s">
        <v>22</v>
      </c>
    </row>
    <row r="1119" customFormat="false" ht="14.25" hidden="false" customHeight="false" outlineLevel="0" collapsed="false">
      <c r="A1119" s="0" t="n">
        <v>176</v>
      </c>
      <c r="B1119" s="0" t="str">
        <f aca="false">_xlfn.xlookup(A1119, artists!A$2:A$836, artists!B$2:B$836)</f>
        <v>Justin Timberlake</v>
      </c>
      <c r="C1119" s="1" t="s">
        <v>1154</v>
      </c>
      <c r="D1119" s="2" t="n">
        <v>276160</v>
      </c>
      <c r="E1119" s="2" t="n">
        <f aca="false">D1119/1000</f>
        <v>276.16</v>
      </c>
      <c r="F1119" s="10" t="b">
        <f aca="false">FALSE()</f>
        <v>0</v>
      </c>
      <c r="G1119" s="0" t="n">
        <v>9</v>
      </c>
      <c r="H1119" s="0" t="n">
        <f aca="false">_xlfn.xlookup(G1119, years!A$2:A$836, years!B$2:B$836)</f>
        <v>2006</v>
      </c>
      <c r="I1119" s="2" t="n">
        <v>72</v>
      </c>
      <c r="J1119" s="0" t="n">
        <v>0.771</v>
      </c>
      <c r="K1119" s="0" t="n">
        <v>0.68</v>
      </c>
      <c r="L1119" s="3" t="str">
        <f aca="false">IF(K1119&gt;0.66,"High",IF(K1119&gt;0.33&amp;K1119&lt;=0.66,"Medium","Low"))</f>
        <v>High</v>
      </c>
      <c r="M1119" s="0" t="n">
        <v>-5.881</v>
      </c>
      <c r="N1119" s="3" t="n">
        <v>0.224</v>
      </c>
      <c r="O1119" s="3" t="n">
        <v>0.277</v>
      </c>
      <c r="P1119" s="4" t="n">
        <v>1.18E-005</v>
      </c>
      <c r="Q1119" s="3" t="n">
        <v>0.682</v>
      </c>
      <c r="R1119" s="3" t="n">
        <v>0.808</v>
      </c>
      <c r="S1119" s="3" t="str">
        <f aca="false">IF(R1119 &gt;= 0.5, "Positive", "Negative")</f>
        <v>Positive</v>
      </c>
      <c r="T1119" s="2" t="n">
        <v>119.952</v>
      </c>
      <c r="U1119" s="0" t="s">
        <v>39</v>
      </c>
    </row>
    <row r="1120" customFormat="false" ht="14.25" hidden="false" customHeight="false" outlineLevel="0" collapsed="false">
      <c r="A1120" s="0" t="n">
        <v>44</v>
      </c>
      <c r="B1120" s="0" t="str">
        <f aca="false">_xlfn.xlookup(A1120, artists!A$2:A$836, artists!B$2:B$836)</f>
        <v>Mýa</v>
      </c>
      <c r="C1120" s="1" t="s">
        <v>1155</v>
      </c>
      <c r="D1120" s="2" t="n">
        <v>209533</v>
      </c>
      <c r="E1120" s="2" t="n">
        <f aca="false">D1120/1000</f>
        <v>209.533</v>
      </c>
      <c r="F1120" s="10" t="b">
        <f aca="false">FALSE()</f>
        <v>0</v>
      </c>
      <c r="G1120" s="0" t="n">
        <v>6</v>
      </c>
      <c r="H1120" s="0" t="n">
        <f aca="false">_xlfn.xlookup(G1120, years!A$2:A$836, years!B$2:B$836)</f>
        <v>2003</v>
      </c>
      <c r="I1120" s="2" t="n">
        <v>48</v>
      </c>
      <c r="J1120" s="0" t="n">
        <v>0.831</v>
      </c>
      <c r="K1120" s="0" t="n">
        <v>0.695</v>
      </c>
      <c r="L1120" s="3" t="str">
        <f aca="false">IF(K1120&gt;0.66,"High",IF(K1120&gt;0.33&amp;K1120&lt;=0.66,"Medium","Low"))</f>
        <v>High</v>
      </c>
      <c r="M1120" s="0" t="n">
        <v>-6.491</v>
      </c>
      <c r="N1120" s="3" t="n">
        <v>0.109</v>
      </c>
      <c r="O1120" s="3" t="n">
        <v>0.194</v>
      </c>
      <c r="P1120" s="4" t="n">
        <v>1.24E-005</v>
      </c>
      <c r="Q1120" s="3" t="n">
        <v>0.309</v>
      </c>
      <c r="R1120" s="3" t="n">
        <v>0.722</v>
      </c>
      <c r="S1120" s="3" t="str">
        <f aca="false">IF(R1120 &gt;= 0.5, "Positive", "Negative")</f>
        <v>Positive</v>
      </c>
      <c r="T1120" s="2" t="n">
        <v>132.817</v>
      </c>
      <c r="U1120" s="0" t="s">
        <v>33</v>
      </c>
    </row>
    <row r="1121" customFormat="false" ht="14.25" hidden="false" customHeight="false" outlineLevel="0" collapsed="false">
      <c r="A1121" s="0" t="n">
        <v>328</v>
      </c>
      <c r="B1121" s="0" t="str">
        <f aca="false">_xlfn.xlookup(A1121, artists!A$2:A$836, artists!B$2:B$836)</f>
        <v>Armand Van Helden</v>
      </c>
      <c r="C1121" s="1" t="s">
        <v>1156</v>
      </c>
      <c r="D1121" s="2" t="n">
        <v>190000</v>
      </c>
      <c r="E1121" s="2" t="n">
        <f aca="false">D1121/1000</f>
        <v>190</v>
      </c>
      <c r="F1121" s="10" t="b">
        <f aca="false">FALSE()</f>
        <v>0</v>
      </c>
      <c r="G1121" s="0" t="n">
        <v>9</v>
      </c>
      <c r="H1121" s="0" t="n">
        <f aca="false">_xlfn.xlookup(G1121, years!A$2:A$836, years!B$2:B$836)</f>
        <v>2006</v>
      </c>
      <c r="I1121" s="2" t="n">
        <v>40</v>
      </c>
      <c r="J1121" s="0" t="n">
        <v>0.678</v>
      </c>
      <c r="K1121" s="0" t="n">
        <v>0.768</v>
      </c>
      <c r="L1121" s="3" t="str">
        <f aca="false">IF(K1121&gt;0.66,"High",IF(K1121&gt;0.33&amp;K1121&lt;=0.66,"Medium","Low"))</f>
        <v>High</v>
      </c>
      <c r="M1121" s="0" t="n">
        <v>-8.502</v>
      </c>
      <c r="N1121" s="3" t="n">
        <v>0.137</v>
      </c>
      <c r="O1121" s="3" t="n">
        <v>0.0195</v>
      </c>
      <c r="P1121" s="4" t="n">
        <v>0.00866</v>
      </c>
      <c r="Q1121" s="3" t="n">
        <v>0.0322</v>
      </c>
      <c r="R1121" s="3" t="n">
        <v>0.758</v>
      </c>
      <c r="S1121" s="3" t="str">
        <f aca="false">IF(R1121 &gt;= 0.5, "Positive", "Negative")</f>
        <v>Positive</v>
      </c>
      <c r="T1121" s="2" t="n">
        <v>127.51</v>
      </c>
      <c r="U1121" s="0" t="s">
        <v>22</v>
      </c>
    </row>
    <row r="1122" customFormat="false" ht="14.25" hidden="false" customHeight="false" outlineLevel="0" collapsed="false">
      <c r="A1122" s="0" t="n">
        <v>161</v>
      </c>
      <c r="B1122" s="0" t="str">
        <f aca="false">_xlfn.xlookup(A1122, artists!A$2:A$836, artists!B$2:B$836)</f>
        <v>Khia</v>
      </c>
      <c r="C1122" s="1" t="s">
        <v>1157</v>
      </c>
      <c r="D1122" s="2" t="n">
        <v>222560</v>
      </c>
      <c r="E1122" s="2" t="n">
        <f aca="false">D1122/1000</f>
        <v>222.56</v>
      </c>
      <c r="F1122" s="10" t="b">
        <f aca="false">TRUE()</f>
        <v>1</v>
      </c>
      <c r="G1122" s="0" t="n">
        <v>18</v>
      </c>
      <c r="H1122" s="0" t="n">
        <f aca="false">_xlfn.xlookup(G1122, years!A$2:A$836, years!B$2:B$836)</f>
        <v>2015</v>
      </c>
      <c r="I1122" s="2" t="n">
        <v>59</v>
      </c>
      <c r="J1122" s="0" t="n">
        <v>0.859</v>
      </c>
      <c r="K1122" s="0" t="n">
        <v>0.625</v>
      </c>
      <c r="L1122" s="3" t="str">
        <f aca="false">IF(K1122&gt;0.66,"High",IF(K1122&gt;0.33&amp;K1122&lt;=0.66,"Medium","Low"))</f>
        <v>Low</v>
      </c>
      <c r="M1122" s="0" t="n">
        <v>-4.234</v>
      </c>
      <c r="N1122" s="3" t="n">
        <v>0.13</v>
      </c>
      <c r="O1122" s="3" t="n">
        <v>0.0296</v>
      </c>
      <c r="P1122" s="4" t="n">
        <v>0</v>
      </c>
      <c r="Q1122" s="3" t="n">
        <v>0.0537</v>
      </c>
      <c r="R1122" s="3" t="n">
        <v>0.71</v>
      </c>
      <c r="S1122" s="3" t="str">
        <f aca="false">IF(R1122 &gt;= 0.5, "Positive", "Negative")</f>
        <v>Positive</v>
      </c>
      <c r="T1122" s="2" t="n">
        <v>102.072</v>
      </c>
      <c r="U1122" s="0" t="s">
        <v>33</v>
      </c>
    </row>
    <row r="1123" customFormat="false" ht="14.25" hidden="false" customHeight="false" outlineLevel="0" collapsed="false">
      <c r="A1123" s="0" t="n">
        <v>81</v>
      </c>
      <c r="B1123" s="0" t="str">
        <f aca="false">_xlfn.xlookup(A1123, artists!A$2:A$836, artists!B$2:B$836)</f>
        <v>Nelly</v>
      </c>
      <c r="C1123" s="1" t="s">
        <v>1158</v>
      </c>
      <c r="D1123" s="2" t="n">
        <v>336506</v>
      </c>
      <c r="E1123" s="2" t="n">
        <f aca="false">D1123/1000</f>
        <v>336.506</v>
      </c>
      <c r="F1123" s="10" t="b">
        <f aca="false">TRUE()</f>
        <v>1</v>
      </c>
      <c r="G1123" s="0" t="n">
        <v>7</v>
      </c>
      <c r="H1123" s="0" t="n">
        <f aca="false">_xlfn.xlookup(G1123, years!A$2:A$836, years!B$2:B$836)</f>
        <v>2004</v>
      </c>
      <c r="I1123" s="2" t="n">
        <v>57</v>
      </c>
      <c r="J1123" s="0" t="n">
        <v>0.6</v>
      </c>
      <c r="K1123" s="0" t="n">
        <v>0.641</v>
      </c>
      <c r="L1123" s="3" t="str">
        <f aca="false">IF(K1123&gt;0.66,"High",IF(K1123&gt;0.33&amp;K1123&lt;=0.66,"Medium","Low"))</f>
        <v>Low</v>
      </c>
      <c r="M1123" s="0" t="n">
        <v>-4.237</v>
      </c>
      <c r="N1123" s="3" t="n">
        <v>0.0423</v>
      </c>
      <c r="O1123" s="3" t="n">
        <v>0.0498</v>
      </c>
      <c r="P1123" s="4" t="n">
        <v>1.49E-006</v>
      </c>
      <c r="Q1123" s="3" t="n">
        <v>0.0982</v>
      </c>
      <c r="R1123" s="3" t="n">
        <v>0.642</v>
      </c>
      <c r="S1123" s="3" t="str">
        <f aca="false">IF(R1123 &gt;= 0.5, "Positive", "Negative")</f>
        <v>Positive</v>
      </c>
      <c r="T1123" s="2" t="n">
        <v>163.153</v>
      </c>
      <c r="U1123" s="0" t="s">
        <v>31</v>
      </c>
    </row>
    <row r="1124" customFormat="false" ht="14.25" hidden="false" customHeight="false" outlineLevel="0" collapsed="false">
      <c r="A1124" s="0" t="n">
        <v>151</v>
      </c>
      <c r="B1124" s="0" t="str">
        <f aca="false">_xlfn.xlookup(A1124, artists!A$2:A$836, artists!B$2:B$836)</f>
        <v>Busta Rhymes</v>
      </c>
      <c r="C1124" s="1" t="s">
        <v>1159</v>
      </c>
      <c r="D1124" s="2" t="n">
        <v>238600</v>
      </c>
      <c r="E1124" s="2" t="n">
        <f aca="false">D1124/1000</f>
        <v>238.6</v>
      </c>
      <c r="F1124" s="10" t="b">
        <f aca="false">TRUE()</f>
        <v>1</v>
      </c>
      <c r="G1124" s="0" t="n">
        <v>4</v>
      </c>
      <c r="H1124" s="0" t="n">
        <f aca="false">_xlfn.xlookup(G1124, years!A$2:A$836, years!B$2:B$836)</f>
        <v>2001</v>
      </c>
      <c r="I1124" s="2" t="n">
        <v>55</v>
      </c>
      <c r="J1124" s="0" t="n">
        <v>0.697</v>
      </c>
      <c r="K1124" s="0" t="n">
        <v>0.793</v>
      </c>
      <c r="L1124" s="3" t="str">
        <f aca="false">IF(K1124&gt;0.66,"High",IF(K1124&gt;0.33&amp;K1124&lt;=0.66,"Medium","Low"))</f>
        <v>High</v>
      </c>
      <c r="M1124" s="0" t="n">
        <v>-4.699</v>
      </c>
      <c r="N1124" s="3" t="n">
        <v>0.323</v>
      </c>
      <c r="O1124" s="3" t="n">
        <v>0.0844</v>
      </c>
      <c r="P1124" s="4" t="n">
        <v>0</v>
      </c>
      <c r="Q1124" s="3" t="n">
        <v>0.0619</v>
      </c>
      <c r="R1124" s="3" t="n">
        <v>0.56</v>
      </c>
      <c r="S1124" s="3" t="str">
        <f aca="false">IF(R1124 &gt;= 0.5, "Positive", "Negative")</f>
        <v>Positive</v>
      </c>
      <c r="T1124" s="2" t="n">
        <v>89.767</v>
      </c>
      <c r="U1124" s="0" t="s">
        <v>24</v>
      </c>
    </row>
    <row r="1125" customFormat="false" ht="14.25" hidden="false" customHeight="false" outlineLevel="0" collapsed="false">
      <c r="A1125" s="0" t="n">
        <v>77</v>
      </c>
      <c r="B1125" s="0" t="str">
        <f aca="false">_xlfn.xlookup(A1125, artists!A$2:A$836, artists!B$2:B$836)</f>
        <v>Creed</v>
      </c>
      <c r="C1125" s="1" t="s">
        <v>1160</v>
      </c>
      <c r="D1125" s="2" t="n">
        <v>294600</v>
      </c>
      <c r="E1125" s="2" t="n">
        <f aca="false">D1125/1000</f>
        <v>294.6</v>
      </c>
      <c r="F1125" s="10" t="b">
        <f aca="false">FALSE()</f>
        <v>0</v>
      </c>
      <c r="G1125" s="0" t="n">
        <v>4</v>
      </c>
      <c r="H1125" s="0" t="n">
        <f aca="false">_xlfn.xlookup(G1125, years!A$2:A$836, years!B$2:B$836)</f>
        <v>2001</v>
      </c>
      <c r="I1125" s="2" t="n">
        <v>69</v>
      </c>
      <c r="J1125" s="0" t="n">
        <v>0.32</v>
      </c>
      <c r="K1125" s="0" t="n">
        <v>0.88</v>
      </c>
      <c r="L1125" s="3" t="str">
        <f aca="false">IF(K1125&gt;0.66,"High",IF(K1125&gt;0.33&amp;K1125&lt;=0.66,"Medium","Low"))</f>
        <v>High</v>
      </c>
      <c r="M1125" s="0" t="n">
        <v>-6.035</v>
      </c>
      <c r="N1125" s="3" t="n">
        <v>0.0504</v>
      </c>
      <c r="O1125" s="3" t="n">
        <v>0.000101</v>
      </c>
      <c r="P1125" s="4" t="n">
        <v>4.31E-006</v>
      </c>
      <c r="Q1125" s="3" t="n">
        <v>0.076</v>
      </c>
      <c r="R1125" s="3" t="n">
        <v>0.257</v>
      </c>
      <c r="S1125" s="3" t="str">
        <f aca="false">IF(R1125 &gt;= 0.5, "Positive", "Negative")</f>
        <v>Negative</v>
      </c>
      <c r="T1125" s="2" t="n">
        <v>146.349</v>
      </c>
      <c r="U1125" s="0" t="s">
        <v>221</v>
      </c>
    </row>
    <row r="1126" customFormat="false" ht="14.25" hidden="false" customHeight="false" outlineLevel="0" collapsed="false">
      <c r="A1126" s="0" t="n">
        <v>336</v>
      </c>
      <c r="B1126" s="0" t="str">
        <f aca="false">_xlfn.xlookup(A1126, artists!A$2:A$836, artists!B$2:B$836)</f>
        <v>Fall Out Boy</v>
      </c>
      <c r="C1126" s="1" t="s">
        <v>1161</v>
      </c>
      <c r="D1126" s="2" t="n">
        <v>186826</v>
      </c>
      <c r="E1126" s="2" t="n">
        <f aca="false">D1126/1000</f>
        <v>186.826</v>
      </c>
      <c r="F1126" s="10" t="b">
        <f aca="false">FALSE()</f>
        <v>0</v>
      </c>
      <c r="G1126" s="0" t="n">
        <v>16</v>
      </c>
      <c r="H1126" s="0" t="n">
        <f aca="false">_xlfn.xlookup(G1126, years!A$2:A$836, years!B$2:B$836)</f>
        <v>2013</v>
      </c>
      <c r="I1126" s="2" t="n">
        <v>71</v>
      </c>
      <c r="J1126" s="0" t="n">
        <v>0.558</v>
      </c>
      <c r="K1126" s="0" t="n">
        <v>0.924</v>
      </c>
      <c r="L1126" s="3" t="str">
        <f aca="false">IF(K1126&gt;0.66,"High",IF(K1126&gt;0.33&amp;K1126&lt;=0.66,"Medium","Low"))</f>
        <v>High</v>
      </c>
      <c r="M1126" s="0" t="n">
        <v>-4.341</v>
      </c>
      <c r="N1126" s="3" t="n">
        <v>0.064</v>
      </c>
      <c r="O1126" s="3" t="n">
        <v>0.0271</v>
      </c>
      <c r="P1126" s="4" t="n">
        <v>3.32E-006</v>
      </c>
      <c r="Q1126" s="3" t="n">
        <v>0.537</v>
      </c>
      <c r="R1126" s="3" t="n">
        <v>0.567</v>
      </c>
      <c r="S1126" s="3" t="str">
        <f aca="false">IF(R1126 &gt;= 0.5, "Positive", "Negative")</f>
        <v>Positive</v>
      </c>
      <c r="T1126" s="2" t="n">
        <v>151.99</v>
      </c>
      <c r="U1126" s="0" t="s">
        <v>43</v>
      </c>
    </row>
    <row r="1127" customFormat="false" ht="14.25" hidden="false" customHeight="false" outlineLevel="0" collapsed="false">
      <c r="A1127" s="0" t="n">
        <v>803</v>
      </c>
      <c r="B1127" s="0" t="str">
        <f aca="false">_xlfn.xlookup(A1127, artists!A$2:A$836, artists!B$2:B$836)</f>
        <v>Saweetie</v>
      </c>
      <c r="C1127" s="1" t="s">
        <v>1162</v>
      </c>
      <c r="D1127" s="2" t="n">
        <v>126446</v>
      </c>
      <c r="E1127" s="2" t="n">
        <f aca="false">D1127/1000</f>
        <v>126.446</v>
      </c>
      <c r="F1127" s="10" t="b">
        <f aca="false">TRUE()</f>
        <v>1</v>
      </c>
      <c r="G1127" s="0" t="n">
        <v>22</v>
      </c>
      <c r="H1127" s="0" t="n">
        <f aca="false">_xlfn.xlookup(G1127, years!A$2:A$836, years!B$2:B$836)</f>
        <v>2019</v>
      </c>
      <c r="I1127" s="2" t="n">
        <v>71</v>
      </c>
      <c r="J1127" s="0" t="n">
        <v>0.899</v>
      </c>
      <c r="K1127" s="0" t="n">
        <v>0.811</v>
      </c>
      <c r="L1127" s="3" t="str">
        <f aca="false">IF(K1127&gt;0.66,"High",IF(K1127&gt;0.33&amp;K1127&lt;=0.66,"Medium","Low"))</f>
        <v>High</v>
      </c>
      <c r="M1127" s="0" t="n">
        <v>-6.294</v>
      </c>
      <c r="N1127" s="3" t="n">
        <v>0.258</v>
      </c>
      <c r="O1127" s="3" t="n">
        <v>0.000677</v>
      </c>
      <c r="P1127" s="4" t="n">
        <v>0</v>
      </c>
      <c r="Q1127" s="3" t="n">
        <v>0.0672</v>
      </c>
      <c r="R1127" s="3" t="n">
        <v>0.587</v>
      </c>
      <c r="S1127" s="3" t="str">
        <f aca="false">IF(R1127 &gt;= 0.5, "Positive", "Negative")</f>
        <v>Positive</v>
      </c>
      <c r="T1127" s="2" t="n">
        <v>105.038</v>
      </c>
      <c r="U1127" s="0" t="s">
        <v>31</v>
      </c>
    </row>
    <row r="1128" customFormat="false" ht="14.25" hidden="false" customHeight="false" outlineLevel="0" collapsed="false">
      <c r="A1128" s="0" t="n">
        <v>687</v>
      </c>
      <c r="B1128" s="0" t="str">
        <f aca="false">_xlfn.xlookup(A1128, artists!A$2:A$836, artists!B$2:B$836)</f>
        <v>G-Eazy</v>
      </c>
      <c r="C1128" s="1" t="s">
        <v>1163</v>
      </c>
      <c r="D1128" s="2" t="n">
        <v>268866</v>
      </c>
      <c r="E1128" s="2" t="n">
        <f aca="false">D1128/1000</f>
        <v>268.866</v>
      </c>
      <c r="F1128" s="10" t="b">
        <f aca="false">TRUE()</f>
        <v>1</v>
      </c>
      <c r="G1128" s="0" t="n">
        <v>20</v>
      </c>
      <c r="H1128" s="0" t="n">
        <f aca="false">_xlfn.xlookup(G1128, years!A$2:A$836, years!B$2:B$836)</f>
        <v>2017</v>
      </c>
      <c r="I1128" s="2" t="n">
        <v>75</v>
      </c>
      <c r="J1128" s="0" t="n">
        <v>0.589</v>
      </c>
      <c r="K1128" s="0" t="n">
        <v>0.731</v>
      </c>
      <c r="L1128" s="3" t="str">
        <f aca="false">IF(K1128&gt;0.66,"High",IF(K1128&gt;0.33&amp;K1128&lt;=0.66,"Medium","Low"))</f>
        <v>High</v>
      </c>
      <c r="M1128" s="0" t="n">
        <v>-6.343</v>
      </c>
      <c r="N1128" s="3" t="n">
        <v>0.0868</v>
      </c>
      <c r="O1128" s="3" t="n">
        <v>0.0534</v>
      </c>
      <c r="P1128" s="4" t="n">
        <v>0</v>
      </c>
      <c r="Q1128" s="3" t="n">
        <v>0.308</v>
      </c>
      <c r="R1128" s="3" t="n">
        <v>0.191</v>
      </c>
      <c r="S1128" s="3" t="str">
        <f aca="false">IF(R1128 &gt;= 0.5, "Positive", "Negative")</f>
        <v>Negative</v>
      </c>
      <c r="T1128" s="2" t="n">
        <v>87.908</v>
      </c>
      <c r="U1128" s="0" t="s">
        <v>24</v>
      </c>
    </row>
    <row r="1129" customFormat="false" ht="14.25" hidden="false" customHeight="false" outlineLevel="0" collapsed="false">
      <c r="A1129" s="0" t="n">
        <v>458</v>
      </c>
      <c r="B1129" s="0" t="str">
        <f aca="false">_xlfn.xlookup(A1129, artists!A$2:A$836, artists!B$2:B$836)</f>
        <v>Jason Derulo</v>
      </c>
      <c r="C1129" s="1" t="s">
        <v>1164</v>
      </c>
      <c r="D1129" s="2" t="n">
        <v>216408</v>
      </c>
      <c r="E1129" s="2" t="n">
        <f aca="false">D1129/1000</f>
        <v>216.408</v>
      </c>
      <c r="F1129" s="10" t="b">
        <f aca="false">TRUE()</f>
        <v>1</v>
      </c>
      <c r="G1129" s="0" t="n">
        <v>20</v>
      </c>
      <c r="H1129" s="0" t="n">
        <f aca="false">_xlfn.xlookup(G1129, years!A$2:A$836, years!B$2:B$836)</f>
        <v>2017</v>
      </c>
      <c r="I1129" s="2" t="n">
        <v>75</v>
      </c>
      <c r="J1129" s="0" t="n">
        <v>0.696</v>
      </c>
      <c r="K1129" s="0" t="n">
        <v>0.817</v>
      </c>
      <c r="L1129" s="3" t="str">
        <f aca="false">IF(K1129&gt;0.66,"High",IF(K1129&gt;0.33&amp;K1129&lt;=0.66,"Medium","Low"))</f>
        <v>High</v>
      </c>
      <c r="M1129" s="0" t="n">
        <v>-3.862</v>
      </c>
      <c r="N1129" s="3" t="n">
        <v>0.109</v>
      </c>
      <c r="O1129" s="3" t="n">
        <v>0.075</v>
      </c>
      <c r="P1129" s="4" t="n">
        <v>0</v>
      </c>
      <c r="Q1129" s="3" t="n">
        <v>0.187</v>
      </c>
      <c r="R1129" s="3" t="n">
        <v>0.782</v>
      </c>
      <c r="S1129" s="3" t="str">
        <f aca="false">IF(R1129 &gt;= 0.5, "Positive", "Negative")</f>
        <v>Positive</v>
      </c>
      <c r="T1129" s="2" t="n">
        <v>98.064</v>
      </c>
      <c r="U1129" s="0" t="s">
        <v>24</v>
      </c>
    </row>
    <row r="1130" customFormat="false" ht="14.25" hidden="false" customHeight="false" outlineLevel="0" collapsed="false">
      <c r="A1130" s="0" t="n">
        <v>424</v>
      </c>
      <c r="B1130" s="0" t="str">
        <f aca="false">_xlfn.xlookup(A1130, artists!A$2:A$836, artists!B$2:B$836)</f>
        <v>Trey Songz</v>
      </c>
      <c r="C1130" s="1" t="s">
        <v>1165</v>
      </c>
      <c r="D1130" s="2" t="n">
        <v>231906</v>
      </c>
      <c r="E1130" s="2" t="n">
        <f aca="false">D1130/1000</f>
        <v>231.906</v>
      </c>
      <c r="F1130" s="10" t="b">
        <f aca="false">FALSE()</f>
        <v>0</v>
      </c>
      <c r="G1130" s="0" t="n">
        <v>18</v>
      </c>
      <c r="H1130" s="0" t="n">
        <f aca="false">_xlfn.xlookup(G1130, years!A$2:A$836, years!B$2:B$836)</f>
        <v>2015</v>
      </c>
      <c r="I1130" s="2" t="n">
        <v>62</v>
      </c>
      <c r="J1130" s="0" t="n">
        <v>0.67</v>
      </c>
      <c r="K1130" s="0" t="n">
        <v>0.476</v>
      </c>
      <c r="L1130" s="3" t="str">
        <f aca="false">IF(K1130&gt;0.66,"High",IF(K1130&gt;0.33&amp;K1130&lt;=0.66,"Medium","Low"))</f>
        <v>Low</v>
      </c>
      <c r="M1130" s="0" t="n">
        <v>-6.253</v>
      </c>
      <c r="N1130" s="3" t="n">
        <v>0.0406</v>
      </c>
      <c r="O1130" s="3" t="n">
        <v>0.328</v>
      </c>
      <c r="P1130" s="4" t="n">
        <v>0</v>
      </c>
      <c r="Q1130" s="3" t="n">
        <v>0.104</v>
      </c>
      <c r="R1130" s="3" t="n">
        <v>0.235</v>
      </c>
      <c r="S1130" s="3" t="str">
        <f aca="false">IF(R1130 &gt;= 0.5, "Positive", "Negative")</f>
        <v>Negative</v>
      </c>
      <c r="T1130" s="2" t="n">
        <v>96.975</v>
      </c>
      <c r="U1130" s="0" t="s">
        <v>31</v>
      </c>
    </row>
    <row r="1131" customFormat="false" ht="14.25" hidden="false" customHeight="false" outlineLevel="0" collapsed="false">
      <c r="A1131" s="0" t="n">
        <v>358</v>
      </c>
      <c r="B1131" s="0" t="str">
        <f aca="false">_xlfn.xlookup(A1131, artists!A$2:A$836, artists!B$2:B$836)</f>
        <v>The Kooks</v>
      </c>
      <c r="C1131" s="1" t="s">
        <v>1166</v>
      </c>
      <c r="D1131" s="2" t="n">
        <v>203506</v>
      </c>
      <c r="E1131" s="2" t="n">
        <f aca="false">D1131/1000</f>
        <v>203.506</v>
      </c>
      <c r="F1131" s="10" t="b">
        <f aca="false">FALSE()</f>
        <v>0</v>
      </c>
      <c r="G1131" s="0" t="n">
        <v>9</v>
      </c>
      <c r="H1131" s="0" t="n">
        <f aca="false">_xlfn.xlookup(G1131, years!A$2:A$836, years!B$2:B$836)</f>
        <v>2006</v>
      </c>
      <c r="I1131" s="2" t="n">
        <v>73</v>
      </c>
      <c r="J1131" s="0" t="n">
        <v>0.391</v>
      </c>
      <c r="K1131" s="0" t="n">
        <v>0.808</v>
      </c>
      <c r="L1131" s="3" t="str">
        <f aca="false">IF(K1131&gt;0.66,"High",IF(K1131&gt;0.33&amp;K1131&lt;=0.66,"Medium","Low"))</f>
        <v>High</v>
      </c>
      <c r="M1131" s="0" t="n">
        <v>-6.209</v>
      </c>
      <c r="N1131" s="3" t="n">
        <v>0.0892</v>
      </c>
      <c r="O1131" s="3" t="n">
        <v>0.0759</v>
      </c>
      <c r="P1131" s="4" t="n">
        <v>0</v>
      </c>
      <c r="Q1131" s="3" t="n">
        <v>0.149</v>
      </c>
      <c r="R1131" s="3" t="n">
        <v>0.737</v>
      </c>
      <c r="S1131" s="3" t="str">
        <f aca="false">IF(R1131 &gt;= 0.5, "Positive", "Negative")</f>
        <v>Positive</v>
      </c>
      <c r="T1131" s="2" t="n">
        <v>100.304</v>
      </c>
      <c r="U1131" s="0" t="s">
        <v>43</v>
      </c>
    </row>
    <row r="1132" customFormat="false" ht="14.25" hidden="false" customHeight="false" outlineLevel="0" collapsed="false">
      <c r="A1132" s="0" t="n">
        <v>329</v>
      </c>
      <c r="B1132" s="0" t="str">
        <f aca="false">_xlfn.xlookup(A1132, artists!A$2:A$836, artists!B$2:B$836)</f>
        <v>The Notorious B.I.G.</v>
      </c>
      <c r="C1132" s="1" t="s">
        <v>1167</v>
      </c>
      <c r="D1132" s="2" t="n">
        <v>286186</v>
      </c>
      <c r="E1132" s="2" t="n">
        <f aca="false">D1132/1000</f>
        <v>286.186</v>
      </c>
      <c r="F1132" s="10" t="b">
        <f aca="false">TRUE()</f>
        <v>1</v>
      </c>
      <c r="G1132" s="0" t="n">
        <v>8</v>
      </c>
      <c r="H1132" s="0" t="n">
        <f aca="false">_xlfn.xlookup(G1132, years!A$2:A$836, years!B$2:B$836)</f>
        <v>2005</v>
      </c>
      <c r="I1132" s="2" t="n">
        <v>68</v>
      </c>
      <c r="J1132" s="0" t="n">
        <v>0.833</v>
      </c>
      <c r="K1132" s="0" t="n">
        <v>0.628</v>
      </c>
      <c r="L1132" s="3" t="str">
        <f aca="false">IF(K1132&gt;0.66,"High",IF(K1132&gt;0.33&amp;K1132&lt;=0.66,"Medium","Low"))</f>
        <v>Low</v>
      </c>
      <c r="M1132" s="0" t="n">
        <v>-7.041</v>
      </c>
      <c r="N1132" s="3" t="n">
        <v>0.141</v>
      </c>
      <c r="O1132" s="3" t="n">
        <v>0.0949</v>
      </c>
      <c r="P1132" s="4" t="n">
        <v>1.6E-006</v>
      </c>
      <c r="Q1132" s="3" t="n">
        <v>0.282</v>
      </c>
      <c r="R1132" s="3" t="n">
        <v>0.645</v>
      </c>
      <c r="S1132" s="3" t="str">
        <f aca="false">IF(R1132 &gt;= 0.5, "Positive", "Negative")</f>
        <v>Positive</v>
      </c>
      <c r="T1132" s="2" t="n">
        <v>106.328</v>
      </c>
      <c r="U1132" s="0" t="s">
        <v>29</v>
      </c>
    </row>
    <row r="1133" customFormat="false" ht="14.25" hidden="false" customHeight="false" outlineLevel="0" collapsed="false">
      <c r="A1133" s="0" t="n">
        <v>571</v>
      </c>
      <c r="B1133" s="0" t="str">
        <f aca="false">_xlfn.xlookup(A1133, artists!A$2:A$836, artists!B$2:B$836)</f>
        <v>Imagine Dragons</v>
      </c>
      <c r="C1133" s="1" t="s">
        <v>1168</v>
      </c>
      <c r="D1133" s="2" t="n">
        <v>189466</v>
      </c>
      <c r="E1133" s="2" t="n">
        <f aca="false">D1133/1000</f>
        <v>189.466</v>
      </c>
      <c r="F1133" s="10" t="b">
        <f aca="false">FALSE()</f>
        <v>0</v>
      </c>
      <c r="G1133" s="0" t="n">
        <v>21</v>
      </c>
      <c r="H1133" s="0" t="n">
        <f aca="false">_xlfn.xlookup(G1133, years!A$2:A$836, years!B$2:B$836)</f>
        <v>2018</v>
      </c>
      <c r="I1133" s="2" t="n">
        <v>80</v>
      </c>
      <c r="J1133" s="0" t="n">
        <v>0.704</v>
      </c>
      <c r="K1133" s="0" t="n">
        <v>0.611</v>
      </c>
      <c r="L1133" s="3" t="str">
        <f aca="false">IF(K1133&gt;0.66,"High",IF(K1133&gt;0.33&amp;K1133&lt;=0.66,"Medium","Low"))</f>
        <v>Low</v>
      </c>
      <c r="M1133" s="0" t="n">
        <v>-6.112</v>
      </c>
      <c r="N1133" s="3" t="n">
        <v>0.0409</v>
      </c>
      <c r="O1133" s="3" t="n">
        <v>0.217</v>
      </c>
      <c r="P1133" s="4" t="n">
        <v>0</v>
      </c>
      <c r="Q1133" s="3" t="n">
        <v>0.0812</v>
      </c>
      <c r="R1133" s="3" t="n">
        <v>0.22</v>
      </c>
      <c r="S1133" s="3" t="str">
        <f aca="false">IF(R1133 &gt;= 0.5, "Positive", "Negative")</f>
        <v>Negative</v>
      </c>
      <c r="T1133" s="2" t="n">
        <v>100</v>
      </c>
      <c r="U1133" s="0" t="s">
        <v>43</v>
      </c>
    </row>
    <row r="1134" customFormat="false" ht="14.25" hidden="false" customHeight="false" outlineLevel="0" collapsed="false">
      <c r="A1134" s="0" t="n">
        <v>456</v>
      </c>
      <c r="B1134" s="0" t="str">
        <f aca="false">_xlfn.xlookup(A1134, artists!A$2:A$836, artists!B$2:B$836)</f>
        <v>Selena Gomez &amp; The Scene</v>
      </c>
      <c r="C1134" s="1" t="s">
        <v>1169</v>
      </c>
      <c r="D1134" s="2" t="n">
        <v>202586</v>
      </c>
      <c r="E1134" s="2" t="n">
        <f aca="false">D1134/1000</f>
        <v>202.586</v>
      </c>
      <c r="F1134" s="10" t="b">
        <f aca="false">FALSE()</f>
        <v>0</v>
      </c>
      <c r="G1134" s="0" t="n">
        <v>12</v>
      </c>
      <c r="H1134" s="0" t="n">
        <f aca="false">_xlfn.xlookup(G1134, years!A$2:A$836, years!B$2:B$836)</f>
        <v>2009</v>
      </c>
      <c r="I1134" s="2" t="n">
        <v>63</v>
      </c>
      <c r="J1134" s="0" t="n">
        <v>0.605</v>
      </c>
      <c r="K1134" s="0" t="n">
        <v>0.902</v>
      </c>
      <c r="L1134" s="3" t="str">
        <f aca="false">IF(K1134&gt;0.66,"High",IF(K1134&gt;0.33&amp;K1134&lt;=0.66,"Medium","Low"))</f>
        <v>High</v>
      </c>
      <c r="M1134" s="0" t="n">
        <v>-5.406</v>
      </c>
      <c r="N1134" s="3" t="n">
        <v>0.0511</v>
      </c>
      <c r="O1134" s="3" t="n">
        <v>0.0185</v>
      </c>
      <c r="P1134" s="4" t="n">
        <v>1.01E-006</v>
      </c>
      <c r="Q1134" s="3" t="n">
        <v>0.0534</v>
      </c>
      <c r="R1134" s="3" t="n">
        <v>0.875</v>
      </c>
      <c r="S1134" s="3" t="str">
        <f aca="false">IF(R1134 &gt;= 0.5, "Positive", "Negative")</f>
        <v>Positive</v>
      </c>
      <c r="T1134" s="2" t="n">
        <v>132.612</v>
      </c>
      <c r="U1134" s="0" t="s">
        <v>22</v>
      </c>
    </row>
    <row r="1135" customFormat="false" ht="14.25" hidden="false" customHeight="false" outlineLevel="0" collapsed="false">
      <c r="A1135" s="0" t="n">
        <v>192</v>
      </c>
      <c r="B1135" s="0" t="str">
        <f aca="false">_xlfn.xlookup(A1135, artists!A$2:A$836, artists!B$2:B$836)</f>
        <v>Beyoncé</v>
      </c>
      <c r="C1135" s="1" t="s">
        <v>1170</v>
      </c>
      <c r="D1135" s="2" t="n">
        <v>227853</v>
      </c>
      <c r="E1135" s="2" t="n">
        <f aca="false">D1135/1000</f>
        <v>227.853</v>
      </c>
      <c r="F1135" s="10" t="b">
        <f aca="false">FALSE()</f>
        <v>0</v>
      </c>
      <c r="G1135" s="0" t="n">
        <v>10</v>
      </c>
      <c r="H1135" s="0" t="n">
        <f aca="false">_xlfn.xlookup(G1135, years!A$2:A$836, years!B$2:B$836)</f>
        <v>2007</v>
      </c>
      <c r="I1135" s="2" t="n">
        <v>70</v>
      </c>
      <c r="J1135" s="0" t="n">
        <v>0.447</v>
      </c>
      <c r="K1135" s="0" t="n">
        <v>0.694</v>
      </c>
      <c r="L1135" s="3" t="str">
        <f aca="false">IF(K1135&gt;0.66,"High",IF(K1135&gt;0.33&amp;K1135&lt;=0.66,"Medium","Low"))</f>
        <v>High</v>
      </c>
      <c r="M1135" s="0" t="n">
        <v>-4.637</v>
      </c>
      <c r="N1135" s="3" t="n">
        <v>0.382</v>
      </c>
      <c r="O1135" s="3" t="n">
        <v>0.0293</v>
      </c>
      <c r="P1135" s="4" t="n">
        <v>5.46E-006</v>
      </c>
      <c r="Q1135" s="3" t="n">
        <v>0.167</v>
      </c>
      <c r="R1135" s="3" t="n">
        <v>0.509</v>
      </c>
      <c r="S1135" s="3" t="str">
        <f aca="false">IF(R1135 &gt;= 0.5, "Positive", "Negative")</f>
        <v>Positive</v>
      </c>
      <c r="T1135" s="2" t="n">
        <v>175.868</v>
      </c>
      <c r="U1135" s="0" t="s">
        <v>33</v>
      </c>
    </row>
    <row r="1136" customFormat="false" ht="14.25" hidden="false" customHeight="false" outlineLevel="0" collapsed="false">
      <c r="A1136" s="0" t="n">
        <v>588</v>
      </c>
      <c r="B1136" s="0" t="str">
        <f aca="false">_xlfn.xlookup(A1136, artists!A$2:A$836, artists!B$2:B$836)</f>
        <v>Duke Dumont</v>
      </c>
      <c r="C1136" s="1" t="s">
        <v>1171</v>
      </c>
      <c r="D1136" s="2" t="n">
        <v>174853</v>
      </c>
      <c r="E1136" s="2" t="n">
        <f aca="false">D1136/1000</f>
        <v>174.853</v>
      </c>
      <c r="F1136" s="10" t="b">
        <f aca="false">FALSE()</f>
        <v>0</v>
      </c>
      <c r="G1136" s="0" t="n">
        <v>16</v>
      </c>
      <c r="H1136" s="0" t="n">
        <f aca="false">_xlfn.xlookup(G1136, years!A$2:A$836, years!B$2:B$836)</f>
        <v>2013</v>
      </c>
      <c r="I1136" s="2" t="n">
        <v>27</v>
      </c>
      <c r="J1136" s="0" t="n">
        <v>0.681</v>
      </c>
      <c r="K1136" s="0" t="n">
        <v>0.835</v>
      </c>
      <c r="L1136" s="3" t="str">
        <f aca="false">IF(K1136&gt;0.66,"High",IF(K1136&gt;0.33&amp;K1136&lt;=0.66,"Medium","Low"))</f>
        <v>High</v>
      </c>
      <c r="M1136" s="0" t="n">
        <v>-5.705</v>
      </c>
      <c r="N1136" s="3" t="n">
        <v>0.049</v>
      </c>
      <c r="O1136" s="3" t="n">
        <v>0.00176</v>
      </c>
      <c r="P1136" s="4" t="n">
        <v>0.00183</v>
      </c>
      <c r="Q1136" s="3" t="n">
        <v>0.354</v>
      </c>
      <c r="R1136" s="3" t="n">
        <v>0.469</v>
      </c>
      <c r="S1136" s="3" t="str">
        <f aca="false">IF(R1136 &gt;= 0.5, "Positive", "Negative")</f>
        <v>Negative</v>
      </c>
      <c r="T1136" s="2" t="n">
        <v>124.047</v>
      </c>
      <c r="U1136" s="0" t="s">
        <v>22</v>
      </c>
    </row>
    <row r="1137" customFormat="false" ht="14.25" hidden="false" customHeight="false" outlineLevel="0" collapsed="false">
      <c r="A1137" s="0" t="n">
        <v>504</v>
      </c>
      <c r="B1137" s="0" t="str">
        <f aca="false">_xlfn.xlookup(A1137, artists!A$2:A$836, artists!B$2:B$836)</f>
        <v>Lady A</v>
      </c>
      <c r="C1137" s="1" t="s">
        <v>1172</v>
      </c>
      <c r="D1137" s="2" t="n">
        <v>236440</v>
      </c>
      <c r="E1137" s="2" t="n">
        <f aca="false">D1137/1000</f>
        <v>236.44</v>
      </c>
      <c r="F1137" s="10" t="b">
        <f aca="false">FALSE()</f>
        <v>0</v>
      </c>
      <c r="G1137" s="0" t="n">
        <v>13</v>
      </c>
      <c r="H1137" s="0" t="n">
        <f aca="false">_xlfn.xlookup(G1137, years!A$2:A$836, years!B$2:B$836)</f>
        <v>2010</v>
      </c>
      <c r="I1137" s="2" t="n">
        <v>73</v>
      </c>
      <c r="J1137" s="0" t="n">
        <v>0.581</v>
      </c>
      <c r="K1137" s="0" t="n">
        <v>0.717</v>
      </c>
      <c r="L1137" s="3" t="str">
        <f aca="false">IF(K1137&gt;0.66,"High",IF(K1137&gt;0.33&amp;K1137&lt;=0.66,"Medium","Low"))</f>
        <v>High</v>
      </c>
      <c r="M1137" s="0" t="n">
        <v>-4.433</v>
      </c>
      <c r="N1137" s="3" t="n">
        <v>0.0318</v>
      </c>
      <c r="O1137" s="3" t="n">
        <v>0.0298</v>
      </c>
      <c r="P1137" s="4" t="n">
        <v>0.000186</v>
      </c>
      <c r="Q1137" s="3" t="n">
        <v>0.243</v>
      </c>
      <c r="R1137" s="3" t="n">
        <v>0.316</v>
      </c>
      <c r="S1137" s="3" t="str">
        <f aca="false">IF(R1137 &gt;= 0.5, "Positive", "Negative")</f>
        <v>Negative</v>
      </c>
      <c r="T1137" s="2" t="n">
        <v>107.884</v>
      </c>
      <c r="U1137" s="0" t="s">
        <v>204</v>
      </c>
    </row>
    <row r="1138" customFormat="false" ht="14.25" hidden="false" customHeight="false" outlineLevel="0" collapsed="false">
      <c r="A1138" s="0" t="n">
        <v>283</v>
      </c>
      <c r="B1138" s="0" t="str">
        <f aca="false">_xlfn.xlookup(A1138, artists!A$2:A$836, artists!B$2:B$836)</f>
        <v>Rihanna</v>
      </c>
      <c r="C1138" s="1" t="s">
        <v>1173</v>
      </c>
      <c r="D1138" s="2" t="n">
        <v>191600</v>
      </c>
      <c r="E1138" s="2" t="n">
        <f aca="false">D1138/1000</f>
        <v>191.6</v>
      </c>
      <c r="F1138" s="10" t="b">
        <f aca="false">TRUE()</f>
        <v>1</v>
      </c>
      <c r="G1138" s="0" t="n">
        <v>19</v>
      </c>
      <c r="H1138" s="0" t="n">
        <f aca="false">_xlfn.xlookup(G1138, years!A$2:A$836, years!B$2:B$836)</f>
        <v>2016</v>
      </c>
      <c r="I1138" s="2" t="n">
        <v>80</v>
      </c>
      <c r="J1138" s="0" t="n">
        <v>0.671</v>
      </c>
      <c r="K1138" s="0" t="n">
        <v>0.314</v>
      </c>
      <c r="L1138" s="3" t="str">
        <f aca="false">IF(K1138&gt;0.66,"High",IF(K1138&gt;0.33&amp;K1138&lt;=0.66,"Medium","Low"))</f>
        <v>Low</v>
      </c>
      <c r="M1138" s="0" t="n">
        <v>-8.091</v>
      </c>
      <c r="N1138" s="3" t="n">
        <v>0.244</v>
      </c>
      <c r="O1138" s="3" t="n">
        <v>0.11</v>
      </c>
      <c r="P1138" s="4" t="n">
        <v>0</v>
      </c>
      <c r="Q1138" s="3" t="n">
        <v>0.0825</v>
      </c>
      <c r="R1138" s="3" t="n">
        <v>0.296</v>
      </c>
      <c r="S1138" s="3" t="str">
        <f aca="false">IF(R1138 &gt;= 0.5, "Positive", "Negative")</f>
        <v>Negative</v>
      </c>
      <c r="T1138" s="2" t="n">
        <v>110.898</v>
      </c>
      <c r="U1138" s="0" t="s">
        <v>31</v>
      </c>
    </row>
    <row r="1139" customFormat="false" ht="14.25" hidden="false" customHeight="false" outlineLevel="0" collapsed="false">
      <c r="A1139" s="0" t="n">
        <v>159</v>
      </c>
      <c r="B1139" s="0" t="str">
        <f aca="false">_xlfn.xlookup(A1139, artists!A$2:A$836, artists!B$2:B$836)</f>
        <v>Scooter</v>
      </c>
      <c r="C1139" s="1" t="s">
        <v>1174</v>
      </c>
      <c r="D1139" s="2" t="n">
        <v>208449</v>
      </c>
      <c r="E1139" s="2" t="n">
        <f aca="false">D1139/1000</f>
        <v>208.449</v>
      </c>
      <c r="F1139" s="10" t="b">
        <f aca="false">FALSE()</f>
        <v>0</v>
      </c>
      <c r="G1139" s="0" t="n">
        <v>16</v>
      </c>
      <c r="H1139" s="0" t="n">
        <f aca="false">_xlfn.xlookup(G1139, years!A$2:A$836, years!B$2:B$836)</f>
        <v>2013</v>
      </c>
      <c r="I1139" s="2" t="n">
        <v>47</v>
      </c>
      <c r="J1139" s="0" t="n">
        <v>0.486</v>
      </c>
      <c r="K1139" s="0" t="n">
        <v>0.904</v>
      </c>
      <c r="L1139" s="3" t="str">
        <f aca="false">IF(K1139&gt;0.66,"High",IF(K1139&gt;0.33&amp;K1139&lt;=0.66,"Medium","Low"))</f>
        <v>High</v>
      </c>
      <c r="M1139" s="0" t="n">
        <v>-6.642</v>
      </c>
      <c r="N1139" s="3" t="n">
        <v>0.0364</v>
      </c>
      <c r="O1139" s="3" t="n">
        <v>0.000748</v>
      </c>
      <c r="P1139" s="4" t="n">
        <v>0.0984</v>
      </c>
      <c r="Q1139" s="3" t="n">
        <v>0.187</v>
      </c>
      <c r="R1139" s="3" t="n">
        <v>0.118</v>
      </c>
      <c r="S1139" s="3" t="str">
        <f aca="false">IF(R1139 &gt;= 0.5, "Positive", "Negative")</f>
        <v>Negative</v>
      </c>
      <c r="T1139" s="2" t="n">
        <v>143.048</v>
      </c>
      <c r="U1139" s="0" t="s">
        <v>22</v>
      </c>
    </row>
    <row r="1140" customFormat="false" ht="14.25" hidden="false" customHeight="false" outlineLevel="0" collapsed="false">
      <c r="A1140" s="0" t="n">
        <v>711</v>
      </c>
      <c r="B1140" s="0" t="str">
        <f aca="false">_xlfn.xlookup(A1140, artists!A$2:A$836, artists!B$2:B$836)</f>
        <v>Flume</v>
      </c>
      <c r="C1140" s="1" t="s">
        <v>1175</v>
      </c>
      <c r="D1140" s="2" t="n">
        <v>233337</v>
      </c>
      <c r="E1140" s="2" t="n">
        <f aca="false">D1140/1000</f>
        <v>233.337</v>
      </c>
      <c r="F1140" s="10" t="b">
        <f aca="false">TRUE()</f>
        <v>1</v>
      </c>
      <c r="G1140" s="0" t="n">
        <v>19</v>
      </c>
      <c r="H1140" s="0" t="n">
        <f aca="false">_xlfn.xlookup(G1140, years!A$2:A$836, years!B$2:B$836)</f>
        <v>2016</v>
      </c>
      <c r="I1140" s="2" t="n">
        <v>0</v>
      </c>
      <c r="J1140" s="0" t="n">
        <v>0.443</v>
      </c>
      <c r="K1140" s="0" t="n">
        <v>0.558</v>
      </c>
      <c r="L1140" s="3" t="str">
        <f aca="false">IF(K1140&gt;0.66,"High",IF(K1140&gt;0.33&amp;K1140&lt;=0.66,"Medium","Low"))</f>
        <v>Low</v>
      </c>
      <c r="M1140" s="0" t="n">
        <v>-5.436</v>
      </c>
      <c r="N1140" s="3" t="n">
        <v>0.0624</v>
      </c>
      <c r="O1140" s="3" t="n">
        <v>0.441</v>
      </c>
      <c r="P1140" s="4" t="n">
        <v>0</v>
      </c>
      <c r="Q1140" s="3" t="n">
        <v>0.163</v>
      </c>
      <c r="R1140" s="3" t="n">
        <v>0.248</v>
      </c>
      <c r="S1140" s="3" t="str">
        <f aca="false">IF(R1140 &gt;= 0.5, "Positive", "Negative")</f>
        <v>Negative</v>
      </c>
      <c r="T1140" s="2" t="n">
        <v>116.838</v>
      </c>
      <c r="U1140" s="0" t="s">
        <v>48</v>
      </c>
    </row>
    <row r="1141" customFormat="false" ht="14.25" hidden="false" customHeight="false" outlineLevel="0" collapsed="false">
      <c r="A1141" s="0" t="n">
        <v>733</v>
      </c>
      <c r="B1141" s="0" t="str">
        <f aca="false">_xlfn.xlookup(A1141, artists!A$2:A$836, artists!B$2:B$836)</f>
        <v>Natti Natasha</v>
      </c>
      <c r="C1141" s="1" t="s">
        <v>1176</v>
      </c>
      <c r="D1141" s="2" t="n">
        <v>232549</v>
      </c>
      <c r="E1141" s="2" t="n">
        <f aca="false">D1141/1000</f>
        <v>232.549</v>
      </c>
      <c r="F1141" s="10" t="b">
        <f aca="false">FALSE()</f>
        <v>0</v>
      </c>
      <c r="G1141" s="0" t="n">
        <v>20</v>
      </c>
      <c r="H1141" s="0" t="n">
        <f aca="false">_xlfn.xlookup(G1141, years!A$2:A$836, years!B$2:B$836)</f>
        <v>2017</v>
      </c>
      <c r="I1141" s="2" t="n">
        <v>74</v>
      </c>
      <c r="J1141" s="0" t="n">
        <v>0.814</v>
      </c>
      <c r="K1141" s="0" t="n">
        <v>0.813</v>
      </c>
      <c r="L1141" s="3" t="str">
        <f aca="false">IF(K1141&gt;0.66,"High",IF(K1141&gt;0.33&amp;K1141&lt;=0.66,"Medium","Low"))</f>
        <v>High</v>
      </c>
      <c r="M1141" s="0" t="n">
        <v>-3.023</v>
      </c>
      <c r="N1141" s="3" t="n">
        <v>0.0561</v>
      </c>
      <c r="O1141" s="3" t="n">
        <v>0.03</v>
      </c>
      <c r="P1141" s="4" t="n">
        <v>9.33E-005</v>
      </c>
      <c r="Q1141" s="3" t="n">
        <v>0.255</v>
      </c>
      <c r="R1141" s="3" t="n">
        <v>0.839</v>
      </c>
      <c r="S1141" s="3" t="str">
        <f aca="false">IF(R1141 &gt;= 0.5, "Positive", "Negative")</f>
        <v>Positive</v>
      </c>
      <c r="T1141" s="2" t="n">
        <v>79.997</v>
      </c>
      <c r="U1141" s="0" t="s">
        <v>75</v>
      </c>
    </row>
    <row r="1142" customFormat="false" ht="14.25" hidden="false" customHeight="false" outlineLevel="0" collapsed="false">
      <c r="A1142" s="0" t="n">
        <v>15</v>
      </c>
      <c r="B1142" s="0" t="str">
        <f aca="false">_xlfn.xlookup(A1142, artists!A$2:A$836, artists!B$2:B$836)</f>
        <v>Melanie C</v>
      </c>
      <c r="C1142" s="1" t="s">
        <v>1177</v>
      </c>
      <c r="D1142" s="2" t="n">
        <v>294200</v>
      </c>
      <c r="E1142" s="2" t="n">
        <f aca="false">D1142/1000</f>
        <v>294.2</v>
      </c>
      <c r="F1142" s="10" t="b">
        <f aca="false">FALSE()</f>
        <v>0</v>
      </c>
      <c r="G1142" s="0" t="n">
        <v>2</v>
      </c>
      <c r="H1142" s="0" t="n">
        <f aca="false">_xlfn.xlookup(G1142, years!A$2:A$836, years!B$2:B$836)</f>
        <v>1999</v>
      </c>
      <c r="I1142" s="2" t="n">
        <v>61</v>
      </c>
      <c r="J1142" s="0" t="n">
        <v>0.689</v>
      </c>
      <c r="K1142" s="0" t="n">
        <v>0.685</v>
      </c>
      <c r="L1142" s="3" t="str">
        <f aca="false">IF(K1142&gt;0.66,"High",IF(K1142&gt;0.33&amp;K1142&lt;=0.66,"Medium","Low"))</f>
        <v>High</v>
      </c>
      <c r="M1142" s="0" t="n">
        <v>-5.153</v>
      </c>
      <c r="N1142" s="3" t="n">
        <v>0.0478</v>
      </c>
      <c r="O1142" s="3" t="n">
        <v>0.0921</v>
      </c>
      <c r="P1142" s="4" t="n">
        <v>0</v>
      </c>
      <c r="Q1142" s="3" t="n">
        <v>0.119</v>
      </c>
      <c r="R1142" s="3" t="n">
        <v>0.398</v>
      </c>
      <c r="S1142" s="3" t="str">
        <f aca="false">IF(R1142 &gt;= 0.5, "Positive", "Negative")</f>
        <v>Negative</v>
      </c>
      <c r="T1142" s="2" t="n">
        <v>160.067</v>
      </c>
      <c r="U1142" s="0" t="s">
        <v>22</v>
      </c>
    </row>
    <row r="1143" customFormat="false" ht="14.25" hidden="false" customHeight="false" outlineLevel="0" collapsed="false">
      <c r="A1143" s="0" t="n">
        <v>95</v>
      </c>
      <c r="B1143" s="0" t="str">
        <f aca="false">_xlfn.xlookup(A1143, artists!A$2:A$836, artists!B$2:B$836)</f>
        <v>Blue</v>
      </c>
      <c r="C1143" s="1" t="s">
        <v>1178</v>
      </c>
      <c r="D1143" s="2" t="n">
        <v>207560</v>
      </c>
      <c r="E1143" s="2" t="n">
        <f aca="false">D1143/1000</f>
        <v>207.56</v>
      </c>
      <c r="F1143" s="10" t="b">
        <f aca="false">FALSE()</f>
        <v>0</v>
      </c>
      <c r="G1143" s="0" t="n">
        <v>4</v>
      </c>
      <c r="H1143" s="0" t="n">
        <f aca="false">_xlfn.xlookup(G1143, years!A$2:A$836, years!B$2:B$836)</f>
        <v>2001</v>
      </c>
      <c r="I1143" s="2" t="n">
        <v>58</v>
      </c>
      <c r="J1143" s="0" t="n">
        <v>0.582</v>
      </c>
      <c r="K1143" s="0" t="n">
        <v>0.707</v>
      </c>
      <c r="L1143" s="3" t="str">
        <f aca="false">IF(K1143&gt;0.66,"High",IF(K1143&gt;0.33&amp;K1143&lt;=0.66,"Medium","Low"))</f>
        <v>High</v>
      </c>
      <c r="M1143" s="0" t="n">
        <v>-4.487</v>
      </c>
      <c r="N1143" s="3" t="n">
        <v>0.0319</v>
      </c>
      <c r="O1143" s="3" t="n">
        <v>0.0822</v>
      </c>
      <c r="P1143" s="4" t="n">
        <v>0</v>
      </c>
      <c r="Q1143" s="3" t="n">
        <v>0.0467</v>
      </c>
      <c r="R1143" s="3" t="n">
        <v>0.701</v>
      </c>
      <c r="S1143" s="3" t="str">
        <f aca="false">IF(R1143 &gt;= 0.5, "Positive", "Negative")</f>
        <v>Positive</v>
      </c>
      <c r="T1143" s="2" t="n">
        <v>78.375</v>
      </c>
      <c r="U1143" s="0" t="s">
        <v>39</v>
      </c>
    </row>
    <row r="1144" customFormat="false" ht="14.25" hidden="false" customHeight="false" outlineLevel="0" collapsed="false">
      <c r="A1144" s="0" t="n">
        <v>749</v>
      </c>
      <c r="B1144" s="0" t="str">
        <f aca="false">_xlfn.xlookup(A1144, artists!A$2:A$836, artists!B$2:B$836)</f>
        <v>Macklemore</v>
      </c>
      <c r="C1144" s="1" t="s">
        <v>1179</v>
      </c>
      <c r="D1144" s="2" t="n">
        <v>220454</v>
      </c>
      <c r="E1144" s="2" t="n">
        <f aca="false">D1144/1000</f>
        <v>220.454</v>
      </c>
      <c r="F1144" s="10" t="b">
        <f aca="false">TRUE()</f>
        <v>1</v>
      </c>
      <c r="G1144" s="0" t="n">
        <v>20</v>
      </c>
      <c r="H1144" s="0" t="n">
        <f aca="false">_xlfn.xlookup(G1144, years!A$2:A$836, years!B$2:B$836)</f>
        <v>2017</v>
      </c>
      <c r="I1144" s="2" t="n">
        <v>74</v>
      </c>
      <c r="J1144" s="0" t="n">
        <v>0.731</v>
      </c>
      <c r="K1144" s="0" t="n">
        <v>0.794</v>
      </c>
      <c r="L1144" s="3" t="str">
        <f aca="false">IF(K1144&gt;0.66,"High",IF(K1144&gt;0.33&amp;K1144&lt;=0.66,"Medium","Low"))</f>
        <v>High</v>
      </c>
      <c r="M1144" s="0" t="n">
        <v>-5.126</v>
      </c>
      <c r="N1144" s="3" t="n">
        <v>0.0522</v>
      </c>
      <c r="O1144" s="3" t="n">
        <v>0.0323</v>
      </c>
      <c r="P1144" s="4" t="n">
        <v>2.59E-005</v>
      </c>
      <c r="Q1144" s="3" t="n">
        <v>0.112</v>
      </c>
      <c r="R1144" s="3" t="n">
        <v>0.356</v>
      </c>
      <c r="S1144" s="3" t="str">
        <f aca="false">IF(R1144 &gt;= 0.5, "Positive", "Negative")</f>
        <v>Negative</v>
      </c>
      <c r="T1144" s="2" t="n">
        <v>139.994</v>
      </c>
      <c r="U1144" s="0" t="s">
        <v>24</v>
      </c>
    </row>
    <row r="1145" customFormat="false" ht="14.25" hidden="false" customHeight="false" outlineLevel="0" collapsed="false">
      <c r="A1145" s="0" t="n">
        <v>208</v>
      </c>
      <c r="B1145" s="0" t="str">
        <f aca="false">_xlfn.xlookup(A1145, artists!A$2:A$836, artists!B$2:B$836)</f>
        <v>Lumidee</v>
      </c>
      <c r="C1145" s="1" t="s">
        <v>1180</v>
      </c>
      <c r="D1145" s="2" t="n">
        <v>184906</v>
      </c>
      <c r="E1145" s="2" t="n">
        <f aca="false">D1145/1000</f>
        <v>184.906</v>
      </c>
      <c r="F1145" s="10" t="b">
        <f aca="false">FALSE()</f>
        <v>0</v>
      </c>
      <c r="G1145" s="0" t="n">
        <v>6</v>
      </c>
      <c r="H1145" s="0" t="n">
        <f aca="false">_xlfn.xlookup(G1145, years!A$2:A$836, years!B$2:B$836)</f>
        <v>2003</v>
      </c>
      <c r="I1145" s="2" t="n">
        <v>61</v>
      </c>
      <c r="J1145" s="0" t="n">
        <v>0.811</v>
      </c>
      <c r="K1145" s="0" t="n">
        <v>0.657</v>
      </c>
      <c r="L1145" s="3" t="str">
        <f aca="false">IF(K1145&gt;0.66,"High",IF(K1145&gt;0.33&amp;K1145&lt;=0.66,"Medium","Low"))</f>
        <v>Low</v>
      </c>
      <c r="M1145" s="0" t="n">
        <v>-6.197</v>
      </c>
      <c r="N1145" s="3" t="n">
        <v>0.362</v>
      </c>
      <c r="O1145" s="3" t="n">
        <v>0.0391</v>
      </c>
      <c r="P1145" s="4" t="n">
        <v>0.712</v>
      </c>
      <c r="Q1145" s="3" t="n">
        <v>0.0798</v>
      </c>
      <c r="R1145" s="3" t="n">
        <v>0.777</v>
      </c>
      <c r="S1145" s="3" t="str">
        <f aca="false">IF(R1145 &gt;= 0.5, "Positive", "Negative")</f>
        <v>Positive</v>
      </c>
      <c r="T1145" s="2" t="n">
        <v>199.958</v>
      </c>
      <c r="U1145" s="0" t="s">
        <v>33</v>
      </c>
    </row>
    <row r="1146" customFormat="false" ht="14.25" hidden="false" customHeight="false" outlineLevel="0" collapsed="false">
      <c r="A1146" s="0" t="n">
        <v>355</v>
      </c>
      <c r="B1146" s="0" t="str">
        <f aca="false">_xlfn.xlookup(A1146, artists!A$2:A$836, artists!B$2:B$836)</f>
        <v>The Fray</v>
      </c>
      <c r="C1146" s="1" t="s">
        <v>1181</v>
      </c>
      <c r="D1146" s="2" t="n">
        <v>256613</v>
      </c>
      <c r="E1146" s="2" t="n">
        <f aca="false">D1146/1000</f>
        <v>256.613</v>
      </c>
      <c r="F1146" s="10" t="b">
        <f aca="false">FALSE()</f>
        <v>0</v>
      </c>
      <c r="G1146" s="0" t="n">
        <v>12</v>
      </c>
      <c r="H1146" s="0" t="n">
        <f aca="false">_xlfn.xlookup(G1146, years!A$2:A$836, years!B$2:B$836)</f>
        <v>2009</v>
      </c>
      <c r="I1146" s="2" t="n">
        <v>67</v>
      </c>
      <c r="J1146" s="0" t="n">
        <v>0.23</v>
      </c>
      <c r="K1146" s="0" t="n">
        <v>0.492</v>
      </c>
      <c r="L1146" s="3" t="str">
        <f aca="false">IF(K1146&gt;0.66,"High",IF(K1146&gt;0.33&amp;K1146&lt;=0.66,"Medium","Low"))</f>
        <v>Low</v>
      </c>
      <c r="M1146" s="0" t="n">
        <v>-5.767</v>
      </c>
      <c r="N1146" s="3" t="n">
        <v>0.0317</v>
      </c>
      <c r="O1146" s="3" t="n">
        <v>0.568</v>
      </c>
      <c r="P1146" s="4" t="n">
        <v>8.18E-006</v>
      </c>
      <c r="Q1146" s="3" t="n">
        <v>0.176</v>
      </c>
      <c r="R1146" s="3" t="n">
        <v>0.262</v>
      </c>
      <c r="S1146" s="3" t="str">
        <f aca="false">IF(R1146 &gt;= 0.5, "Positive", "Negative")</f>
        <v>Negative</v>
      </c>
      <c r="T1146" s="2" t="n">
        <v>160.139</v>
      </c>
      <c r="U1146" s="0" t="s">
        <v>39</v>
      </c>
    </row>
    <row r="1147" customFormat="false" ht="14.25" hidden="false" customHeight="false" outlineLevel="0" collapsed="false">
      <c r="A1147" s="0" t="n">
        <v>766</v>
      </c>
      <c r="B1147" s="0" t="str">
        <f aca="false">_xlfn.xlookup(A1147, artists!A$2:A$836, artists!B$2:B$836)</f>
        <v>Dennis Lloyd</v>
      </c>
      <c r="C1147" s="1" t="s">
        <v>1182</v>
      </c>
      <c r="D1147" s="2" t="n">
        <v>156600</v>
      </c>
      <c r="E1147" s="2" t="n">
        <f aca="false">D1147/1000</f>
        <v>156.6</v>
      </c>
      <c r="F1147" s="10" t="b">
        <f aca="false">FALSE()</f>
        <v>0</v>
      </c>
      <c r="G1147" s="0" t="n">
        <v>20</v>
      </c>
      <c r="H1147" s="0" t="n">
        <f aca="false">_xlfn.xlookup(G1147, years!A$2:A$836, years!B$2:B$836)</f>
        <v>2017</v>
      </c>
      <c r="I1147" s="2" t="n">
        <v>74</v>
      </c>
      <c r="J1147" s="0" t="n">
        <v>0.6</v>
      </c>
      <c r="K1147" s="0" t="n">
        <v>0.688</v>
      </c>
      <c r="L1147" s="3" t="str">
        <f aca="false">IF(K1147&gt;0.66,"High",IF(K1147&gt;0.33&amp;K1147&lt;=0.66,"Medium","Low"))</f>
        <v>High</v>
      </c>
      <c r="M1147" s="0" t="n">
        <v>-8.339</v>
      </c>
      <c r="N1147" s="3" t="n">
        <v>0.201</v>
      </c>
      <c r="O1147" s="3" t="n">
        <v>0.159</v>
      </c>
      <c r="P1147" s="4" t="n">
        <v>1.29E-005</v>
      </c>
      <c r="Q1147" s="3" t="n">
        <v>0.409</v>
      </c>
      <c r="R1147" s="3" t="n">
        <v>0.0793</v>
      </c>
      <c r="S1147" s="3" t="str">
        <f aca="false">IF(R1147 &gt;= 0.5, "Positive", "Negative")</f>
        <v>Negative</v>
      </c>
      <c r="T1147" s="2" t="n">
        <v>99.977</v>
      </c>
      <c r="U1147" s="0" t="s">
        <v>39</v>
      </c>
    </row>
    <row r="1148" customFormat="false" ht="14.25" hidden="false" customHeight="false" outlineLevel="0" collapsed="false">
      <c r="A1148" s="0" t="n">
        <v>20</v>
      </c>
      <c r="B1148" s="0" t="str">
        <f aca="false">_xlfn.xlookup(A1148, artists!A$2:A$836, artists!B$2:B$836)</f>
        <v>Linkin Park</v>
      </c>
      <c r="C1148" s="1" t="s">
        <v>1183</v>
      </c>
      <c r="D1148" s="2" t="n">
        <v>268613</v>
      </c>
      <c r="E1148" s="2" t="n">
        <f aca="false">D1148/1000</f>
        <v>268.613</v>
      </c>
      <c r="F1148" s="10" t="b">
        <f aca="false">FALSE()</f>
        <v>0</v>
      </c>
      <c r="G1148" s="0" t="n">
        <v>12</v>
      </c>
      <c r="H1148" s="0" t="n">
        <f aca="false">_xlfn.xlookup(G1148, years!A$2:A$836, years!B$2:B$836)</f>
        <v>2009</v>
      </c>
      <c r="I1148" s="2" t="n">
        <v>68</v>
      </c>
      <c r="J1148" s="0" t="n">
        <v>0.493</v>
      </c>
      <c r="K1148" s="0" t="n">
        <v>0.808</v>
      </c>
      <c r="L1148" s="3" t="str">
        <f aca="false">IF(K1148&gt;0.66,"High",IF(K1148&gt;0.33&amp;K1148&lt;=0.66,"Medium","Low"))</f>
        <v>High</v>
      </c>
      <c r="M1148" s="0" t="n">
        <v>-3.365</v>
      </c>
      <c r="N1148" s="3" t="n">
        <v>0.0362</v>
      </c>
      <c r="O1148" s="3" t="n">
        <v>0.000235</v>
      </c>
      <c r="P1148" s="4" t="n">
        <v>0</v>
      </c>
      <c r="Q1148" s="3" t="n">
        <v>0.0983</v>
      </c>
      <c r="R1148" s="3" t="n">
        <v>0.38</v>
      </c>
      <c r="S1148" s="3" t="str">
        <f aca="false">IF(R1148 &gt;= 0.5, "Positive", "Negative")</f>
        <v>Negative</v>
      </c>
      <c r="T1148" s="2" t="n">
        <v>117.971</v>
      </c>
      <c r="U1148" s="0" t="s">
        <v>81</v>
      </c>
    </row>
    <row r="1149" customFormat="false" ht="14.25" hidden="false" customHeight="false" outlineLevel="0" collapsed="false">
      <c r="A1149" s="0" t="n">
        <v>291</v>
      </c>
      <c r="B1149" s="0" t="str">
        <f aca="false">_xlfn.xlookup(A1149, artists!A$2:A$836, artists!B$2:B$836)</f>
        <v>Chris Brown</v>
      </c>
      <c r="C1149" s="1" t="s">
        <v>1184</v>
      </c>
      <c r="D1149" s="2" t="n">
        <v>244226</v>
      </c>
      <c r="E1149" s="2" t="n">
        <f aca="false">D1149/1000</f>
        <v>244.226</v>
      </c>
      <c r="F1149" s="10" t="b">
        <f aca="false">TRUE()</f>
        <v>1</v>
      </c>
      <c r="G1149" s="0" t="n">
        <v>17</v>
      </c>
      <c r="H1149" s="0" t="n">
        <f aca="false">_xlfn.xlookup(G1149, years!A$2:A$836, years!B$2:B$836)</f>
        <v>2014</v>
      </c>
      <c r="I1149" s="2" t="n">
        <v>67</v>
      </c>
      <c r="J1149" s="0" t="n">
        <v>0.702</v>
      </c>
      <c r="K1149" s="0" t="n">
        <v>0.629</v>
      </c>
      <c r="L1149" s="3" t="str">
        <f aca="false">IF(K1149&gt;0.66,"High",IF(K1149&gt;0.33&amp;K1149&lt;=0.66,"Medium","Low"))</f>
        <v>Low</v>
      </c>
      <c r="M1149" s="0" t="n">
        <v>-4.292</v>
      </c>
      <c r="N1149" s="3" t="n">
        <v>0.041</v>
      </c>
      <c r="O1149" s="3" t="n">
        <v>0.0506</v>
      </c>
      <c r="P1149" s="4" t="n">
        <v>0</v>
      </c>
      <c r="Q1149" s="3" t="n">
        <v>0.0963</v>
      </c>
      <c r="R1149" s="3" t="n">
        <v>0.446</v>
      </c>
      <c r="S1149" s="3" t="str">
        <f aca="false">IF(R1149 &gt;= 0.5, "Positive", "Negative")</f>
        <v>Negative</v>
      </c>
      <c r="T1149" s="2" t="n">
        <v>141.967</v>
      </c>
      <c r="U1149" s="0" t="s">
        <v>31</v>
      </c>
    </row>
    <row r="1150" customFormat="false" ht="14.25" hidden="false" customHeight="false" outlineLevel="0" collapsed="false">
      <c r="A1150" s="0" t="n">
        <v>439</v>
      </c>
      <c r="B1150" s="0" t="str">
        <f aca="false">_xlfn.xlookup(A1150, artists!A$2:A$836, artists!B$2:B$836)</f>
        <v>Taylor Swift</v>
      </c>
      <c r="C1150" s="1" t="s">
        <v>1185</v>
      </c>
      <c r="D1150" s="2" t="n">
        <v>208186</v>
      </c>
      <c r="E1150" s="2" t="n">
        <f aca="false">D1150/1000</f>
        <v>208.186</v>
      </c>
      <c r="F1150" s="10" t="b">
        <f aca="false">FALSE()</f>
        <v>0</v>
      </c>
      <c r="G1150" s="0" t="n">
        <v>20</v>
      </c>
      <c r="H1150" s="0" t="n">
        <f aca="false">_xlfn.xlookup(G1150, years!A$2:A$836, years!B$2:B$836)</f>
        <v>2017</v>
      </c>
      <c r="I1150" s="2" t="n">
        <v>73</v>
      </c>
      <c r="J1150" s="0" t="n">
        <v>0.613</v>
      </c>
      <c r="K1150" s="0" t="n">
        <v>0.764</v>
      </c>
      <c r="L1150" s="3" t="str">
        <f aca="false">IF(K1150&gt;0.66,"High",IF(K1150&gt;0.33&amp;K1150&lt;=0.66,"Medium","Low"))</f>
        <v>High</v>
      </c>
      <c r="M1150" s="0" t="n">
        <v>-6.509</v>
      </c>
      <c r="N1150" s="3" t="n">
        <v>0.136</v>
      </c>
      <c r="O1150" s="3" t="n">
        <v>0.0527</v>
      </c>
      <c r="P1150" s="4" t="n">
        <v>0</v>
      </c>
      <c r="Q1150" s="3" t="n">
        <v>0.197</v>
      </c>
      <c r="R1150" s="3" t="n">
        <v>0.417</v>
      </c>
      <c r="S1150" s="3" t="str">
        <f aca="false">IF(R1150 &gt;= 0.5, "Positive", "Negative")</f>
        <v>Negative</v>
      </c>
      <c r="T1150" s="2" t="n">
        <v>160.015</v>
      </c>
      <c r="U1150" s="0" t="s">
        <v>39</v>
      </c>
    </row>
    <row r="1151" customFormat="false" ht="14.25" hidden="false" customHeight="false" outlineLevel="0" collapsed="false">
      <c r="A1151" s="0" t="n">
        <v>35</v>
      </c>
      <c r="B1151" s="0" t="str">
        <f aca="false">_xlfn.xlookup(A1151, artists!A$2:A$836, artists!B$2:B$836)</f>
        <v>JAY-Z</v>
      </c>
      <c r="C1151" s="1" t="s">
        <v>1186</v>
      </c>
      <c r="D1151" s="2" t="n">
        <v>219333</v>
      </c>
      <c r="E1151" s="2" t="n">
        <f aca="false">D1151/1000</f>
        <v>219.333</v>
      </c>
      <c r="F1151" s="10" t="b">
        <f aca="false">TRUE()</f>
        <v>1</v>
      </c>
      <c r="G1151" s="0" t="n">
        <v>14</v>
      </c>
      <c r="H1151" s="0" t="n">
        <f aca="false">_xlfn.xlookup(G1151, years!A$2:A$836, years!B$2:B$836)</f>
        <v>2011</v>
      </c>
      <c r="I1151" s="2" t="n">
        <v>82</v>
      </c>
      <c r="J1151" s="0" t="n">
        <v>0.789</v>
      </c>
      <c r="K1151" s="0" t="n">
        <v>0.858</v>
      </c>
      <c r="L1151" s="3" t="str">
        <f aca="false">IF(K1151&gt;0.66,"High",IF(K1151&gt;0.33&amp;K1151&lt;=0.66,"Medium","Low"))</f>
        <v>High</v>
      </c>
      <c r="M1151" s="0" t="n">
        <v>-5.542</v>
      </c>
      <c r="N1151" s="3" t="n">
        <v>0.311</v>
      </c>
      <c r="O1151" s="3" t="n">
        <v>0.127</v>
      </c>
      <c r="P1151" s="4" t="n">
        <v>0</v>
      </c>
      <c r="Q1151" s="3" t="n">
        <v>0.349</v>
      </c>
      <c r="R1151" s="3" t="n">
        <v>0.775</v>
      </c>
      <c r="S1151" s="3" t="str">
        <f aca="false">IF(R1151 &gt;= 0.5, "Positive", "Negative")</f>
        <v>Positive</v>
      </c>
      <c r="T1151" s="2" t="n">
        <v>140.022</v>
      </c>
      <c r="U1151" s="0" t="s">
        <v>29</v>
      </c>
    </row>
    <row r="1152" customFormat="false" ht="14.25" hidden="false" customHeight="false" outlineLevel="0" collapsed="false">
      <c r="A1152" s="0" t="n">
        <v>657</v>
      </c>
      <c r="B1152" s="0" t="str">
        <f aca="false">_xlfn.xlookup(A1152, artists!A$2:A$836, artists!B$2:B$836)</f>
        <v>Zara Larsson</v>
      </c>
      <c r="C1152" s="1" t="s">
        <v>504</v>
      </c>
      <c r="D1152" s="2" t="n">
        <v>213427</v>
      </c>
      <c r="E1152" s="2" t="n">
        <f aca="false">D1152/1000</f>
        <v>213.427</v>
      </c>
      <c r="F1152" s="10" t="b">
        <f aca="false">FALSE()</f>
        <v>0</v>
      </c>
      <c r="G1152" s="0" t="n">
        <v>20</v>
      </c>
      <c r="H1152" s="0" t="n">
        <f aca="false">_xlfn.xlookup(G1152, years!A$2:A$836, years!B$2:B$836)</f>
        <v>2017</v>
      </c>
      <c r="I1152" s="2" t="n">
        <v>73</v>
      </c>
      <c r="J1152" s="0" t="n">
        <v>0.583</v>
      </c>
      <c r="K1152" s="0" t="n">
        <v>0.732</v>
      </c>
      <c r="L1152" s="3" t="str">
        <f aca="false">IF(K1152&gt;0.66,"High",IF(K1152&gt;0.33&amp;K1152&lt;=0.66,"Medium","Low"))</f>
        <v>High</v>
      </c>
      <c r="M1152" s="0" t="n">
        <v>-5.728</v>
      </c>
      <c r="N1152" s="3" t="n">
        <v>0.0457</v>
      </c>
      <c r="O1152" s="3" t="n">
        <v>0.00312</v>
      </c>
      <c r="P1152" s="4" t="n">
        <v>9.86E-006</v>
      </c>
      <c r="Q1152" s="3" t="n">
        <v>0.269</v>
      </c>
      <c r="R1152" s="3" t="n">
        <v>0.276</v>
      </c>
      <c r="S1152" s="3" t="str">
        <f aca="false">IF(R1152 &gt;= 0.5, "Positive", "Negative")</f>
        <v>Negative</v>
      </c>
      <c r="T1152" s="2" t="n">
        <v>145.992</v>
      </c>
      <c r="U1152" s="0" t="s">
        <v>22</v>
      </c>
    </row>
    <row r="1153" customFormat="false" ht="14.25" hidden="false" customHeight="false" outlineLevel="0" collapsed="false">
      <c r="A1153" s="0" t="n">
        <v>560</v>
      </c>
      <c r="B1153" s="0" t="str">
        <f aca="false">_xlfn.xlookup(A1153, artists!A$2:A$836, artists!B$2:B$836)</f>
        <v>One Direction</v>
      </c>
      <c r="C1153" s="1" t="s">
        <v>1187</v>
      </c>
      <c r="D1153" s="2" t="n">
        <v>226600</v>
      </c>
      <c r="E1153" s="2" t="n">
        <f aca="false">D1153/1000</f>
        <v>226.6</v>
      </c>
      <c r="F1153" s="10" t="b">
        <f aca="false">FALSE()</f>
        <v>0</v>
      </c>
      <c r="G1153" s="0" t="n">
        <v>17</v>
      </c>
      <c r="H1153" s="0" t="n">
        <f aca="false">_xlfn.xlookup(G1153, years!A$2:A$836, years!B$2:B$836)</f>
        <v>2014</v>
      </c>
      <c r="I1153" s="2" t="n">
        <v>83</v>
      </c>
      <c r="J1153" s="0" t="n">
        <v>0.672</v>
      </c>
      <c r="K1153" s="0" t="n">
        <v>0.52</v>
      </c>
      <c r="L1153" s="3" t="str">
        <f aca="false">IF(K1153&gt;0.66,"High",IF(K1153&gt;0.33&amp;K1153&lt;=0.66,"Medium","Low"))</f>
        <v>Low</v>
      </c>
      <c r="M1153" s="0" t="n">
        <v>-7.747</v>
      </c>
      <c r="N1153" s="3" t="n">
        <v>0.0353</v>
      </c>
      <c r="O1153" s="3" t="n">
        <v>0.859</v>
      </c>
      <c r="P1153" s="4" t="n">
        <v>0</v>
      </c>
      <c r="Q1153" s="3" t="n">
        <v>0.115</v>
      </c>
      <c r="R1153" s="3" t="n">
        <v>0.37</v>
      </c>
      <c r="S1153" s="3" t="str">
        <f aca="false">IF(R1153 &gt;= 0.5, "Positive", "Negative")</f>
        <v>Negative</v>
      </c>
      <c r="T1153" s="2" t="n">
        <v>120.001</v>
      </c>
      <c r="U1153" s="0" t="s">
        <v>39</v>
      </c>
    </row>
    <row r="1154" customFormat="false" ht="14.25" hidden="false" customHeight="false" outlineLevel="0" collapsed="false">
      <c r="A1154" s="0" t="n">
        <v>830</v>
      </c>
      <c r="B1154" s="0" t="str">
        <f aca="false">_xlfn.xlookup(A1154, artists!A$2:A$836, artists!B$2:B$836)</f>
        <v>Kehlani</v>
      </c>
      <c r="C1154" s="1" t="s">
        <v>1188</v>
      </c>
      <c r="D1154" s="2" t="n">
        <v>201787</v>
      </c>
      <c r="E1154" s="2" t="n">
        <f aca="false">D1154/1000</f>
        <v>201.787</v>
      </c>
      <c r="F1154" s="10" t="b">
        <f aca="false">TRUE()</f>
        <v>1</v>
      </c>
      <c r="G1154" s="0" t="n">
        <v>22</v>
      </c>
      <c r="H1154" s="0" t="n">
        <f aca="false">_xlfn.xlookup(G1154, years!A$2:A$836, years!B$2:B$836)</f>
        <v>2019</v>
      </c>
      <c r="I1154" s="2" t="n">
        <v>74</v>
      </c>
      <c r="J1154" s="0" t="n">
        <v>0.61</v>
      </c>
      <c r="K1154" s="0" t="n">
        <v>0.725</v>
      </c>
      <c r="L1154" s="3" t="str">
        <f aca="false">IF(K1154&gt;0.66,"High",IF(K1154&gt;0.33&amp;K1154&lt;=0.66,"Medium","Low"))</f>
        <v>High</v>
      </c>
      <c r="M1154" s="0" t="n">
        <v>-5.131</v>
      </c>
      <c r="N1154" s="3" t="n">
        <v>0.15</v>
      </c>
      <c r="O1154" s="3" t="n">
        <v>0.367</v>
      </c>
      <c r="P1154" s="4" t="n">
        <v>0</v>
      </c>
      <c r="Q1154" s="3" t="n">
        <v>0.154</v>
      </c>
      <c r="R1154" s="3" t="n">
        <v>0.291</v>
      </c>
      <c r="S1154" s="3" t="str">
        <f aca="false">IF(R1154 &gt;= 0.5, "Positive", "Negative")</f>
        <v>Negative</v>
      </c>
      <c r="T1154" s="2" t="n">
        <v>146.163</v>
      </c>
      <c r="U1154" s="0" t="s">
        <v>31</v>
      </c>
    </row>
    <row r="1155" customFormat="false" ht="14.25" hidden="false" customHeight="false" outlineLevel="0" collapsed="false">
      <c r="A1155" s="0" t="n">
        <v>275</v>
      </c>
      <c r="B1155" s="0" t="str">
        <f aca="false">_xlfn.xlookup(A1155, artists!A$2:A$836, artists!B$2:B$836)</f>
        <v>Katie Melua</v>
      </c>
      <c r="C1155" s="1" t="s">
        <v>1189</v>
      </c>
      <c r="D1155" s="2" t="n">
        <v>197160</v>
      </c>
      <c r="E1155" s="2" t="n">
        <f aca="false">D1155/1000</f>
        <v>197.16</v>
      </c>
      <c r="F1155" s="10" t="b">
        <f aca="false">FALSE()</f>
        <v>0</v>
      </c>
      <c r="G1155" s="0" t="n">
        <v>8</v>
      </c>
      <c r="H1155" s="0" t="n">
        <f aca="false">_xlfn.xlookup(G1155, years!A$2:A$836, years!B$2:B$836)</f>
        <v>2005</v>
      </c>
      <c r="I1155" s="2" t="n">
        <v>60</v>
      </c>
      <c r="J1155" s="0" t="n">
        <v>0.534</v>
      </c>
      <c r="K1155" s="0" t="n">
        <v>0.247</v>
      </c>
      <c r="L1155" s="3" t="str">
        <f aca="false">IF(K1155&gt;0.66,"High",IF(K1155&gt;0.33&amp;K1155&lt;=0.66,"Medium","Low"))</f>
        <v>Low</v>
      </c>
      <c r="M1155" s="0" t="n">
        <v>-15.636</v>
      </c>
      <c r="N1155" s="3" t="n">
        <v>0.0322</v>
      </c>
      <c r="O1155" s="3" t="n">
        <v>0.516</v>
      </c>
      <c r="P1155" s="4" t="n">
        <v>0.00859</v>
      </c>
      <c r="Q1155" s="3" t="n">
        <v>0.122</v>
      </c>
      <c r="R1155" s="3" t="n">
        <v>0.344</v>
      </c>
      <c r="S1155" s="3" t="str">
        <f aca="false">IF(R1155 &gt;= 0.5, "Positive", "Negative")</f>
        <v>Negative</v>
      </c>
      <c r="T1155" s="2" t="n">
        <v>82.168</v>
      </c>
      <c r="U1155" s="0" t="s">
        <v>1190</v>
      </c>
    </row>
    <row r="1156" customFormat="false" ht="14.25" hidden="false" customHeight="false" outlineLevel="0" collapsed="false">
      <c r="A1156" s="0" t="n">
        <v>741</v>
      </c>
      <c r="B1156" s="0" t="str">
        <f aca="false">_xlfn.xlookup(A1156, artists!A$2:A$836, artists!B$2:B$836)</f>
        <v>Migos</v>
      </c>
      <c r="C1156" s="1" t="s">
        <v>1191</v>
      </c>
      <c r="D1156" s="2" t="n">
        <v>343150</v>
      </c>
      <c r="E1156" s="2" t="n">
        <f aca="false">D1156/1000</f>
        <v>343.15</v>
      </c>
      <c r="F1156" s="10" t="b">
        <f aca="false">TRUE()</f>
        <v>1</v>
      </c>
      <c r="G1156" s="0" t="n">
        <v>20</v>
      </c>
      <c r="H1156" s="0" t="n">
        <f aca="false">_xlfn.xlookup(G1156, years!A$2:A$836, years!B$2:B$836)</f>
        <v>2017</v>
      </c>
      <c r="I1156" s="2" t="n">
        <v>72</v>
      </c>
      <c r="J1156" s="0" t="n">
        <v>0.926</v>
      </c>
      <c r="K1156" s="0" t="n">
        <v>0.666</v>
      </c>
      <c r="L1156" s="3" t="str">
        <f aca="false">IF(K1156&gt;0.66,"High",IF(K1156&gt;0.33&amp;K1156&lt;=0.66,"Medium","Low"))</f>
        <v>High</v>
      </c>
      <c r="M1156" s="0" t="n">
        <v>-5.314</v>
      </c>
      <c r="N1156" s="3" t="n">
        <v>0.244</v>
      </c>
      <c r="O1156" s="3" t="n">
        <v>0.0611</v>
      </c>
      <c r="P1156" s="4" t="n">
        <v>0</v>
      </c>
      <c r="Q1156" s="3" t="n">
        <v>0.123</v>
      </c>
      <c r="R1156" s="3" t="n">
        <v>0.168</v>
      </c>
      <c r="S1156" s="3" t="str">
        <f aca="false">IF(R1156 &gt;= 0.5, "Positive", "Negative")</f>
        <v>Negative</v>
      </c>
      <c r="T1156" s="2" t="n">
        <v>127.079</v>
      </c>
      <c r="U1156" s="0" t="s">
        <v>24</v>
      </c>
    </row>
    <row r="1157" customFormat="false" ht="14.25" hidden="false" customHeight="false" outlineLevel="0" collapsed="false">
      <c r="A1157" s="0" t="n">
        <v>7</v>
      </c>
      <c r="B1157" s="0" t="str">
        <f aca="false">_xlfn.xlookup(A1157, artists!A$2:A$836, artists!B$2:B$836)</f>
        <v>Eminem</v>
      </c>
      <c r="C1157" s="1" t="s">
        <v>1192</v>
      </c>
      <c r="D1157" s="2" t="n">
        <v>221013</v>
      </c>
      <c r="E1157" s="2" t="n">
        <f aca="false">D1157/1000</f>
        <v>221.013</v>
      </c>
      <c r="F1157" s="10" t="b">
        <f aca="false">TRUE()</f>
        <v>1</v>
      </c>
      <c r="G1157" s="0" t="n">
        <v>20</v>
      </c>
      <c r="H1157" s="0" t="n">
        <f aca="false">_xlfn.xlookup(G1157, years!A$2:A$836, years!B$2:B$836)</f>
        <v>2017</v>
      </c>
      <c r="I1157" s="2" t="n">
        <v>72</v>
      </c>
      <c r="J1157" s="0" t="n">
        <v>0.748</v>
      </c>
      <c r="K1157" s="0" t="n">
        <v>0.749</v>
      </c>
      <c r="L1157" s="3" t="str">
        <f aca="false">IF(K1157&gt;0.66,"High",IF(K1157&gt;0.33&amp;K1157&lt;=0.66,"Medium","Low"))</f>
        <v>High</v>
      </c>
      <c r="M1157" s="0" t="n">
        <v>-5.916</v>
      </c>
      <c r="N1157" s="3" t="n">
        <v>0.516</v>
      </c>
      <c r="O1157" s="3" t="n">
        <v>0.142</v>
      </c>
      <c r="P1157" s="4" t="n">
        <v>0</v>
      </c>
      <c r="Q1157" s="3" t="n">
        <v>0.0713</v>
      </c>
      <c r="R1157" s="3" t="n">
        <v>0.659</v>
      </c>
      <c r="S1157" s="3" t="str">
        <f aca="false">IF(R1157 &gt;= 0.5, "Positive", "Negative")</f>
        <v>Positive</v>
      </c>
      <c r="T1157" s="2" t="n">
        <v>90.09</v>
      </c>
      <c r="U1157" s="0" t="s">
        <v>29</v>
      </c>
    </row>
    <row r="1158" customFormat="false" ht="14.25" hidden="false" customHeight="false" outlineLevel="0" collapsed="false">
      <c r="A1158" s="0" t="n">
        <v>482</v>
      </c>
      <c r="B1158" s="0" t="str">
        <f aca="false">_xlfn.xlookup(A1158, artists!A$2:A$836, artists!B$2:B$836)</f>
        <v>Waka Flocka Flame</v>
      </c>
      <c r="C1158" s="1" t="s">
        <v>1193</v>
      </c>
      <c r="D1158" s="2" t="n">
        <v>263773</v>
      </c>
      <c r="E1158" s="2" t="n">
        <f aca="false">D1158/1000</f>
        <v>263.773</v>
      </c>
      <c r="F1158" s="10" t="b">
        <f aca="false">TRUE()</f>
        <v>1</v>
      </c>
      <c r="G1158" s="0" t="n">
        <v>13</v>
      </c>
      <c r="H1158" s="0" t="n">
        <f aca="false">_xlfn.xlookup(G1158, years!A$2:A$836, years!B$2:B$836)</f>
        <v>2010</v>
      </c>
      <c r="I1158" s="2" t="n">
        <v>58</v>
      </c>
      <c r="J1158" s="0" t="n">
        <v>0.76</v>
      </c>
      <c r="K1158" s="0" t="n">
        <v>0.595</v>
      </c>
      <c r="L1158" s="3" t="str">
        <f aca="false">IF(K1158&gt;0.66,"High",IF(K1158&gt;0.33&amp;K1158&lt;=0.66,"Medium","Low"))</f>
        <v>Low</v>
      </c>
      <c r="M1158" s="0" t="n">
        <v>-6.366</v>
      </c>
      <c r="N1158" s="3" t="n">
        <v>0.0391</v>
      </c>
      <c r="O1158" s="3" t="n">
        <v>0.00544</v>
      </c>
      <c r="P1158" s="4" t="n">
        <v>0</v>
      </c>
      <c r="Q1158" s="3" t="n">
        <v>0.241</v>
      </c>
      <c r="R1158" s="3" t="n">
        <v>0.361</v>
      </c>
      <c r="S1158" s="3" t="str">
        <f aca="false">IF(R1158 &gt;= 0.5, "Positive", "Negative")</f>
        <v>Negative</v>
      </c>
      <c r="T1158" s="2" t="n">
        <v>131.497</v>
      </c>
      <c r="U1158" s="0" t="s">
        <v>24</v>
      </c>
    </row>
    <row r="1159" customFormat="false" ht="14.25" hidden="false" customHeight="false" outlineLevel="0" collapsed="false">
      <c r="A1159" s="0" t="n">
        <v>482</v>
      </c>
      <c r="B1159" s="0" t="str">
        <f aca="false">_xlfn.xlookup(A1159, artists!A$2:A$836, artists!B$2:B$836)</f>
        <v>Waka Flocka Flame</v>
      </c>
      <c r="C1159" s="1" t="s">
        <v>1193</v>
      </c>
      <c r="D1159" s="2" t="n">
        <v>263773</v>
      </c>
      <c r="E1159" s="2" t="n">
        <f aca="false">D1159/1000</f>
        <v>263.773</v>
      </c>
      <c r="F1159" s="10" t="b">
        <f aca="false">TRUE()</f>
        <v>1</v>
      </c>
      <c r="G1159" s="0" t="n">
        <v>13</v>
      </c>
      <c r="H1159" s="0" t="n">
        <f aca="false">_xlfn.xlookup(G1159, years!A$2:A$836, years!B$2:B$836)</f>
        <v>2010</v>
      </c>
      <c r="I1159" s="2" t="n">
        <v>76</v>
      </c>
      <c r="J1159" s="0" t="n">
        <v>0.76</v>
      </c>
      <c r="K1159" s="0" t="n">
        <v>0.595</v>
      </c>
      <c r="L1159" s="3" t="str">
        <f aca="false">IF(K1159&gt;0.66,"High",IF(K1159&gt;0.33&amp;K1159&lt;=0.66,"Medium","Low"))</f>
        <v>Low</v>
      </c>
      <c r="M1159" s="0" t="n">
        <v>-6.366</v>
      </c>
      <c r="N1159" s="3" t="n">
        <v>0.0391</v>
      </c>
      <c r="O1159" s="3" t="n">
        <v>0.00544</v>
      </c>
      <c r="P1159" s="4" t="n">
        <v>0</v>
      </c>
      <c r="Q1159" s="3" t="n">
        <v>0.241</v>
      </c>
      <c r="R1159" s="3" t="n">
        <v>0.361</v>
      </c>
      <c r="S1159" s="3" t="str">
        <f aca="false">IF(R1159 &gt;= 0.5, "Positive", "Negative")</f>
        <v>Negative</v>
      </c>
      <c r="T1159" s="2" t="n">
        <v>131.497</v>
      </c>
      <c r="U1159" s="0" t="s">
        <v>24</v>
      </c>
    </row>
    <row r="1160" customFormat="false" ht="14.25" hidden="false" customHeight="false" outlineLevel="0" collapsed="false">
      <c r="A1160" s="0" t="n">
        <v>233</v>
      </c>
      <c r="B1160" s="0" t="str">
        <f aca="false">_xlfn.xlookup(A1160, artists!A$2:A$836, artists!B$2:B$836)</f>
        <v>Wayne Wonder</v>
      </c>
      <c r="C1160" s="1" t="s">
        <v>1194</v>
      </c>
      <c r="D1160" s="2" t="n">
        <v>202013</v>
      </c>
      <c r="E1160" s="2" t="n">
        <f aca="false">D1160/1000</f>
        <v>202.013</v>
      </c>
      <c r="F1160" s="10" t="b">
        <f aca="false">FALSE()</f>
        <v>0</v>
      </c>
      <c r="G1160" s="0" t="n">
        <v>6</v>
      </c>
      <c r="H1160" s="0" t="n">
        <f aca="false">_xlfn.xlookup(G1160, years!A$2:A$836, years!B$2:B$836)</f>
        <v>2003</v>
      </c>
      <c r="I1160" s="2" t="n">
        <v>63</v>
      </c>
      <c r="J1160" s="0" t="n">
        <v>0.496</v>
      </c>
      <c r="K1160" s="0" t="n">
        <v>0.819</v>
      </c>
      <c r="L1160" s="3" t="str">
        <f aca="false">IF(K1160&gt;0.66,"High",IF(K1160&gt;0.33&amp;K1160&lt;=0.66,"Medium","Low"))</f>
        <v>High</v>
      </c>
      <c r="M1160" s="0" t="n">
        <v>-5.656</v>
      </c>
      <c r="N1160" s="3" t="n">
        <v>0.0444</v>
      </c>
      <c r="O1160" s="3" t="n">
        <v>0.0479</v>
      </c>
      <c r="P1160" s="4" t="n">
        <v>0.000215</v>
      </c>
      <c r="Q1160" s="3" t="n">
        <v>0.177</v>
      </c>
      <c r="R1160" s="3" t="n">
        <v>0.317</v>
      </c>
      <c r="S1160" s="3" t="str">
        <f aca="false">IF(R1160 &gt;= 0.5, "Positive", "Negative")</f>
        <v>Negative</v>
      </c>
      <c r="T1160" s="2" t="n">
        <v>100.215</v>
      </c>
      <c r="U1160" s="0" t="s">
        <v>174</v>
      </c>
    </row>
    <row r="1161" customFormat="false" ht="14.25" hidden="false" customHeight="false" outlineLevel="0" collapsed="false">
      <c r="A1161" s="0" t="n">
        <v>785</v>
      </c>
      <c r="B1161" s="0" t="str">
        <f aca="false">_xlfn.xlookup(A1161, artists!A$2:A$836, artists!B$2:B$836)</f>
        <v>Hugh Jackman</v>
      </c>
      <c r="C1161" s="1" t="s">
        <v>1195</v>
      </c>
      <c r="D1161" s="2" t="n">
        <v>302146</v>
      </c>
      <c r="E1161" s="2" t="n">
        <f aca="false">D1161/1000</f>
        <v>302.146</v>
      </c>
      <c r="F1161" s="10" t="b">
        <f aca="false">FALSE()</f>
        <v>0</v>
      </c>
      <c r="G1161" s="0" t="n">
        <v>20</v>
      </c>
      <c r="H1161" s="0" t="n">
        <f aca="false">_xlfn.xlookup(G1161, years!A$2:A$836, years!B$2:B$836)</f>
        <v>2017</v>
      </c>
      <c r="I1161" s="2" t="n">
        <v>72</v>
      </c>
      <c r="J1161" s="0" t="n">
        <v>0.417</v>
      </c>
      <c r="K1161" s="0" t="n">
        <v>0.824</v>
      </c>
      <c r="L1161" s="3" t="str">
        <f aca="false">IF(K1161&gt;0.66,"High",IF(K1161&gt;0.33&amp;K1161&lt;=0.66,"Medium","Low"))</f>
        <v>High</v>
      </c>
      <c r="M1161" s="0" t="n">
        <v>-7.36</v>
      </c>
      <c r="N1161" s="3" t="n">
        <v>0.105</v>
      </c>
      <c r="O1161" s="3" t="n">
        <v>0.000239</v>
      </c>
      <c r="P1161" s="4" t="n">
        <v>0.0545</v>
      </c>
      <c r="Q1161" s="3" t="n">
        <v>0.0725</v>
      </c>
      <c r="R1161" s="3" t="n">
        <v>0.4</v>
      </c>
      <c r="S1161" s="3" t="str">
        <f aca="false">IF(R1161 &gt;= 0.5, "Positive", "Negative")</f>
        <v>Negative</v>
      </c>
      <c r="T1161" s="2" t="n">
        <v>157.92</v>
      </c>
      <c r="U1161" s="0" t="s">
        <v>1196</v>
      </c>
    </row>
    <row r="1162" customFormat="false" ht="14.25" hidden="false" customHeight="false" outlineLevel="0" collapsed="false">
      <c r="A1162" s="0" t="n">
        <v>490</v>
      </c>
      <c r="B1162" s="0" t="str">
        <f aca="false">_xlfn.xlookup(A1162, artists!A$2:A$836, artists!B$2:B$836)</f>
        <v>DJ Khaled</v>
      </c>
      <c r="C1162" s="1" t="s">
        <v>1197</v>
      </c>
      <c r="D1162" s="2" t="n">
        <v>204173</v>
      </c>
      <c r="E1162" s="2" t="n">
        <f aca="false">D1162/1000</f>
        <v>204.173</v>
      </c>
      <c r="F1162" s="10" t="b">
        <f aca="false">TRUE()</f>
        <v>1</v>
      </c>
      <c r="G1162" s="0" t="n">
        <v>20</v>
      </c>
      <c r="H1162" s="0" t="n">
        <f aca="false">_xlfn.xlookup(G1162, years!A$2:A$836, years!B$2:B$836)</f>
        <v>2017</v>
      </c>
      <c r="I1162" s="2" t="n">
        <v>72</v>
      </c>
      <c r="J1162" s="0" t="n">
        <v>0.671</v>
      </c>
      <c r="K1162" s="0" t="n">
        <v>0.672</v>
      </c>
      <c r="L1162" s="3" t="str">
        <f aca="false">IF(K1162&gt;0.66,"High",IF(K1162&gt;0.33&amp;K1162&lt;=0.66,"Medium","Low"))</f>
        <v>High</v>
      </c>
      <c r="M1162" s="0" t="n">
        <v>-3.094</v>
      </c>
      <c r="N1162" s="3" t="n">
        <v>0.0688</v>
      </c>
      <c r="O1162" s="3" t="n">
        <v>0.0329</v>
      </c>
      <c r="P1162" s="4" t="n">
        <v>0</v>
      </c>
      <c r="Q1162" s="3" t="n">
        <v>0.118</v>
      </c>
      <c r="R1162" s="3" t="n">
        <v>0.632</v>
      </c>
      <c r="S1162" s="3" t="str">
        <f aca="false">IF(R1162 &gt;= 0.5, "Positive", "Negative")</f>
        <v>Positive</v>
      </c>
      <c r="T1162" s="2" t="n">
        <v>97.979</v>
      </c>
      <c r="U1162" s="0" t="s">
        <v>24</v>
      </c>
    </row>
    <row r="1163" customFormat="false" ht="14.25" hidden="false" customHeight="false" outlineLevel="0" collapsed="false">
      <c r="A1163" s="0" t="n">
        <v>656</v>
      </c>
      <c r="B1163" s="0" t="str">
        <f aca="false">_xlfn.xlookup(A1163, artists!A$2:A$836, artists!B$2:B$836)</f>
        <v>Galantis</v>
      </c>
      <c r="C1163" s="1" t="s">
        <v>1198</v>
      </c>
      <c r="D1163" s="2" t="n">
        <v>189126</v>
      </c>
      <c r="E1163" s="2" t="n">
        <f aca="false">D1163/1000</f>
        <v>189.126</v>
      </c>
      <c r="F1163" s="10" t="b">
        <f aca="false">FALSE()</f>
        <v>0</v>
      </c>
      <c r="G1163" s="0" t="n">
        <v>19</v>
      </c>
      <c r="H1163" s="0" t="n">
        <f aca="false">_xlfn.xlookup(G1163, years!A$2:A$836, years!B$2:B$836)</f>
        <v>2016</v>
      </c>
      <c r="I1163" s="2" t="n">
        <v>67</v>
      </c>
      <c r="J1163" s="0" t="n">
        <v>0.671</v>
      </c>
      <c r="K1163" s="0" t="n">
        <v>0.916</v>
      </c>
      <c r="L1163" s="3" t="str">
        <f aca="false">IF(K1163&gt;0.66,"High",IF(K1163&gt;0.33&amp;K1163&lt;=0.66,"Medium","Low"))</f>
        <v>High</v>
      </c>
      <c r="M1163" s="0" t="n">
        <v>-4.014</v>
      </c>
      <c r="N1163" s="3" t="n">
        <v>0.0397</v>
      </c>
      <c r="O1163" s="3" t="n">
        <v>0.0282</v>
      </c>
      <c r="P1163" s="4" t="n">
        <v>0.00762</v>
      </c>
      <c r="Q1163" s="3" t="n">
        <v>0.24</v>
      </c>
      <c r="R1163" s="3" t="n">
        <v>0.803</v>
      </c>
      <c r="S1163" s="3" t="str">
        <f aca="false">IF(R1163 &gt;= 0.5, "Positive", "Negative")</f>
        <v>Positive</v>
      </c>
      <c r="T1163" s="2" t="n">
        <v>126.01</v>
      </c>
      <c r="U1163" s="0" t="s">
        <v>22</v>
      </c>
    </row>
    <row r="1164" customFormat="false" ht="14.25" hidden="false" customHeight="false" outlineLevel="0" collapsed="false">
      <c r="A1164" s="0" t="n">
        <v>32</v>
      </c>
      <c r="B1164" s="0" t="str">
        <f aca="false">_xlfn.xlookup(A1164, artists!A$2:A$836, artists!B$2:B$836)</f>
        <v>Ruff Endz</v>
      </c>
      <c r="C1164" s="1" t="s">
        <v>1199</v>
      </c>
      <c r="D1164" s="2" t="n">
        <v>242560</v>
      </c>
      <c r="E1164" s="2" t="n">
        <f aca="false">D1164/1000</f>
        <v>242.56</v>
      </c>
      <c r="F1164" s="10" t="b">
        <f aca="false">FALSE()</f>
        <v>0</v>
      </c>
      <c r="G1164" s="0" t="n">
        <v>3</v>
      </c>
      <c r="H1164" s="0" t="n">
        <f aca="false">_xlfn.xlookup(G1164, years!A$2:A$836, years!B$2:B$836)</f>
        <v>2000</v>
      </c>
      <c r="I1164" s="2" t="n">
        <v>52</v>
      </c>
      <c r="J1164" s="0" t="n">
        <v>0.839</v>
      </c>
      <c r="K1164" s="0" t="n">
        <v>0.641</v>
      </c>
      <c r="L1164" s="3" t="str">
        <f aca="false">IF(K1164&gt;0.66,"High",IF(K1164&gt;0.33&amp;K1164&lt;=0.66,"Medium","Low"))</f>
        <v>Low</v>
      </c>
      <c r="M1164" s="0" t="n">
        <v>-5.669</v>
      </c>
      <c r="N1164" s="3" t="n">
        <v>0.0858</v>
      </c>
      <c r="O1164" s="3" t="n">
        <v>0.0324</v>
      </c>
      <c r="P1164" s="4" t="n">
        <v>4.56E-006</v>
      </c>
      <c r="Q1164" s="3" t="n">
        <v>0.0602</v>
      </c>
      <c r="R1164" s="3" t="n">
        <v>0.927</v>
      </c>
      <c r="S1164" s="3" t="str">
        <f aca="false">IF(R1164 &gt;= 0.5, "Positive", "Negative")</f>
        <v>Positive</v>
      </c>
      <c r="T1164" s="2" t="n">
        <v>97.004</v>
      </c>
      <c r="U1164" s="0" t="s">
        <v>128</v>
      </c>
    </row>
    <row r="1165" customFormat="false" ht="14.25" hidden="false" customHeight="false" outlineLevel="0" collapsed="false">
      <c r="A1165" s="0" t="n">
        <v>143</v>
      </c>
      <c r="B1165" s="0" t="str">
        <f aca="false">_xlfn.xlookup(A1165, artists!A$2:A$836, artists!B$2:B$836)</f>
        <v>3LW</v>
      </c>
      <c r="C1165" s="1" t="s">
        <v>1200</v>
      </c>
      <c r="D1165" s="2" t="n">
        <v>263440</v>
      </c>
      <c r="E1165" s="2" t="n">
        <f aca="false">D1165/1000</f>
        <v>263.44</v>
      </c>
      <c r="F1165" s="10" t="b">
        <f aca="false">FALSE()</f>
        <v>0</v>
      </c>
      <c r="G1165" s="0" t="n">
        <v>3</v>
      </c>
      <c r="H1165" s="0" t="n">
        <f aca="false">_xlfn.xlookup(G1165, years!A$2:A$836, years!B$2:B$836)</f>
        <v>2000</v>
      </c>
      <c r="I1165" s="2" t="n">
        <v>56</v>
      </c>
      <c r="J1165" s="0" t="n">
        <v>0.721</v>
      </c>
      <c r="K1165" s="0" t="n">
        <v>0.723</v>
      </c>
      <c r="L1165" s="3" t="str">
        <f aca="false">IF(K1165&gt;0.66,"High",IF(K1165&gt;0.33&amp;K1165&lt;=0.66,"Medium","Low"))</f>
        <v>High</v>
      </c>
      <c r="M1165" s="0" t="n">
        <v>-7.08</v>
      </c>
      <c r="N1165" s="3" t="n">
        <v>0.0631</v>
      </c>
      <c r="O1165" s="3" t="n">
        <v>0.102</v>
      </c>
      <c r="P1165" s="4" t="n">
        <v>4.4E-006</v>
      </c>
      <c r="Q1165" s="3" t="n">
        <v>0.0651</v>
      </c>
      <c r="R1165" s="3" t="n">
        <v>0.761</v>
      </c>
      <c r="S1165" s="3" t="str">
        <f aca="false">IF(R1165 &gt;= 0.5, "Positive", "Negative")</f>
        <v>Positive</v>
      </c>
      <c r="T1165" s="2" t="n">
        <v>88.933</v>
      </c>
      <c r="U1165" s="0" t="s">
        <v>33</v>
      </c>
    </row>
    <row r="1166" customFormat="false" ht="14.25" hidden="false" customHeight="false" outlineLevel="0" collapsed="false">
      <c r="A1166" s="0" t="n">
        <v>89</v>
      </c>
      <c r="B1166" s="0" t="str">
        <f aca="false">_xlfn.xlookup(A1166, artists!A$2:A$836, artists!B$2:B$836)</f>
        <v>Mary J. Blige</v>
      </c>
      <c r="C1166" s="1" t="s">
        <v>1201</v>
      </c>
      <c r="D1166" s="2" t="n">
        <v>326240</v>
      </c>
      <c r="E1166" s="2" t="n">
        <f aca="false">D1166/1000</f>
        <v>326.24</v>
      </c>
      <c r="F1166" s="10" t="b">
        <f aca="false">FALSE()</f>
        <v>0</v>
      </c>
      <c r="G1166" s="0" t="n">
        <v>4</v>
      </c>
      <c r="H1166" s="0" t="n">
        <f aca="false">_xlfn.xlookup(G1166, years!A$2:A$836, years!B$2:B$836)</f>
        <v>2001</v>
      </c>
      <c r="I1166" s="2" t="n">
        <v>61</v>
      </c>
      <c r="J1166" s="0" t="n">
        <v>0.653</v>
      </c>
      <c r="K1166" s="0" t="n">
        <v>0.837</v>
      </c>
      <c r="L1166" s="3" t="str">
        <f aca="false">IF(K1166&gt;0.66,"High",IF(K1166&gt;0.33&amp;K1166&lt;=0.66,"Medium","Low"))</f>
        <v>High</v>
      </c>
      <c r="M1166" s="0" t="n">
        <v>-6.818</v>
      </c>
      <c r="N1166" s="3" t="n">
        <v>0.124</v>
      </c>
      <c r="O1166" s="3" t="n">
        <v>0.534</v>
      </c>
      <c r="P1166" s="4" t="n">
        <v>7.12E-005</v>
      </c>
      <c r="Q1166" s="3" t="n">
        <v>0.0784</v>
      </c>
      <c r="R1166" s="3" t="n">
        <v>0.64</v>
      </c>
      <c r="S1166" s="3" t="str">
        <f aca="false">IF(R1166 &gt;= 0.5, "Positive", "Negative")</f>
        <v>Positive</v>
      </c>
      <c r="T1166" s="2" t="n">
        <v>97.914</v>
      </c>
      <c r="U1166" s="0" t="s">
        <v>33</v>
      </c>
    </row>
    <row r="1167" customFormat="false" ht="14.25" hidden="false" customHeight="false" outlineLevel="0" collapsed="false">
      <c r="A1167" s="0" t="n">
        <v>179</v>
      </c>
      <c r="B1167" s="0" t="str">
        <f aca="false">_xlfn.xlookup(A1167, artists!A$2:A$836, artists!B$2:B$836)</f>
        <v>Alicia Keys</v>
      </c>
      <c r="C1167" s="1" t="s">
        <v>1202</v>
      </c>
      <c r="D1167" s="2" t="n">
        <v>253813</v>
      </c>
      <c r="E1167" s="2" t="n">
        <f aca="false">D1167/1000</f>
        <v>253.813</v>
      </c>
      <c r="F1167" s="10" t="b">
        <f aca="false">FALSE()</f>
        <v>0</v>
      </c>
      <c r="G1167" s="0" t="n">
        <v>10</v>
      </c>
      <c r="H1167" s="0" t="n">
        <f aca="false">_xlfn.xlookup(G1167, years!A$2:A$836, years!B$2:B$836)</f>
        <v>2007</v>
      </c>
      <c r="I1167" s="2" t="n">
        <v>77</v>
      </c>
      <c r="J1167" s="0" t="n">
        <v>0.644</v>
      </c>
      <c r="K1167" s="0" t="n">
        <v>0.549</v>
      </c>
      <c r="L1167" s="3" t="str">
        <f aca="false">IF(K1167&gt;0.66,"High",IF(K1167&gt;0.33&amp;K1167&lt;=0.66,"Medium","Low"))</f>
        <v>Low</v>
      </c>
      <c r="M1167" s="0" t="n">
        <v>-5.415</v>
      </c>
      <c r="N1167" s="3" t="n">
        <v>0.0285</v>
      </c>
      <c r="O1167" s="3" t="n">
        <v>0.0209</v>
      </c>
      <c r="P1167" s="4" t="n">
        <v>8.85E-006</v>
      </c>
      <c r="Q1167" s="3" t="n">
        <v>0.134</v>
      </c>
      <c r="R1167" s="3" t="n">
        <v>0.167</v>
      </c>
      <c r="S1167" s="3" t="str">
        <f aca="false">IF(R1167 &gt;= 0.5, "Positive", "Negative")</f>
        <v>Negative</v>
      </c>
      <c r="T1167" s="2" t="n">
        <v>90.04</v>
      </c>
      <c r="U1167" s="0" t="s">
        <v>33</v>
      </c>
    </row>
    <row r="1168" customFormat="false" ht="14.25" hidden="false" customHeight="false" outlineLevel="0" collapsed="false">
      <c r="A1168" s="0" t="n">
        <v>309</v>
      </c>
      <c r="B1168" s="0" t="str">
        <f aca="false">_xlfn.xlookup(A1168, artists!A$2:A$836, artists!B$2:B$836)</f>
        <v>Shayne Ward</v>
      </c>
      <c r="C1168" s="1" t="s">
        <v>1203</v>
      </c>
      <c r="D1168" s="2" t="n">
        <v>223066</v>
      </c>
      <c r="E1168" s="2" t="n">
        <f aca="false">D1168/1000</f>
        <v>223.066</v>
      </c>
      <c r="F1168" s="10" t="b">
        <f aca="false">FALSE()</f>
        <v>0</v>
      </c>
      <c r="G1168" s="0" t="n">
        <v>9</v>
      </c>
      <c r="H1168" s="0" t="n">
        <f aca="false">_xlfn.xlookup(G1168, years!A$2:A$836, years!B$2:B$836)</f>
        <v>2006</v>
      </c>
      <c r="I1168" s="2" t="n">
        <v>1</v>
      </c>
      <c r="J1168" s="0" t="n">
        <v>0.5</v>
      </c>
      <c r="K1168" s="0" t="n">
        <v>0.498</v>
      </c>
      <c r="L1168" s="3" t="str">
        <f aca="false">IF(K1168&gt;0.66,"High",IF(K1168&gt;0.33&amp;K1168&lt;=0.66,"Medium","Low"))</f>
        <v>Low</v>
      </c>
      <c r="M1168" s="0" t="n">
        <v>-6.087</v>
      </c>
      <c r="N1168" s="3" t="n">
        <v>0.026</v>
      </c>
      <c r="O1168" s="3" t="n">
        <v>0.527</v>
      </c>
      <c r="P1168" s="4" t="n">
        <v>0</v>
      </c>
      <c r="Q1168" s="3" t="n">
        <v>0.123</v>
      </c>
      <c r="R1168" s="3" t="n">
        <v>0.182</v>
      </c>
      <c r="S1168" s="3" t="str">
        <f aca="false">IF(R1168 &gt;= 0.5, "Positive", "Negative")</f>
        <v>Negative</v>
      </c>
      <c r="T1168" s="2" t="n">
        <v>79.798</v>
      </c>
      <c r="U1168" s="0" t="s">
        <v>39</v>
      </c>
    </row>
    <row r="1169" customFormat="false" ht="14.25" hidden="false" customHeight="false" outlineLevel="0" collapsed="false">
      <c r="A1169" s="0" t="n">
        <v>761</v>
      </c>
      <c r="B1169" s="0" t="str">
        <f aca="false">_xlfn.xlookup(A1169, artists!A$2:A$836, artists!B$2:B$836)</f>
        <v>Machine Gun Kelly</v>
      </c>
      <c r="C1169" s="1" t="s">
        <v>1204</v>
      </c>
      <c r="D1169" s="2" t="n">
        <v>202804</v>
      </c>
      <c r="E1169" s="2" t="n">
        <f aca="false">D1169/1000</f>
        <v>202.804</v>
      </c>
      <c r="F1169" s="10" t="b">
        <f aca="false">FALSE()</f>
        <v>0</v>
      </c>
      <c r="G1169" s="0" t="n">
        <v>20</v>
      </c>
      <c r="H1169" s="0" t="n">
        <f aca="false">_xlfn.xlookup(G1169, years!A$2:A$836, years!B$2:B$836)</f>
        <v>2017</v>
      </c>
      <c r="I1169" s="2" t="n">
        <v>71</v>
      </c>
      <c r="J1169" s="0" t="n">
        <v>0.653</v>
      </c>
      <c r="K1169" s="0" t="n">
        <v>0.718</v>
      </c>
      <c r="L1169" s="3" t="str">
        <f aca="false">IF(K1169&gt;0.66,"High",IF(K1169&gt;0.33&amp;K1169&lt;=0.66,"Medium","Low"))</f>
        <v>High</v>
      </c>
      <c r="M1169" s="0" t="n">
        <v>-5.232</v>
      </c>
      <c r="N1169" s="3" t="n">
        <v>0.213</v>
      </c>
      <c r="O1169" s="3" t="n">
        <v>0.00413</v>
      </c>
      <c r="P1169" s="4" t="n">
        <v>0</v>
      </c>
      <c r="Q1169" s="3" t="n">
        <v>0.0537</v>
      </c>
      <c r="R1169" s="3" t="n">
        <v>0.216</v>
      </c>
      <c r="S1169" s="3" t="str">
        <f aca="false">IF(R1169 &gt;= 0.5, "Positive", "Negative")</f>
        <v>Negative</v>
      </c>
      <c r="T1169" s="2" t="n">
        <v>82.034</v>
      </c>
      <c r="U1169" s="0" t="s">
        <v>24</v>
      </c>
    </row>
    <row r="1170" customFormat="false" ht="14.25" hidden="false" customHeight="false" outlineLevel="0" collapsed="false">
      <c r="A1170" s="0" t="n">
        <v>38</v>
      </c>
      <c r="B1170" s="0" t="str">
        <f aca="false">_xlfn.xlookup(A1170, artists!A$2:A$836, artists!B$2:B$836)</f>
        <v>Enrique Iglesias</v>
      </c>
      <c r="C1170" s="1" t="s">
        <v>1205</v>
      </c>
      <c r="D1170" s="2" t="n">
        <v>207680</v>
      </c>
      <c r="E1170" s="2" t="n">
        <f aca="false">D1170/1000</f>
        <v>207.68</v>
      </c>
      <c r="F1170" s="10" t="b">
        <f aca="false">FALSE()</f>
        <v>0</v>
      </c>
      <c r="G1170" s="0" t="n">
        <v>20</v>
      </c>
      <c r="H1170" s="0" t="n">
        <f aca="false">_xlfn.xlookup(G1170, years!A$2:A$836, years!B$2:B$836)</f>
        <v>2017</v>
      </c>
      <c r="I1170" s="2" t="n">
        <v>70</v>
      </c>
      <c r="J1170" s="0" t="n">
        <v>0.688</v>
      </c>
      <c r="K1170" s="0" t="n">
        <v>0.822</v>
      </c>
      <c r="L1170" s="3" t="str">
        <f aca="false">IF(K1170&gt;0.66,"High",IF(K1170&gt;0.33&amp;K1170&lt;=0.66,"Medium","Low"))</f>
        <v>High</v>
      </c>
      <c r="M1170" s="0" t="n">
        <v>-3.304</v>
      </c>
      <c r="N1170" s="3" t="n">
        <v>0.0537</v>
      </c>
      <c r="O1170" s="3" t="n">
        <v>0.0642</v>
      </c>
      <c r="P1170" s="4" t="n">
        <v>0</v>
      </c>
      <c r="Q1170" s="3" t="n">
        <v>0.241</v>
      </c>
      <c r="R1170" s="3" t="n">
        <v>0.66</v>
      </c>
      <c r="S1170" s="3" t="str">
        <f aca="false">IF(R1170 &gt;= 0.5, "Positive", "Negative")</f>
        <v>Positive</v>
      </c>
      <c r="T1170" s="2" t="n">
        <v>91.011</v>
      </c>
      <c r="U1170" s="0" t="s">
        <v>75</v>
      </c>
    </row>
    <row r="1171" customFormat="false" ht="14.25" hidden="false" customHeight="false" outlineLevel="0" collapsed="false">
      <c r="A1171" s="0" t="n">
        <v>350</v>
      </c>
      <c r="B1171" s="0" t="str">
        <f aca="false">_xlfn.xlookup(A1171, artists!A$2:A$836, artists!B$2:B$836)</f>
        <v>Orson</v>
      </c>
      <c r="C1171" s="1" t="s">
        <v>1206</v>
      </c>
      <c r="D1171" s="2" t="n">
        <v>167493</v>
      </c>
      <c r="E1171" s="2" t="n">
        <f aca="false">D1171/1000</f>
        <v>167.493</v>
      </c>
      <c r="F1171" s="10" t="b">
        <f aca="false">FALSE()</f>
        <v>0</v>
      </c>
      <c r="G1171" s="0" t="n">
        <v>9</v>
      </c>
      <c r="H1171" s="0" t="n">
        <f aca="false">_xlfn.xlookup(G1171, years!A$2:A$836, years!B$2:B$836)</f>
        <v>2006</v>
      </c>
      <c r="I1171" s="2" t="n">
        <v>46</v>
      </c>
      <c r="J1171" s="0" t="n">
        <v>0.656</v>
      </c>
      <c r="K1171" s="0" t="n">
        <v>0.624</v>
      </c>
      <c r="L1171" s="3" t="str">
        <f aca="false">IF(K1171&gt;0.66,"High",IF(K1171&gt;0.33&amp;K1171&lt;=0.66,"Medium","Low"))</f>
        <v>Low</v>
      </c>
      <c r="M1171" s="0" t="n">
        <v>-4.623</v>
      </c>
      <c r="N1171" s="3" t="n">
        <v>0.0691</v>
      </c>
      <c r="O1171" s="3" t="n">
        <v>0.0065</v>
      </c>
      <c r="P1171" s="4" t="n">
        <v>0</v>
      </c>
      <c r="Q1171" s="3" t="n">
        <v>0.278</v>
      </c>
      <c r="R1171" s="3" t="n">
        <v>0.735</v>
      </c>
      <c r="S1171" s="3" t="str">
        <f aca="false">IF(R1171 &gt;= 0.5, "Positive", "Negative")</f>
        <v>Positive</v>
      </c>
      <c r="T1171" s="2" t="n">
        <v>124.082</v>
      </c>
      <c r="U1171" s="0" t="s">
        <v>39</v>
      </c>
    </row>
    <row r="1172" customFormat="false" ht="14.25" hidden="false" customHeight="false" outlineLevel="0" collapsed="false">
      <c r="A1172" s="0" t="n">
        <v>646</v>
      </c>
      <c r="B1172" s="0" t="str">
        <f aca="false">_xlfn.xlookup(A1172, artists!A$2:A$836, artists!B$2:B$836)</f>
        <v>Rae Sremmurd</v>
      </c>
      <c r="C1172" s="1" t="s">
        <v>1207</v>
      </c>
      <c r="D1172" s="2" t="n">
        <v>200080</v>
      </c>
      <c r="E1172" s="2" t="n">
        <f aca="false">D1172/1000</f>
        <v>200.08</v>
      </c>
      <c r="F1172" s="10" t="b">
        <f aca="false">TRUE()</f>
        <v>1</v>
      </c>
      <c r="G1172" s="0" t="n">
        <v>18</v>
      </c>
      <c r="H1172" s="0" t="n">
        <f aca="false">_xlfn.xlookup(G1172, years!A$2:A$836, years!B$2:B$836)</f>
        <v>2015</v>
      </c>
      <c r="I1172" s="2" t="n">
        <v>71</v>
      </c>
      <c r="J1172" s="0" t="n">
        <v>0.891</v>
      </c>
      <c r="K1172" s="0" t="n">
        <v>0.486</v>
      </c>
      <c r="L1172" s="3" t="str">
        <f aca="false">IF(K1172&gt;0.66,"High",IF(K1172&gt;0.33&amp;K1172&lt;=0.66,"Medium","Low"))</f>
        <v>Low</v>
      </c>
      <c r="M1172" s="0" t="n">
        <v>-7.803</v>
      </c>
      <c r="N1172" s="3" t="n">
        <v>0.159</v>
      </c>
      <c r="O1172" s="3" t="n">
        <v>0.0158</v>
      </c>
      <c r="P1172" s="4" t="n">
        <v>3.78E-006</v>
      </c>
      <c r="Q1172" s="3" t="n">
        <v>0.0925</v>
      </c>
      <c r="R1172" s="3" t="n">
        <v>0.239</v>
      </c>
      <c r="S1172" s="3" t="str">
        <f aca="false">IF(R1172 &gt;= 0.5, "Positive", "Negative")</f>
        <v>Negative</v>
      </c>
      <c r="T1172" s="2" t="n">
        <v>125.01</v>
      </c>
      <c r="U1172" s="0" t="s">
        <v>24</v>
      </c>
    </row>
    <row r="1173" customFormat="false" ht="14.25" hidden="false" customHeight="false" outlineLevel="0" collapsed="false">
      <c r="A1173" s="0" t="n">
        <v>618</v>
      </c>
      <c r="B1173" s="0" t="str">
        <f aca="false">_xlfn.xlookup(A1173, artists!A$2:A$836, artists!B$2:B$836)</f>
        <v>Sigma</v>
      </c>
      <c r="C1173" s="1" t="s">
        <v>1208</v>
      </c>
      <c r="D1173" s="2" t="n">
        <v>189720</v>
      </c>
      <c r="E1173" s="2" t="n">
        <f aca="false">D1173/1000</f>
        <v>189.72</v>
      </c>
      <c r="F1173" s="10" t="b">
        <f aca="false">FALSE()</f>
        <v>0</v>
      </c>
      <c r="G1173" s="0" t="n">
        <v>17</v>
      </c>
      <c r="H1173" s="0" t="n">
        <f aca="false">_xlfn.xlookup(G1173, years!A$2:A$836, years!B$2:B$836)</f>
        <v>2014</v>
      </c>
      <c r="I1173" s="2" t="n">
        <v>62</v>
      </c>
      <c r="J1173" s="0" t="n">
        <v>0.441</v>
      </c>
      <c r="K1173" s="0" t="n">
        <v>0.921</v>
      </c>
      <c r="L1173" s="3" t="str">
        <f aca="false">IF(K1173&gt;0.66,"High",IF(K1173&gt;0.33&amp;K1173&lt;=0.66,"Medium","Low"))</f>
        <v>High</v>
      </c>
      <c r="M1173" s="0" t="n">
        <v>-3.32</v>
      </c>
      <c r="N1173" s="3" t="n">
        <v>0.0436</v>
      </c>
      <c r="O1173" s="3" t="n">
        <v>0.000526</v>
      </c>
      <c r="P1173" s="4" t="n">
        <v>6.34E-006</v>
      </c>
      <c r="Q1173" s="3" t="n">
        <v>0.177</v>
      </c>
      <c r="R1173" s="3" t="n">
        <v>0.182</v>
      </c>
      <c r="S1173" s="3" t="str">
        <f aca="false">IF(R1173 &gt;= 0.5, "Positive", "Negative")</f>
        <v>Negative</v>
      </c>
      <c r="T1173" s="2" t="n">
        <v>175.001</v>
      </c>
      <c r="U1173" s="0" t="s">
        <v>22</v>
      </c>
    </row>
    <row r="1174" customFormat="false" ht="14.25" hidden="false" customHeight="false" outlineLevel="0" collapsed="false">
      <c r="A1174" s="0" t="n">
        <v>48</v>
      </c>
      <c r="B1174" s="0" t="str">
        <f aca="false">_xlfn.xlookup(A1174, artists!A$2:A$836, artists!B$2:B$836)</f>
        <v>Ricky Martin</v>
      </c>
      <c r="C1174" s="1" t="s">
        <v>1209</v>
      </c>
      <c r="D1174" s="2" t="n">
        <v>252706</v>
      </c>
      <c r="E1174" s="2" t="n">
        <f aca="false">D1174/1000</f>
        <v>252.706</v>
      </c>
      <c r="F1174" s="10" t="b">
        <f aca="false">FALSE()</f>
        <v>0</v>
      </c>
      <c r="G1174" s="0" t="n">
        <v>11</v>
      </c>
      <c r="H1174" s="0" t="n">
        <f aca="false">_xlfn.xlookup(G1174, years!A$2:A$836, years!B$2:B$836)</f>
        <v>2008</v>
      </c>
      <c r="I1174" s="2" t="n">
        <v>52</v>
      </c>
      <c r="J1174" s="0" t="n">
        <v>0.635</v>
      </c>
      <c r="K1174" s="0" t="n">
        <v>0.854</v>
      </c>
      <c r="L1174" s="3" t="str">
        <f aca="false">IF(K1174&gt;0.66,"High",IF(K1174&gt;0.33&amp;K1174&lt;=0.66,"Medium","Low"))</f>
        <v>High</v>
      </c>
      <c r="M1174" s="0" t="n">
        <v>-5.02</v>
      </c>
      <c r="N1174" s="3" t="n">
        <v>0.0612</v>
      </c>
      <c r="O1174" s="3" t="n">
        <v>0.00579</v>
      </c>
      <c r="P1174" s="4" t="n">
        <v>0.0083</v>
      </c>
      <c r="Q1174" s="3" t="n">
        <v>0.0623</v>
      </c>
      <c r="R1174" s="3" t="n">
        <v>0.59</v>
      </c>
      <c r="S1174" s="3" t="str">
        <f aca="false">IF(R1174 &gt;= 0.5, "Positive", "Negative")</f>
        <v>Positive</v>
      </c>
      <c r="T1174" s="2" t="n">
        <v>100.851</v>
      </c>
      <c r="U1174" s="0" t="s">
        <v>75</v>
      </c>
    </row>
    <row r="1175" customFormat="false" ht="14.25" hidden="false" customHeight="false" outlineLevel="0" collapsed="false">
      <c r="A1175" s="0" t="n">
        <v>146</v>
      </c>
      <c r="B1175" s="0" t="str">
        <f aca="false">_xlfn.xlookup(A1175, artists!A$2:A$836, artists!B$2:B$836)</f>
        <v>Avril Lavigne</v>
      </c>
      <c r="C1175" s="1" t="s">
        <v>1210</v>
      </c>
      <c r="D1175" s="2" t="n">
        <v>212413</v>
      </c>
      <c r="E1175" s="2" t="n">
        <f aca="false">D1175/1000</f>
        <v>212.413</v>
      </c>
      <c r="F1175" s="10" t="b">
        <f aca="false">FALSE()</f>
        <v>0</v>
      </c>
      <c r="G1175" s="0" t="n">
        <v>7</v>
      </c>
      <c r="H1175" s="0" t="n">
        <f aca="false">_xlfn.xlookup(G1175, years!A$2:A$836, years!B$2:B$836)</f>
        <v>2004</v>
      </c>
      <c r="I1175" s="2" t="n">
        <v>61</v>
      </c>
      <c r="J1175" s="0" t="n">
        <v>0.348</v>
      </c>
      <c r="K1175" s="0" t="n">
        <v>0.907</v>
      </c>
      <c r="L1175" s="3" t="str">
        <f aca="false">IF(K1175&gt;0.66,"High",IF(K1175&gt;0.33&amp;K1175&lt;=0.66,"Medium","Low"))</f>
        <v>High</v>
      </c>
      <c r="M1175" s="0" t="n">
        <v>-3.66</v>
      </c>
      <c r="N1175" s="3" t="n">
        <v>0.0497</v>
      </c>
      <c r="O1175" s="3" t="n">
        <v>0.000516</v>
      </c>
      <c r="P1175" s="4" t="n">
        <v>0</v>
      </c>
      <c r="Q1175" s="3" t="n">
        <v>0.161</v>
      </c>
      <c r="R1175" s="3" t="n">
        <v>0.177</v>
      </c>
      <c r="S1175" s="3" t="str">
        <f aca="false">IF(R1175 &gt;= 0.5, "Positive", "Negative")</f>
        <v>Negative</v>
      </c>
      <c r="T1175" s="2" t="n">
        <v>185.406</v>
      </c>
      <c r="U1175" s="0" t="s">
        <v>39</v>
      </c>
    </row>
    <row r="1176" customFormat="false" ht="14.25" hidden="false" customHeight="false" outlineLevel="0" collapsed="false">
      <c r="A1176" s="0" t="n">
        <v>455</v>
      </c>
      <c r="B1176" s="0" t="str">
        <f aca="false">_xlfn.xlookup(A1176, artists!A$2:A$836, artists!B$2:B$836)</f>
        <v>Drake</v>
      </c>
      <c r="C1176" s="1" t="s">
        <v>1211</v>
      </c>
      <c r="D1176" s="2" t="n">
        <v>238614</v>
      </c>
      <c r="E1176" s="2" t="n">
        <f aca="false">D1176/1000</f>
        <v>238.614</v>
      </c>
      <c r="F1176" s="10" t="b">
        <f aca="false">TRUE()</f>
        <v>1</v>
      </c>
      <c r="G1176" s="0" t="n">
        <v>21</v>
      </c>
      <c r="H1176" s="0" t="n">
        <f aca="false">_xlfn.xlookup(G1176, years!A$2:A$836, years!B$2:B$836)</f>
        <v>2018</v>
      </c>
      <c r="I1176" s="2" t="n">
        <v>77</v>
      </c>
      <c r="J1176" s="0" t="n">
        <v>0.912</v>
      </c>
      <c r="K1176" s="0" t="n">
        <v>0.412</v>
      </c>
      <c r="L1176" s="3" t="str">
        <f aca="false">IF(K1176&gt;0.66,"High",IF(K1176&gt;0.33&amp;K1176&lt;=0.66,"Medium","Low"))</f>
        <v>Low</v>
      </c>
      <c r="M1176" s="0" t="n">
        <v>-8.074</v>
      </c>
      <c r="N1176" s="3" t="n">
        <v>0.123</v>
      </c>
      <c r="O1176" s="3" t="n">
        <v>0.0165</v>
      </c>
      <c r="P1176" s="4" t="n">
        <v>0.0126</v>
      </c>
      <c r="Q1176" s="3" t="n">
        <v>0.104</v>
      </c>
      <c r="R1176" s="3" t="n">
        <v>0.423</v>
      </c>
      <c r="S1176" s="3" t="str">
        <f aca="false">IF(R1176 &gt;= 0.5, "Positive", "Negative")</f>
        <v>Negative</v>
      </c>
      <c r="T1176" s="2" t="n">
        <v>154.983</v>
      </c>
      <c r="U1176" s="0" t="s">
        <v>31</v>
      </c>
    </row>
    <row r="1177" customFormat="false" ht="14.25" hidden="false" customHeight="false" outlineLevel="0" collapsed="false">
      <c r="A1177" s="0" t="n">
        <v>7</v>
      </c>
      <c r="B1177" s="0" t="str">
        <f aca="false">_xlfn.xlookup(A1177, artists!A$2:A$836, artists!B$2:B$836)</f>
        <v>Eminem</v>
      </c>
      <c r="C1177" s="1" t="s">
        <v>1212</v>
      </c>
      <c r="D1177" s="2" t="n">
        <v>248133</v>
      </c>
      <c r="E1177" s="2" t="n">
        <f aca="false">D1177/1000</f>
        <v>248.133</v>
      </c>
      <c r="F1177" s="10" t="b">
        <f aca="false">TRUE()</f>
        <v>1</v>
      </c>
      <c r="G1177" s="0" t="n">
        <v>13</v>
      </c>
      <c r="H1177" s="0" t="n">
        <f aca="false">_xlfn.xlookup(G1177, years!A$2:A$836, years!B$2:B$836)</f>
        <v>2010</v>
      </c>
      <c r="I1177" s="2" t="n">
        <v>79</v>
      </c>
      <c r="J1177" s="0" t="n">
        <v>0.855</v>
      </c>
      <c r="K1177" s="0" t="n">
        <v>0.954</v>
      </c>
      <c r="L1177" s="3" t="str">
        <f aca="false">IF(K1177&gt;0.66,"High",IF(K1177&gt;0.33&amp;K1177&lt;=0.66,"Medium","Low"))</f>
        <v>High</v>
      </c>
      <c r="M1177" s="0" t="n">
        <v>-1.19</v>
      </c>
      <c r="N1177" s="3" t="n">
        <v>0.264</v>
      </c>
      <c r="O1177" s="3" t="n">
        <v>0.529</v>
      </c>
      <c r="P1177" s="4" t="n">
        <v>0</v>
      </c>
      <c r="Q1177" s="3" t="n">
        <v>0.205</v>
      </c>
      <c r="R1177" s="3" t="n">
        <v>0.668</v>
      </c>
      <c r="S1177" s="3" t="str">
        <f aca="false">IF(R1177 &gt;= 0.5, "Positive", "Negative")</f>
        <v>Positive</v>
      </c>
      <c r="T1177" s="2" t="n">
        <v>114.635</v>
      </c>
      <c r="U1177" s="0" t="s">
        <v>29</v>
      </c>
    </row>
    <row r="1178" customFormat="false" ht="14.25" hidden="false" customHeight="false" outlineLevel="0" collapsed="false">
      <c r="A1178" s="0" t="n">
        <v>342</v>
      </c>
      <c r="B1178" s="0" t="str">
        <f aca="false">_xlfn.xlookup(A1178, artists!A$2:A$836, artists!B$2:B$836)</f>
        <v>Lily Allen</v>
      </c>
      <c r="C1178" s="1" t="s">
        <v>1213</v>
      </c>
      <c r="D1178" s="2" t="n">
        <v>201213</v>
      </c>
      <c r="E1178" s="2" t="n">
        <f aca="false">D1178/1000</f>
        <v>201.213</v>
      </c>
      <c r="F1178" s="10" t="b">
        <f aca="false">TRUE()</f>
        <v>1</v>
      </c>
      <c r="G1178" s="0" t="n">
        <v>12</v>
      </c>
      <c r="H1178" s="0" t="n">
        <f aca="false">_xlfn.xlookup(G1178, years!A$2:A$836, years!B$2:B$836)</f>
        <v>2009</v>
      </c>
      <c r="I1178" s="2" t="n">
        <v>54</v>
      </c>
      <c r="J1178" s="0" t="n">
        <v>0.719</v>
      </c>
      <c r="K1178" s="0" t="n">
        <v>0.861</v>
      </c>
      <c r="L1178" s="3" t="str">
        <f aca="false">IF(K1178&gt;0.66,"High",IF(K1178&gt;0.33&amp;K1178&lt;=0.66,"Medium","Low"))</f>
        <v>High</v>
      </c>
      <c r="M1178" s="0" t="n">
        <v>-6.982</v>
      </c>
      <c r="N1178" s="3" t="n">
        <v>0.0402</v>
      </c>
      <c r="O1178" s="3" t="n">
        <v>0.0447</v>
      </c>
      <c r="P1178" s="4" t="n">
        <v>0.00989</v>
      </c>
      <c r="Q1178" s="3" t="n">
        <v>0.219</v>
      </c>
      <c r="R1178" s="3" t="n">
        <v>0.948</v>
      </c>
      <c r="S1178" s="3" t="str">
        <f aca="false">IF(R1178 &gt;= 0.5, "Positive", "Negative")</f>
        <v>Positive</v>
      </c>
      <c r="T1178" s="2" t="n">
        <v>121.491</v>
      </c>
      <c r="U1178" s="0" t="s">
        <v>39</v>
      </c>
    </row>
    <row r="1179" customFormat="false" ht="14.25" hidden="false" customHeight="false" outlineLevel="0" collapsed="false">
      <c r="A1179" s="0" t="n">
        <v>38</v>
      </c>
      <c r="B1179" s="0" t="str">
        <f aca="false">_xlfn.xlookup(A1179, artists!A$2:A$836, artists!B$2:B$836)</f>
        <v>Enrique Iglesias</v>
      </c>
      <c r="C1179" s="1" t="s">
        <v>1214</v>
      </c>
      <c r="D1179" s="2" t="n">
        <v>223133</v>
      </c>
      <c r="E1179" s="2" t="n">
        <f aca="false">D1179/1000</f>
        <v>223.133</v>
      </c>
      <c r="F1179" s="10" t="b">
        <f aca="false">FALSE()</f>
        <v>0</v>
      </c>
      <c r="G1179" s="0" t="n">
        <v>6</v>
      </c>
      <c r="H1179" s="0" t="n">
        <f aca="false">_xlfn.xlookup(G1179, years!A$2:A$836, years!B$2:B$836)</f>
        <v>2003</v>
      </c>
      <c r="I1179" s="2" t="n">
        <v>37</v>
      </c>
      <c r="J1179" s="0" t="n">
        <v>0.762</v>
      </c>
      <c r="K1179" s="0" t="n">
        <v>0.885</v>
      </c>
      <c r="L1179" s="3" t="str">
        <f aca="false">IF(K1179&gt;0.66,"High",IF(K1179&gt;0.33&amp;K1179&lt;=0.66,"Medium","Low"))</f>
        <v>High</v>
      </c>
      <c r="M1179" s="0" t="n">
        <v>-5.096</v>
      </c>
      <c r="N1179" s="3" t="n">
        <v>0.0395</v>
      </c>
      <c r="O1179" s="3" t="n">
        <v>0.0371</v>
      </c>
      <c r="P1179" s="4" t="n">
        <v>0</v>
      </c>
      <c r="Q1179" s="3" t="n">
        <v>0.0519</v>
      </c>
      <c r="R1179" s="3" t="n">
        <v>0.886</v>
      </c>
      <c r="S1179" s="3" t="str">
        <f aca="false">IF(R1179 &gt;= 0.5, "Positive", "Negative")</f>
        <v>Positive</v>
      </c>
      <c r="T1179" s="2" t="n">
        <v>117.021</v>
      </c>
      <c r="U1179" s="0" t="s">
        <v>75</v>
      </c>
    </row>
    <row r="1180" customFormat="false" ht="14.25" hidden="false" customHeight="false" outlineLevel="0" collapsed="false">
      <c r="A1180" s="0" t="n">
        <v>712</v>
      </c>
      <c r="B1180" s="0" t="str">
        <f aca="false">_xlfn.xlookup(A1180, artists!A$2:A$836, artists!B$2:B$836)</f>
        <v>PARTYNEXTDOOR</v>
      </c>
      <c r="C1180" s="1" t="s">
        <v>1215</v>
      </c>
      <c r="D1180" s="2" t="n">
        <v>202661</v>
      </c>
      <c r="E1180" s="2" t="n">
        <f aca="false">D1180/1000</f>
        <v>202.661</v>
      </c>
      <c r="F1180" s="10" t="b">
        <f aca="false">FALSE()</f>
        <v>0</v>
      </c>
      <c r="G1180" s="0" t="n">
        <v>19</v>
      </c>
      <c r="H1180" s="0" t="n">
        <f aca="false">_xlfn.xlookup(G1180, years!A$2:A$836, years!B$2:B$836)</f>
        <v>2016</v>
      </c>
      <c r="I1180" s="2" t="n">
        <v>62</v>
      </c>
      <c r="J1180" s="0" t="n">
        <v>0.598</v>
      </c>
      <c r="K1180" s="0" t="n">
        <v>0.496</v>
      </c>
      <c r="L1180" s="3" t="str">
        <f aca="false">IF(K1180&gt;0.66,"High",IF(K1180&gt;0.33&amp;K1180&lt;=0.66,"Medium","Low"))</f>
        <v>Low</v>
      </c>
      <c r="M1180" s="0" t="n">
        <v>-9.309</v>
      </c>
      <c r="N1180" s="3" t="n">
        <v>0.0804</v>
      </c>
      <c r="O1180" s="3" t="n">
        <v>0.0253</v>
      </c>
      <c r="P1180" s="4" t="n">
        <v>0.00132</v>
      </c>
      <c r="Q1180" s="3" t="n">
        <v>0.12</v>
      </c>
      <c r="R1180" s="3" t="n">
        <v>0.725</v>
      </c>
      <c r="S1180" s="3" t="str">
        <f aca="false">IF(R1180 &gt;= 0.5, "Positive", "Negative")</f>
        <v>Positive</v>
      </c>
      <c r="T1180" s="2" t="n">
        <v>128.06</v>
      </c>
      <c r="U1180" s="0" t="s">
        <v>31</v>
      </c>
    </row>
    <row r="1181" customFormat="false" ht="14.25" hidden="false" customHeight="false" outlineLevel="0" collapsed="false">
      <c r="A1181" s="0" t="n">
        <v>172</v>
      </c>
      <c r="B1181" s="0" t="str">
        <f aca="false">_xlfn.xlookup(A1181, artists!A$2:A$836, artists!B$2:B$836)</f>
        <v>N.O.R.E.</v>
      </c>
      <c r="C1181" s="1" t="s">
        <v>1216</v>
      </c>
      <c r="D1181" s="2" t="n">
        <v>264653</v>
      </c>
      <c r="E1181" s="2" t="n">
        <f aca="false">D1181/1000</f>
        <v>264.653</v>
      </c>
      <c r="F1181" s="10" t="b">
        <f aca="false">TRUE()</f>
        <v>1</v>
      </c>
      <c r="G1181" s="0" t="n">
        <v>5</v>
      </c>
      <c r="H1181" s="0" t="n">
        <f aca="false">_xlfn.xlookup(G1181, years!A$2:A$836, years!B$2:B$836)</f>
        <v>2002</v>
      </c>
      <c r="I1181" s="2" t="n">
        <v>58</v>
      </c>
      <c r="J1181" s="0" t="n">
        <v>0.791</v>
      </c>
      <c r="K1181" s="0" t="n">
        <v>0.863</v>
      </c>
      <c r="L1181" s="3" t="str">
        <f aca="false">IF(K1181&gt;0.66,"High",IF(K1181&gt;0.33&amp;K1181&lt;=0.66,"Medium","Low"))</f>
        <v>High</v>
      </c>
      <c r="M1181" s="0" t="n">
        <v>-6.118</v>
      </c>
      <c r="N1181" s="3" t="n">
        <v>0.151</v>
      </c>
      <c r="O1181" s="3" t="n">
        <v>0.317</v>
      </c>
      <c r="P1181" s="4" t="n">
        <v>1.13E-006</v>
      </c>
      <c r="Q1181" s="3" t="n">
        <v>0.27</v>
      </c>
      <c r="R1181" s="3" t="n">
        <v>0.742</v>
      </c>
      <c r="S1181" s="3" t="str">
        <f aca="false">IF(R1181 &gt;= 0.5, "Positive", "Negative")</f>
        <v>Positive</v>
      </c>
      <c r="T1181" s="2" t="n">
        <v>97.035</v>
      </c>
      <c r="U1181" s="0" t="s">
        <v>24</v>
      </c>
    </row>
    <row r="1182" customFormat="false" ht="14.25" hidden="false" customHeight="false" outlineLevel="0" collapsed="false">
      <c r="A1182" s="0" t="n">
        <v>1</v>
      </c>
      <c r="B1182" s="0" t="str">
        <f aca="false">_xlfn.xlookup(A1182, artists!A$2:A$836, artists!B$2:B$836)</f>
        <v>Britney Spears</v>
      </c>
      <c r="C1182" s="1" t="s">
        <v>1217</v>
      </c>
      <c r="D1182" s="2" t="n">
        <v>213893</v>
      </c>
      <c r="E1182" s="2" t="n">
        <f aca="false">D1182/1000</f>
        <v>213.893</v>
      </c>
      <c r="F1182" s="10" t="b">
        <f aca="false">FALSE()</f>
        <v>0</v>
      </c>
      <c r="G1182" s="0" t="n">
        <v>7</v>
      </c>
      <c r="H1182" s="0" t="n">
        <f aca="false">_xlfn.xlookup(G1182, years!A$2:A$836, years!B$2:B$836)</f>
        <v>2004</v>
      </c>
      <c r="I1182" s="2" t="n">
        <v>53</v>
      </c>
      <c r="J1182" s="0" t="n">
        <v>0.749</v>
      </c>
      <c r="K1182" s="0" t="n">
        <v>0.938</v>
      </c>
      <c r="L1182" s="3" t="str">
        <f aca="false">IF(K1182&gt;0.66,"High",IF(K1182&gt;0.33&amp;K1182&lt;=0.66,"Medium","Low"))</f>
        <v>High</v>
      </c>
      <c r="M1182" s="0" t="n">
        <v>-4.423</v>
      </c>
      <c r="N1182" s="3" t="n">
        <v>0.118</v>
      </c>
      <c r="O1182" s="3" t="n">
        <v>0.0127</v>
      </c>
      <c r="P1182" s="4" t="n">
        <v>1.96E-006</v>
      </c>
      <c r="Q1182" s="3" t="n">
        <v>0.103</v>
      </c>
      <c r="R1182" s="3" t="n">
        <v>0.619</v>
      </c>
      <c r="S1182" s="3" t="str">
        <f aca="false">IF(R1182 &gt;= 0.5, "Positive", "Negative")</f>
        <v>Positive</v>
      </c>
      <c r="T1182" s="2" t="n">
        <v>111.014</v>
      </c>
      <c r="U1182" s="0" t="s">
        <v>39</v>
      </c>
    </row>
    <row r="1183" customFormat="false" ht="14.25" hidden="false" customHeight="false" outlineLevel="0" collapsed="false">
      <c r="A1183" s="0" t="n">
        <v>398</v>
      </c>
      <c r="B1183" s="0" t="str">
        <f aca="false">_xlfn.xlookup(A1183, artists!A$2:A$836, artists!B$2:B$836)</f>
        <v>Katy Perry</v>
      </c>
      <c r="C1183" s="1" t="s">
        <v>1218</v>
      </c>
      <c r="D1183" s="2" t="n">
        <v>237733</v>
      </c>
      <c r="E1183" s="2" t="n">
        <f aca="false">D1183/1000</f>
        <v>237.733</v>
      </c>
      <c r="F1183" s="10" t="b">
        <f aca="false">FALSE()</f>
        <v>0</v>
      </c>
      <c r="G1183" s="0" t="n">
        <v>20</v>
      </c>
      <c r="H1183" s="0" t="n">
        <f aca="false">_xlfn.xlookup(G1183, years!A$2:A$836, years!B$2:B$836)</f>
        <v>2017</v>
      </c>
      <c r="I1183" s="2" t="n">
        <v>69</v>
      </c>
      <c r="J1183" s="0" t="n">
        <v>0.562</v>
      </c>
      <c r="K1183" s="0" t="n">
        <v>0.8</v>
      </c>
      <c r="L1183" s="3" t="str">
        <f aca="false">IF(K1183&gt;0.66,"High",IF(K1183&gt;0.33&amp;K1183&lt;=0.66,"Medium","Low"))</f>
        <v>High</v>
      </c>
      <c r="M1183" s="0" t="n">
        <v>-5.404</v>
      </c>
      <c r="N1183" s="3" t="n">
        <v>0.112</v>
      </c>
      <c r="O1183" s="3" t="n">
        <v>0.0814</v>
      </c>
      <c r="P1183" s="4" t="n">
        <v>0</v>
      </c>
      <c r="Q1183" s="3" t="n">
        <v>0.199</v>
      </c>
      <c r="R1183" s="3" t="n">
        <v>0.471</v>
      </c>
      <c r="S1183" s="3" t="str">
        <f aca="false">IF(R1183 &gt;= 0.5, "Positive", "Negative")</f>
        <v>Negative</v>
      </c>
      <c r="T1183" s="2" t="n">
        <v>95.029</v>
      </c>
      <c r="U1183" s="0" t="s">
        <v>39</v>
      </c>
    </row>
    <row r="1184" customFormat="false" ht="14.25" hidden="false" customHeight="false" outlineLevel="0" collapsed="false">
      <c r="A1184" s="0" t="n">
        <v>403</v>
      </c>
      <c r="B1184" s="0" t="str">
        <f aca="false">_xlfn.xlookup(A1184, artists!A$2:A$836, artists!B$2:B$836)</f>
        <v>Basshunter</v>
      </c>
      <c r="C1184" s="1" t="s">
        <v>1219</v>
      </c>
      <c r="D1184" s="2" t="n">
        <v>148186</v>
      </c>
      <c r="E1184" s="2" t="n">
        <f aca="false">D1184/1000</f>
        <v>148.186</v>
      </c>
      <c r="F1184" s="10" t="b">
        <f aca="false">FALSE()</f>
        <v>0</v>
      </c>
      <c r="G1184" s="0" t="n">
        <v>11</v>
      </c>
      <c r="H1184" s="0" t="n">
        <f aca="false">_xlfn.xlookup(G1184, years!A$2:A$836, years!B$2:B$836)</f>
        <v>2008</v>
      </c>
      <c r="I1184" s="2" t="n">
        <v>63</v>
      </c>
      <c r="J1184" s="0" t="n">
        <v>0.639</v>
      </c>
      <c r="K1184" s="0" t="n">
        <v>0.976</v>
      </c>
      <c r="L1184" s="3" t="str">
        <f aca="false">IF(K1184&gt;0.66,"High",IF(K1184&gt;0.33&amp;K1184&lt;=0.66,"Medium","Low"))</f>
        <v>High</v>
      </c>
      <c r="M1184" s="0" t="n">
        <v>-5.503</v>
      </c>
      <c r="N1184" s="3" t="n">
        <v>0.354</v>
      </c>
      <c r="O1184" s="3" t="n">
        <v>0.0213</v>
      </c>
      <c r="P1184" s="4" t="n">
        <v>0</v>
      </c>
      <c r="Q1184" s="3" t="n">
        <v>0.0856</v>
      </c>
      <c r="R1184" s="3" t="n">
        <v>0.354</v>
      </c>
      <c r="S1184" s="3" t="str">
        <f aca="false">IF(R1184 &gt;= 0.5, "Positive", "Negative")</f>
        <v>Negative</v>
      </c>
      <c r="T1184" s="2" t="n">
        <v>147.99</v>
      </c>
      <c r="U1184" s="0" t="s">
        <v>39</v>
      </c>
    </row>
    <row r="1185" customFormat="false" ht="14.25" hidden="false" customHeight="false" outlineLevel="0" collapsed="false">
      <c r="A1185" s="0" t="n">
        <v>42</v>
      </c>
      <c r="B1185" s="0" t="str">
        <f aca="false">_xlfn.xlookup(A1185, artists!A$2:A$836, artists!B$2:B$836)</f>
        <v>Backstreet Boys</v>
      </c>
      <c r="C1185" s="1" t="s">
        <v>1220</v>
      </c>
      <c r="D1185" s="2" t="n">
        <v>230093</v>
      </c>
      <c r="E1185" s="2" t="n">
        <f aca="false">D1185/1000</f>
        <v>230.093</v>
      </c>
      <c r="F1185" s="10" t="b">
        <f aca="false">FALSE()</f>
        <v>0</v>
      </c>
      <c r="G1185" s="0" t="n">
        <v>3</v>
      </c>
      <c r="H1185" s="0" t="n">
        <f aca="false">_xlfn.xlookup(G1185, years!A$2:A$836, years!B$2:B$836)</f>
        <v>2000</v>
      </c>
      <c r="I1185" s="2" t="n">
        <v>70</v>
      </c>
      <c r="J1185" s="0" t="n">
        <v>0.575</v>
      </c>
      <c r="K1185" s="0" t="n">
        <v>0.786</v>
      </c>
      <c r="L1185" s="3" t="str">
        <f aca="false">IF(K1185&gt;0.66,"High",IF(K1185&gt;0.33&amp;K1185&lt;=0.66,"Medium","Low"))</f>
        <v>High</v>
      </c>
      <c r="M1185" s="0" t="n">
        <v>-4.353</v>
      </c>
      <c r="N1185" s="3" t="n">
        <v>0.0296</v>
      </c>
      <c r="O1185" s="3" t="n">
        <v>0.252</v>
      </c>
      <c r="P1185" s="4" t="n">
        <v>0</v>
      </c>
      <c r="Q1185" s="3" t="n">
        <v>0.159</v>
      </c>
      <c r="R1185" s="3" t="n">
        <v>0.518</v>
      </c>
      <c r="S1185" s="3" t="str">
        <f aca="false">IF(R1185 &gt;= 0.5, "Positive", "Negative")</f>
        <v>Positive</v>
      </c>
      <c r="T1185" s="2" t="n">
        <v>96.102</v>
      </c>
      <c r="U1185" s="0" t="s">
        <v>39</v>
      </c>
    </row>
    <row r="1186" customFormat="false" ht="14.25" hidden="false" customHeight="false" outlineLevel="0" collapsed="false">
      <c r="A1186" s="0" t="n">
        <v>20</v>
      </c>
      <c r="B1186" s="0" t="str">
        <f aca="false">_xlfn.xlookup(A1186, artists!A$2:A$836, artists!B$2:B$836)</f>
        <v>Linkin Park</v>
      </c>
      <c r="C1186" s="1" t="s">
        <v>1221</v>
      </c>
      <c r="D1186" s="2" t="n">
        <v>185586</v>
      </c>
      <c r="E1186" s="2" t="n">
        <f aca="false">D1186/1000</f>
        <v>185.586</v>
      </c>
      <c r="F1186" s="10" t="b">
        <f aca="false">FALSE()</f>
        <v>0</v>
      </c>
      <c r="G1186" s="0" t="n">
        <v>6</v>
      </c>
      <c r="H1186" s="0" t="n">
        <f aca="false">_xlfn.xlookup(G1186, years!A$2:A$836, years!B$2:B$836)</f>
        <v>2003</v>
      </c>
      <c r="I1186" s="2" t="n">
        <v>81</v>
      </c>
      <c r="J1186" s="0" t="n">
        <v>0.496</v>
      </c>
      <c r="K1186" s="0" t="n">
        <v>0.863</v>
      </c>
      <c r="L1186" s="3" t="str">
        <f aca="false">IF(K1186&gt;0.66,"High",IF(K1186&gt;0.33&amp;K1186&lt;=0.66,"Medium","Low"))</f>
        <v>High</v>
      </c>
      <c r="M1186" s="0" t="n">
        <v>-4.153</v>
      </c>
      <c r="N1186" s="3" t="n">
        <v>0.0381</v>
      </c>
      <c r="O1186" s="3" t="n">
        <v>0.0046</v>
      </c>
      <c r="P1186" s="4" t="n">
        <v>0</v>
      </c>
      <c r="Q1186" s="3" t="n">
        <v>0.639</v>
      </c>
      <c r="R1186" s="3" t="n">
        <v>0.243</v>
      </c>
      <c r="S1186" s="3" t="str">
        <f aca="false">IF(R1186 &gt;= 0.5, "Positive", "Negative")</f>
        <v>Negative</v>
      </c>
      <c r="T1186" s="2" t="n">
        <v>110.018</v>
      </c>
      <c r="U1186" s="0" t="s">
        <v>81</v>
      </c>
    </row>
    <row r="1187" customFormat="false" ht="14.25" hidden="false" customHeight="false" outlineLevel="0" collapsed="false">
      <c r="A1187" s="0" t="n">
        <v>750</v>
      </c>
      <c r="B1187" s="0" t="str">
        <f aca="false">_xlfn.xlookup(A1187, artists!A$2:A$836, artists!B$2:B$836)</f>
        <v>Hayden James</v>
      </c>
      <c r="C1187" s="1" t="s">
        <v>1222</v>
      </c>
      <c r="D1187" s="2" t="n">
        <v>217296</v>
      </c>
      <c r="E1187" s="2" t="n">
        <f aca="false">D1187/1000</f>
        <v>217.296</v>
      </c>
      <c r="F1187" s="10" t="b">
        <f aca="false">TRUE()</f>
        <v>1</v>
      </c>
      <c r="G1187" s="0" t="n">
        <v>22</v>
      </c>
      <c r="H1187" s="0" t="n">
        <f aca="false">_xlfn.xlookup(G1187, years!A$2:A$836, years!B$2:B$836)</f>
        <v>2019</v>
      </c>
      <c r="I1187" s="2" t="n">
        <v>47</v>
      </c>
      <c r="J1187" s="0" t="n">
        <v>0.617</v>
      </c>
      <c r="K1187" s="0" t="n">
        <v>0.558</v>
      </c>
      <c r="L1187" s="3" t="str">
        <f aca="false">IF(K1187&gt;0.66,"High",IF(K1187&gt;0.33&amp;K1187&lt;=0.66,"Medium","Low"))</f>
        <v>Low</v>
      </c>
      <c r="M1187" s="0" t="n">
        <v>-7.046</v>
      </c>
      <c r="N1187" s="3" t="n">
        <v>0.0431</v>
      </c>
      <c r="O1187" s="3" t="n">
        <v>0.184</v>
      </c>
      <c r="P1187" s="4" t="n">
        <v>1.03E-006</v>
      </c>
      <c r="Q1187" s="3" t="n">
        <v>0.0911</v>
      </c>
      <c r="R1187" s="3" t="n">
        <v>0.4</v>
      </c>
      <c r="S1187" s="3" t="str">
        <f aca="false">IF(R1187 &gt;= 0.5, "Positive", "Negative")</f>
        <v>Negative</v>
      </c>
      <c r="T1187" s="2" t="n">
        <v>147.932</v>
      </c>
      <c r="U1187" s="0" t="s">
        <v>22</v>
      </c>
    </row>
    <row r="1188" customFormat="false" ht="14.25" hidden="false" customHeight="false" outlineLevel="0" collapsed="false">
      <c r="A1188" s="0" t="n">
        <v>35</v>
      </c>
      <c r="B1188" s="0" t="str">
        <f aca="false">_xlfn.xlookup(A1188, artists!A$2:A$836, artists!B$2:B$836)</f>
        <v>JAY-Z</v>
      </c>
      <c r="C1188" s="1" t="s">
        <v>1223</v>
      </c>
      <c r="D1188" s="2" t="n">
        <v>205733</v>
      </c>
      <c r="E1188" s="2" t="n">
        <f aca="false">D1188/1000</f>
        <v>205.733</v>
      </c>
      <c r="F1188" s="10" t="b">
        <f aca="false">TRUE()</f>
        <v>1</v>
      </c>
      <c r="G1188" s="0" t="n">
        <v>7</v>
      </c>
      <c r="H1188" s="0" t="n">
        <f aca="false">_xlfn.xlookup(G1188, years!A$2:A$836, years!B$2:B$836)</f>
        <v>2004</v>
      </c>
      <c r="I1188" s="2" t="n">
        <v>76</v>
      </c>
      <c r="J1188" s="0" t="n">
        <v>0.687</v>
      </c>
      <c r="K1188" s="0" t="n">
        <v>0.793</v>
      </c>
      <c r="L1188" s="3" t="str">
        <f aca="false">IF(K1188&gt;0.66,"High",IF(K1188&gt;0.33&amp;K1188&lt;=0.66,"Medium","Low"))</f>
        <v>High</v>
      </c>
      <c r="M1188" s="0" t="n">
        <v>-4.254</v>
      </c>
      <c r="N1188" s="3" t="n">
        <v>0.166</v>
      </c>
      <c r="O1188" s="3" t="n">
        <v>0.0603</v>
      </c>
      <c r="P1188" s="4" t="n">
        <v>0</v>
      </c>
      <c r="Q1188" s="3" t="n">
        <v>0.582</v>
      </c>
      <c r="R1188" s="3" t="n">
        <v>0.751</v>
      </c>
      <c r="S1188" s="3" t="str">
        <f aca="false">IF(R1188 &gt;= 0.5, "Positive", "Negative")</f>
        <v>Positive</v>
      </c>
      <c r="T1188" s="2" t="n">
        <v>107.045</v>
      </c>
      <c r="U1188" s="0" t="s">
        <v>29</v>
      </c>
    </row>
    <row r="1189" customFormat="false" ht="14.25" hidden="false" customHeight="false" outlineLevel="0" collapsed="false">
      <c r="A1189" s="0" t="n">
        <v>450</v>
      </c>
      <c r="B1189" s="0" t="str">
        <f aca="false">_xlfn.xlookup(A1189, artists!A$2:A$836, artists!B$2:B$836)</f>
        <v>Tinchy Stryder</v>
      </c>
      <c r="C1189" s="1" t="s">
        <v>1224</v>
      </c>
      <c r="D1189" s="2" t="n">
        <v>212773</v>
      </c>
      <c r="E1189" s="2" t="n">
        <f aca="false">D1189/1000</f>
        <v>212.773</v>
      </c>
      <c r="F1189" s="10" t="b">
        <f aca="false">FALSE()</f>
        <v>0</v>
      </c>
      <c r="G1189" s="0" t="n">
        <v>12</v>
      </c>
      <c r="H1189" s="0" t="n">
        <f aca="false">_xlfn.xlookup(G1189, years!A$2:A$836, years!B$2:B$836)</f>
        <v>2009</v>
      </c>
      <c r="I1189" s="2" t="n">
        <v>59</v>
      </c>
      <c r="J1189" s="0" t="n">
        <v>0.581</v>
      </c>
      <c r="K1189" s="0" t="n">
        <v>0.824</v>
      </c>
      <c r="L1189" s="3" t="str">
        <f aca="false">IF(K1189&gt;0.66,"High",IF(K1189&gt;0.33&amp;K1189&lt;=0.66,"Medium","Low"))</f>
        <v>High</v>
      </c>
      <c r="M1189" s="0" t="n">
        <v>-3.912</v>
      </c>
      <c r="N1189" s="3" t="n">
        <v>0.0377</v>
      </c>
      <c r="O1189" s="3" t="n">
        <v>0.0105</v>
      </c>
      <c r="P1189" s="4" t="n">
        <v>0</v>
      </c>
      <c r="Q1189" s="3" t="n">
        <v>0.483</v>
      </c>
      <c r="R1189" s="3" t="n">
        <v>0.747</v>
      </c>
      <c r="S1189" s="3" t="str">
        <f aca="false">IF(R1189 &gt;= 0.5, "Positive", "Negative")</f>
        <v>Positive</v>
      </c>
      <c r="T1189" s="2" t="n">
        <v>114.912</v>
      </c>
      <c r="U1189" s="0" t="s">
        <v>22</v>
      </c>
    </row>
    <row r="1190" customFormat="false" ht="14.25" hidden="false" customHeight="false" outlineLevel="0" collapsed="false">
      <c r="A1190" s="0" t="n">
        <v>551</v>
      </c>
      <c r="B1190" s="0" t="str">
        <f aca="false">_xlfn.xlookup(A1190, artists!A$2:A$836, artists!B$2:B$836)</f>
        <v>Grimes</v>
      </c>
      <c r="C1190" s="1" t="s">
        <v>1225</v>
      </c>
      <c r="D1190" s="2" t="n">
        <v>251266</v>
      </c>
      <c r="E1190" s="2" t="n">
        <f aca="false">D1190/1000</f>
        <v>251.266</v>
      </c>
      <c r="F1190" s="10" t="b">
        <f aca="false">FALSE()</f>
        <v>0</v>
      </c>
      <c r="G1190" s="0" t="n">
        <v>15</v>
      </c>
      <c r="H1190" s="0" t="n">
        <f aca="false">_xlfn.xlookup(G1190, years!A$2:A$836, years!B$2:B$836)</f>
        <v>2012</v>
      </c>
      <c r="I1190" s="2" t="n">
        <v>0</v>
      </c>
      <c r="J1190" s="0" t="n">
        <v>0.697</v>
      </c>
      <c r="K1190" s="0" t="n">
        <v>0.529</v>
      </c>
      <c r="L1190" s="3" t="str">
        <f aca="false">IF(K1190&gt;0.66,"High",IF(K1190&gt;0.33&amp;K1190&lt;=0.66,"Medium","Low"))</f>
        <v>Low</v>
      </c>
      <c r="M1190" s="0" t="n">
        <v>-8.838</v>
      </c>
      <c r="N1190" s="3" t="n">
        <v>0.0338</v>
      </c>
      <c r="O1190" s="3" t="n">
        <v>0.115</v>
      </c>
      <c r="P1190" s="4" t="n">
        <v>0.901</v>
      </c>
      <c r="Q1190" s="3" t="n">
        <v>0.0895</v>
      </c>
      <c r="R1190" s="3" t="n">
        <v>0.486</v>
      </c>
      <c r="S1190" s="3" t="str">
        <f aca="false">IF(R1190 &gt;= 0.5, "Positive", "Negative")</f>
        <v>Negative</v>
      </c>
      <c r="T1190" s="2" t="n">
        <v>155.974</v>
      </c>
      <c r="U1190" s="0" t="s">
        <v>292</v>
      </c>
    </row>
    <row r="1191" customFormat="false" ht="14.25" hidden="false" customHeight="false" outlineLevel="0" collapsed="false">
      <c r="A1191" s="0" t="n">
        <v>50</v>
      </c>
      <c r="B1191" s="0" t="str">
        <f aca="false">_xlfn.xlookup(A1191, artists!A$2:A$836, artists!B$2:B$836)</f>
        <v>Mariah Carey</v>
      </c>
      <c r="C1191" s="1" t="s">
        <v>1226</v>
      </c>
      <c r="D1191" s="2" t="n">
        <v>242200</v>
      </c>
      <c r="E1191" s="2" t="n">
        <f aca="false">D1191/1000</f>
        <v>242.2</v>
      </c>
      <c r="F1191" s="10" t="b">
        <f aca="false">FALSE()</f>
        <v>0</v>
      </c>
      <c r="G1191" s="0" t="n">
        <v>12</v>
      </c>
      <c r="H1191" s="0" t="n">
        <f aca="false">_xlfn.xlookup(G1191, years!A$2:A$836, years!B$2:B$836)</f>
        <v>2009</v>
      </c>
      <c r="I1191" s="2" t="n">
        <v>66</v>
      </c>
      <c r="J1191" s="0" t="n">
        <v>0.742</v>
      </c>
      <c r="K1191" s="0" t="n">
        <v>0.468</v>
      </c>
      <c r="L1191" s="3" t="str">
        <f aca="false">IF(K1191&gt;0.66,"High",IF(K1191&gt;0.33&amp;K1191&lt;=0.66,"Medium","Low"))</f>
        <v>Low</v>
      </c>
      <c r="M1191" s="0" t="n">
        <v>-5.557</v>
      </c>
      <c r="N1191" s="3" t="n">
        <v>0.0625</v>
      </c>
      <c r="O1191" s="3" t="n">
        <v>0.0465</v>
      </c>
      <c r="P1191" s="4" t="n">
        <v>0</v>
      </c>
      <c r="Q1191" s="3" t="n">
        <v>0.826</v>
      </c>
      <c r="R1191" s="3" t="n">
        <v>0.369</v>
      </c>
      <c r="S1191" s="3" t="str">
        <f aca="false">IF(R1191 &gt;= 0.5, "Positive", "Negative")</f>
        <v>Negative</v>
      </c>
      <c r="T1191" s="2" t="n">
        <v>86.443</v>
      </c>
      <c r="U1191" s="0" t="s">
        <v>33</v>
      </c>
    </row>
    <row r="1192" customFormat="false" ht="14.25" hidden="false" customHeight="false" outlineLevel="0" collapsed="false">
      <c r="A1192" s="0" t="n">
        <v>592</v>
      </c>
      <c r="B1192" s="0" t="str">
        <f aca="false">_xlfn.xlookup(A1192, artists!A$2:A$836, artists!B$2:B$836)</f>
        <v>Bastille</v>
      </c>
      <c r="C1192" s="1" t="s">
        <v>1227</v>
      </c>
      <c r="D1192" s="2" t="n">
        <v>214205</v>
      </c>
      <c r="E1192" s="2" t="n">
        <f aca="false">D1192/1000</f>
        <v>214.205</v>
      </c>
      <c r="F1192" s="10" t="b">
        <f aca="false">FALSE()</f>
        <v>0</v>
      </c>
      <c r="G1192" s="0" t="n">
        <v>16</v>
      </c>
      <c r="H1192" s="0" t="n">
        <f aca="false">_xlfn.xlookup(G1192, years!A$2:A$836, years!B$2:B$836)</f>
        <v>2013</v>
      </c>
      <c r="I1192" s="2" t="n">
        <v>61</v>
      </c>
      <c r="J1192" s="0" t="n">
        <v>0.67</v>
      </c>
      <c r="K1192" s="0" t="n">
        <v>0.829</v>
      </c>
      <c r="L1192" s="3" t="str">
        <f aca="false">IF(K1192&gt;0.66,"High",IF(K1192&gt;0.33&amp;K1192&lt;=0.66,"Medium","Low"))</f>
        <v>High</v>
      </c>
      <c r="M1192" s="0" t="n">
        <v>-7.2</v>
      </c>
      <c r="N1192" s="3" t="n">
        <v>0.0427</v>
      </c>
      <c r="O1192" s="3" t="n">
        <v>0.0192</v>
      </c>
      <c r="P1192" s="4" t="n">
        <v>0.000225</v>
      </c>
      <c r="Q1192" s="3" t="n">
        <v>0.089</v>
      </c>
      <c r="R1192" s="3" t="n">
        <v>0.349</v>
      </c>
      <c r="S1192" s="3" t="str">
        <f aca="false">IF(R1192 &gt;= 0.5, "Positive", "Negative")</f>
        <v>Negative</v>
      </c>
      <c r="T1192" s="2" t="n">
        <v>125.01</v>
      </c>
      <c r="U1192" s="0" t="s">
        <v>210</v>
      </c>
    </row>
    <row r="1193" customFormat="false" ht="14.25" hidden="false" customHeight="false" outlineLevel="0" collapsed="false">
      <c r="A1193" s="0" t="n">
        <v>249</v>
      </c>
      <c r="B1193" s="0" t="str">
        <f aca="false">_xlfn.xlookup(A1193, artists!A$2:A$836, artists!B$2:B$836)</f>
        <v>Ciara</v>
      </c>
      <c r="C1193" s="1" t="s">
        <v>1228</v>
      </c>
      <c r="D1193" s="2" t="n">
        <v>256346</v>
      </c>
      <c r="E1193" s="2" t="n">
        <f aca="false">D1193/1000</f>
        <v>256.346</v>
      </c>
      <c r="F1193" s="10" t="b">
        <f aca="false">FALSE()</f>
        <v>0</v>
      </c>
      <c r="G1193" s="0" t="n">
        <v>7</v>
      </c>
      <c r="H1193" s="0" t="n">
        <f aca="false">_xlfn.xlookup(G1193, years!A$2:A$836, years!B$2:B$836)</f>
        <v>2004</v>
      </c>
      <c r="I1193" s="2" t="n">
        <v>61</v>
      </c>
      <c r="J1193" s="0" t="n">
        <v>0.8</v>
      </c>
      <c r="K1193" s="0" t="n">
        <v>0.496</v>
      </c>
      <c r="L1193" s="3" t="str">
        <f aca="false">IF(K1193&gt;0.66,"High",IF(K1193&gt;0.33&amp;K1193&lt;=0.66,"Medium","Low"))</f>
        <v>Low</v>
      </c>
      <c r="M1193" s="0" t="n">
        <v>-7.135</v>
      </c>
      <c r="N1193" s="3" t="n">
        <v>0.0506</v>
      </c>
      <c r="O1193" s="3" t="n">
        <v>0.000298</v>
      </c>
      <c r="P1193" s="4" t="n">
        <v>0</v>
      </c>
      <c r="Q1193" s="3" t="n">
        <v>0.0697</v>
      </c>
      <c r="R1193" s="3" t="n">
        <v>0.357</v>
      </c>
      <c r="S1193" s="3" t="str">
        <f aca="false">IF(R1193 &gt;= 0.5, "Positive", "Negative")</f>
        <v>Negative</v>
      </c>
      <c r="T1193" s="2" t="n">
        <v>128.29</v>
      </c>
      <c r="U1193" s="0" t="s">
        <v>33</v>
      </c>
    </row>
    <row r="1194" customFormat="false" ht="14.25" hidden="false" customHeight="false" outlineLevel="0" collapsed="false">
      <c r="A1194" s="0" t="n">
        <v>183</v>
      </c>
      <c r="B1194" s="0" t="str">
        <f aca="false">_xlfn.xlookup(A1194, artists!A$2:A$836, artists!B$2:B$836)</f>
        <v>Cam’ron</v>
      </c>
      <c r="C1194" s="1" t="s">
        <v>1229</v>
      </c>
      <c r="D1194" s="2" t="n">
        <v>204706</v>
      </c>
      <c r="E1194" s="2" t="n">
        <f aca="false">D1194/1000</f>
        <v>204.706</v>
      </c>
      <c r="F1194" s="10" t="b">
        <f aca="false">TRUE()</f>
        <v>1</v>
      </c>
      <c r="G1194" s="0" t="n">
        <v>5</v>
      </c>
      <c r="H1194" s="0" t="n">
        <f aca="false">_xlfn.xlookup(G1194, years!A$2:A$836, years!B$2:B$836)</f>
        <v>2002</v>
      </c>
      <c r="I1194" s="2" t="n">
        <v>67</v>
      </c>
      <c r="J1194" s="0" t="n">
        <v>0.754</v>
      </c>
      <c r="K1194" s="0" t="n">
        <v>0.767</v>
      </c>
      <c r="L1194" s="3" t="str">
        <f aca="false">IF(K1194&gt;0.66,"High",IF(K1194&gt;0.33&amp;K1194&lt;=0.66,"Medium","Low"))</f>
        <v>High</v>
      </c>
      <c r="M1194" s="0" t="n">
        <v>-5.586</v>
      </c>
      <c r="N1194" s="3" t="n">
        <v>0.145</v>
      </c>
      <c r="O1194" s="3" t="n">
        <v>0.0216</v>
      </c>
      <c r="P1194" s="4" t="n">
        <v>0</v>
      </c>
      <c r="Q1194" s="3" t="n">
        <v>0.172</v>
      </c>
      <c r="R1194" s="3" t="n">
        <v>0.828</v>
      </c>
      <c r="S1194" s="3" t="str">
        <f aca="false">IF(R1194 &gt;= 0.5, "Positive", "Negative")</f>
        <v>Positive</v>
      </c>
      <c r="T1194" s="2" t="n">
        <v>83.014</v>
      </c>
      <c r="U1194" s="0" t="s">
        <v>24</v>
      </c>
    </row>
    <row r="1195" customFormat="false" ht="14.25" hidden="false" customHeight="false" outlineLevel="0" collapsed="false">
      <c r="A1195" s="0" t="n">
        <v>793</v>
      </c>
      <c r="B1195" s="0" t="str">
        <f aca="false">_xlfn.xlookup(A1195, artists!A$2:A$836, artists!B$2:B$836)</f>
        <v>Lil Nas X</v>
      </c>
      <c r="C1195" s="1" t="s">
        <v>1230</v>
      </c>
      <c r="D1195" s="2" t="n">
        <v>113000</v>
      </c>
      <c r="E1195" s="2" t="n">
        <f aca="false">D1195/1000</f>
        <v>113</v>
      </c>
      <c r="F1195" s="10" t="b">
        <f aca="false">FALSE()</f>
        <v>0</v>
      </c>
      <c r="G1195" s="0" t="n">
        <v>22</v>
      </c>
      <c r="H1195" s="0" t="n">
        <f aca="false">_xlfn.xlookup(G1195, years!A$2:A$836, years!B$2:B$836)</f>
        <v>2019</v>
      </c>
      <c r="I1195" s="2" t="n">
        <v>76</v>
      </c>
      <c r="J1195" s="0" t="n">
        <v>0.907</v>
      </c>
      <c r="K1195" s="0" t="n">
        <v>0.53</v>
      </c>
      <c r="L1195" s="3" t="str">
        <f aca="false">IF(K1195&gt;0.66,"High",IF(K1195&gt;0.33&amp;K1195&lt;=0.66,"Medium","Low"))</f>
        <v>Low</v>
      </c>
      <c r="M1195" s="0" t="n">
        <v>-6.112</v>
      </c>
      <c r="N1195" s="3" t="n">
        <v>0.127</v>
      </c>
      <c r="O1195" s="3" t="n">
        <v>0.0578</v>
      </c>
      <c r="P1195" s="4" t="n">
        <v>2.23E-006</v>
      </c>
      <c r="Q1195" s="3" t="n">
        <v>0.101</v>
      </c>
      <c r="R1195" s="3" t="n">
        <v>0.507</v>
      </c>
      <c r="S1195" s="3" t="str">
        <f aca="false">IF(R1195 &gt;= 0.5, "Positive", "Negative")</f>
        <v>Positive</v>
      </c>
      <c r="T1195" s="2" t="n">
        <v>135.998</v>
      </c>
      <c r="U1195" s="0" t="s">
        <v>24</v>
      </c>
    </row>
    <row r="1196" customFormat="false" ht="14.25" hidden="false" customHeight="false" outlineLevel="0" collapsed="false">
      <c r="A1196" s="0" t="n">
        <v>793</v>
      </c>
      <c r="B1196" s="0" t="str">
        <f aca="false">_xlfn.xlookup(A1196, artists!A$2:A$836, artists!B$2:B$836)</f>
        <v>Lil Nas X</v>
      </c>
      <c r="C1196" s="1" t="s">
        <v>1231</v>
      </c>
      <c r="D1196" s="2" t="n">
        <v>157066</v>
      </c>
      <c r="E1196" s="2" t="n">
        <f aca="false">D1196/1000</f>
        <v>157.066</v>
      </c>
      <c r="F1196" s="10" t="b">
        <f aca="false">FALSE()</f>
        <v>0</v>
      </c>
      <c r="G1196" s="0" t="n">
        <v>22</v>
      </c>
      <c r="H1196" s="0" t="n">
        <f aca="false">_xlfn.xlookup(G1196, years!A$2:A$836, years!B$2:B$836)</f>
        <v>2019</v>
      </c>
      <c r="I1196" s="2" t="n">
        <v>79</v>
      </c>
      <c r="J1196" s="0" t="n">
        <v>0.878</v>
      </c>
      <c r="K1196" s="0" t="n">
        <v>0.619</v>
      </c>
      <c r="L1196" s="3" t="str">
        <f aca="false">IF(K1196&gt;0.66,"High",IF(K1196&gt;0.33&amp;K1196&lt;=0.66,"Medium","Low"))</f>
        <v>Low</v>
      </c>
      <c r="M1196" s="0" t="n">
        <v>-5.56</v>
      </c>
      <c r="N1196" s="3" t="n">
        <v>0.102</v>
      </c>
      <c r="O1196" s="3" t="n">
        <v>0.0533</v>
      </c>
      <c r="P1196" s="4" t="n">
        <v>0</v>
      </c>
      <c r="Q1196" s="3" t="n">
        <v>0.113</v>
      </c>
      <c r="R1196" s="3" t="n">
        <v>0.639</v>
      </c>
      <c r="S1196" s="3" t="str">
        <f aca="false">IF(R1196 &gt;= 0.5, "Positive", "Negative")</f>
        <v>Positive</v>
      </c>
      <c r="T1196" s="2" t="n">
        <v>136.041</v>
      </c>
      <c r="U1196" s="0" t="s">
        <v>24</v>
      </c>
    </row>
    <row r="1197" customFormat="false" ht="14.25" hidden="false" customHeight="false" outlineLevel="0" collapsed="false">
      <c r="A1197" s="0" t="n">
        <v>442</v>
      </c>
      <c r="B1197" s="0" t="str">
        <f aca="false">_xlfn.xlookup(A1197, artists!A$2:A$836, artists!B$2:B$836)</f>
        <v>The Prodigy</v>
      </c>
      <c r="C1197" s="1" t="s">
        <v>1232</v>
      </c>
      <c r="D1197" s="2" t="n">
        <v>216026</v>
      </c>
      <c r="E1197" s="2" t="n">
        <f aca="false">D1197/1000</f>
        <v>216.026</v>
      </c>
      <c r="F1197" s="10" t="b">
        <f aca="false">FALSE()</f>
        <v>0</v>
      </c>
      <c r="G1197" s="0" t="n">
        <v>12</v>
      </c>
      <c r="H1197" s="0" t="n">
        <f aca="false">_xlfn.xlookup(G1197, years!A$2:A$836, years!B$2:B$836)</f>
        <v>2009</v>
      </c>
      <c r="I1197" s="2" t="n">
        <v>57</v>
      </c>
      <c r="J1197" s="0" t="n">
        <v>0.545</v>
      </c>
      <c r="K1197" s="0" t="n">
        <v>0.953</v>
      </c>
      <c r="L1197" s="3" t="str">
        <f aca="false">IF(K1197&gt;0.66,"High",IF(K1197&gt;0.33&amp;K1197&lt;=0.66,"Medium","Low"))</f>
        <v>High</v>
      </c>
      <c r="M1197" s="0" t="n">
        <v>-5.172</v>
      </c>
      <c r="N1197" s="3" t="n">
        <v>0.0441</v>
      </c>
      <c r="O1197" s="3" t="n">
        <v>0.000941</v>
      </c>
      <c r="P1197" s="4" t="n">
        <v>0.117</v>
      </c>
      <c r="Q1197" s="3" t="n">
        <v>0.281</v>
      </c>
      <c r="R1197" s="3" t="n">
        <v>0.558</v>
      </c>
      <c r="S1197" s="3" t="str">
        <f aca="false">IF(R1197 &gt;= 0.5, "Positive", "Negative")</f>
        <v>Positive</v>
      </c>
      <c r="T1197" s="2" t="n">
        <v>140.002</v>
      </c>
      <c r="U1197" s="0" t="s">
        <v>632</v>
      </c>
    </row>
    <row r="1198" customFormat="false" ht="14.25" hidden="false" customHeight="false" outlineLevel="0" collapsed="false">
      <c r="A1198" s="0" t="n">
        <v>120</v>
      </c>
      <c r="B1198" s="0" t="str">
        <f aca="false">_xlfn.xlookup(A1198, artists!A$2:A$836, artists!B$2:B$836)</f>
        <v>Usher</v>
      </c>
      <c r="C1198" s="1" t="s">
        <v>1233</v>
      </c>
      <c r="D1198" s="2" t="n">
        <v>269493</v>
      </c>
      <c r="E1198" s="2" t="n">
        <f aca="false">D1198/1000</f>
        <v>269.493</v>
      </c>
      <c r="F1198" s="10" t="b">
        <f aca="false">FALSE()</f>
        <v>0</v>
      </c>
      <c r="G1198" s="0" t="n">
        <v>13</v>
      </c>
      <c r="H1198" s="0" t="n">
        <f aca="false">_xlfn.xlookup(G1198, years!A$2:A$836, years!B$2:B$836)</f>
        <v>2010</v>
      </c>
      <c r="I1198" s="2" t="n">
        <v>73</v>
      </c>
      <c r="J1198" s="0" t="n">
        <v>0.781</v>
      </c>
      <c r="K1198" s="0" t="n">
        <v>0.745</v>
      </c>
      <c r="L1198" s="3" t="str">
        <f aca="false">IF(K1198&gt;0.66,"High",IF(K1198&gt;0.33&amp;K1198&lt;=0.66,"Medium","Low"))</f>
        <v>High</v>
      </c>
      <c r="M1198" s="0" t="n">
        <v>-5.81</v>
      </c>
      <c r="N1198" s="3" t="n">
        <v>0.0332</v>
      </c>
      <c r="O1198" s="3" t="n">
        <v>0.198</v>
      </c>
      <c r="P1198" s="4" t="n">
        <v>1.14E-005</v>
      </c>
      <c r="Q1198" s="3" t="n">
        <v>0.36</v>
      </c>
      <c r="R1198" s="3" t="n">
        <v>0.326</v>
      </c>
      <c r="S1198" s="3" t="str">
        <f aca="false">IF(R1198 &gt;= 0.5, "Positive", "Negative")</f>
        <v>Negative</v>
      </c>
      <c r="T1198" s="2" t="n">
        <v>129.998</v>
      </c>
      <c r="U1198" s="0" t="s">
        <v>31</v>
      </c>
    </row>
    <row r="1199" customFormat="false" ht="14.25" hidden="false" customHeight="false" outlineLevel="0" collapsed="false">
      <c r="A1199" s="0" t="n">
        <v>826</v>
      </c>
      <c r="B1199" s="0" t="str">
        <f aca="false">_xlfn.xlookup(A1199, artists!A$2:A$836, artists!B$2:B$836)</f>
        <v>Ashley O</v>
      </c>
      <c r="C1199" s="1" t="s">
        <v>1234</v>
      </c>
      <c r="D1199" s="2" t="n">
        <v>154447</v>
      </c>
      <c r="E1199" s="2" t="n">
        <f aca="false">D1199/1000</f>
        <v>154.447</v>
      </c>
      <c r="F1199" s="10" t="b">
        <f aca="false">FALSE()</f>
        <v>0</v>
      </c>
      <c r="G1199" s="0" t="n">
        <v>22</v>
      </c>
      <c r="H1199" s="0" t="n">
        <f aca="false">_xlfn.xlookup(G1199, years!A$2:A$836, years!B$2:B$836)</f>
        <v>2019</v>
      </c>
      <c r="I1199" s="2" t="n">
        <v>57</v>
      </c>
      <c r="J1199" s="0" t="n">
        <v>0.736</v>
      </c>
      <c r="K1199" s="0" t="n">
        <v>0.81</v>
      </c>
      <c r="L1199" s="3" t="str">
        <f aca="false">IF(K1199&gt;0.66,"High",IF(K1199&gt;0.33&amp;K1199&lt;=0.66,"Medium","Low"))</f>
        <v>High</v>
      </c>
      <c r="M1199" s="0" t="n">
        <v>-6.354</v>
      </c>
      <c r="N1199" s="3" t="n">
        <v>0.0906</v>
      </c>
      <c r="O1199" s="3" t="n">
        <v>0.077</v>
      </c>
      <c r="P1199" s="4" t="n">
        <v>0</v>
      </c>
      <c r="Q1199" s="3" t="n">
        <v>0.0523</v>
      </c>
      <c r="R1199" s="3" t="n">
        <v>0.387</v>
      </c>
      <c r="S1199" s="3" t="str">
        <f aca="false">IF(R1199 &gt;= 0.5, "Positive", "Negative")</f>
        <v>Negative</v>
      </c>
      <c r="T1199" s="2" t="n">
        <v>125.011</v>
      </c>
      <c r="U1199" s="0" t="s">
        <v>118</v>
      </c>
    </row>
    <row r="1200" customFormat="false" ht="14.25" hidden="false" customHeight="false" outlineLevel="0" collapsed="false">
      <c r="A1200" s="0" t="n">
        <v>244</v>
      </c>
      <c r="B1200" s="0" t="str">
        <f aca="false">_xlfn.xlookup(A1200, artists!A$2:A$836, artists!B$2:B$836)</f>
        <v>Lloyd Banks</v>
      </c>
      <c r="C1200" s="1" t="s">
        <v>1235</v>
      </c>
      <c r="D1200" s="2" t="n">
        <v>187280</v>
      </c>
      <c r="E1200" s="2" t="n">
        <f aca="false">D1200/1000</f>
        <v>187.28</v>
      </c>
      <c r="F1200" s="10" t="b">
        <f aca="false">TRUE()</f>
        <v>1</v>
      </c>
      <c r="G1200" s="0" t="n">
        <v>7</v>
      </c>
      <c r="H1200" s="0" t="n">
        <f aca="false">_xlfn.xlookup(G1200, years!A$2:A$836, years!B$2:B$836)</f>
        <v>2004</v>
      </c>
      <c r="I1200" s="2" t="n">
        <v>61</v>
      </c>
      <c r="J1200" s="0" t="n">
        <v>0.759</v>
      </c>
      <c r="K1200" s="0" t="n">
        <v>0.825</v>
      </c>
      <c r="L1200" s="3" t="str">
        <f aca="false">IF(K1200&gt;0.66,"High",IF(K1200&gt;0.33&amp;K1200&lt;=0.66,"Medium","Low"))</f>
        <v>High</v>
      </c>
      <c r="M1200" s="0" t="n">
        <v>-4.289</v>
      </c>
      <c r="N1200" s="3" t="n">
        <v>0.22</v>
      </c>
      <c r="O1200" s="3" t="n">
        <v>0.0923</v>
      </c>
      <c r="P1200" s="4" t="n">
        <v>0.00057</v>
      </c>
      <c r="Q1200" s="3" t="n">
        <v>0.24</v>
      </c>
      <c r="R1200" s="3" t="n">
        <v>0.429</v>
      </c>
      <c r="S1200" s="3" t="str">
        <f aca="false">IF(R1200 &gt;= 0.5, "Positive", "Negative")</f>
        <v>Negative</v>
      </c>
      <c r="T1200" s="2" t="n">
        <v>94.857</v>
      </c>
      <c r="U1200" s="0" t="s">
        <v>24</v>
      </c>
    </row>
    <row r="1201" customFormat="false" ht="14.25" hidden="false" customHeight="false" outlineLevel="0" collapsed="false">
      <c r="A1201" s="0" t="n">
        <v>607</v>
      </c>
      <c r="B1201" s="0" t="str">
        <f aca="false">_xlfn.xlookup(A1201, artists!A$2:A$836, artists!B$2:B$836)</f>
        <v>Meghan Trainor</v>
      </c>
      <c r="C1201" s="1" t="s">
        <v>1236</v>
      </c>
      <c r="D1201" s="2" t="n">
        <v>213506</v>
      </c>
      <c r="E1201" s="2" t="n">
        <f aca="false">D1201/1000</f>
        <v>213.506</v>
      </c>
      <c r="F1201" s="10" t="b">
        <f aca="false">FALSE()</f>
        <v>0</v>
      </c>
      <c r="G1201" s="0" t="n">
        <v>20</v>
      </c>
      <c r="H1201" s="0" t="n">
        <f aca="false">_xlfn.xlookup(G1201, years!A$2:A$836, years!B$2:B$836)</f>
        <v>2017</v>
      </c>
      <c r="I1201" s="2" t="n">
        <v>69</v>
      </c>
      <c r="J1201" s="0" t="n">
        <v>0.557</v>
      </c>
      <c r="K1201" s="0" t="n">
        <v>0.803</v>
      </c>
      <c r="L1201" s="3" t="str">
        <f aca="false">IF(K1201&gt;0.66,"High",IF(K1201&gt;0.33&amp;K1201&lt;=0.66,"Medium","Low"))</f>
        <v>High</v>
      </c>
      <c r="M1201" s="0" t="n">
        <v>-3.599</v>
      </c>
      <c r="N1201" s="3" t="n">
        <v>0.213</v>
      </c>
      <c r="O1201" s="3" t="n">
        <v>0.0124</v>
      </c>
      <c r="P1201" s="4" t="n">
        <v>1.61E-006</v>
      </c>
      <c r="Q1201" s="3" t="n">
        <v>0.737</v>
      </c>
      <c r="R1201" s="3" t="n">
        <v>0.657</v>
      </c>
      <c r="S1201" s="3" t="str">
        <f aca="false">IF(R1201 &gt;= 0.5, "Positive", "Negative")</f>
        <v>Positive</v>
      </c>
      <c r="T1201" s="2" t="n">
        <v>92.134</v>
      </c>
      <c r="U1201" s="0" t="s">
        <v>39</v>
      </c>
    </row>
    <row r="1202" customFormat="false" ht="14.25" hidden="false" customHeight="false" outlineLevel="0" collapsed="false">
      <c r="A1202" s="0" t="n">
        <v>100</v>
      </c>
      <c r="B1202" s="0" t="str">
        <f aca="false">_xlfn.xlookup(A1202, artists!A$2:A$836, artists!B$2:B$836)</f>
        <v>Jennifer Lopez</v>
      </c>
      <c r="C1202" s="1" t="s">
        <v>1237</v>
      </c>
      <c r="D1202" s="2" t="n">
        <v>284866</v>
      </c>
      <c r="E1202" s="2" t="n">
        <f aca="false">D1202/1000</f>
        <v>284.866</v>
      </c>
      <c r="F1202" s="10" t="b">
        <f aca="false">FALSE()</f>
        <v>0</v>
      </c>
      <c r="G1202" s="0" t="n">
        <v>14</v>
      </c>
      <c r="H1202" s="0" t="n">
        <f aca="false">_xlfn.xlookup(G1202, years!A$2:A$836, years!B$2:B$836)</f>
        <v>2011</v>
      </c>
      <c r="I1202" s="2" t="n">
        <v>79</v>
      </c>
      <c r="J1202" s="0" t="n">
        <v>0.73</v>
      </c>
      <c r="K1202" s="0" t="n">
        <v>0.777</v>
      </c>
      <c r="L1202" s="3" t="str">
        <f aca="false">IF(K1202&gt;0.66,"High",IF(K1202&gt;0.33&amp;K1202&lt;=0.66,"Medium","Low"))</f>
        <v>High</v>
      </c>
      <c r="M1202" s="0" t="n">
        <v>-5.194</v>
      </c>
      <c r="N1202" s="3" t="n">
        <v>0.0496</v>
      </c>
      <c r="O1202" s="3" t="n">
        <v>0.105</v>
      </c>
      <c r="P1202" s="4" t="n">
        <v>0.000478</v>
      </c>
      <c r="Q1202" s="3" t="n">
        <v>0.0691</v>
      </c>
      <c r="R1202" s="3" t="n">
        <v>0.575</v>
      </c>
      <c r="S1202" s="3" t="str">
        <f aca="false">IF(R1202 &gt;= 0.5, "Positive", "Negative")</f>
        <v>Positive</v>
      </c>
      <c r="T1202" s="2" t="n">
        <v>130</v>
      </c>
      <c r="U1202" s="0" t="s">
        <v>31</v>
      </c>
    </row>
    <row r="1203" customFormat="false" ht="14.25" hidden="false" customHeight="false" outlineLevel="0" collapsed="false">
      <c r="A1203" s="0" t="n">
        <v>300</v>
      </c>
      <c r="B1203" s="0" t="str">
        <f aca="false">_xlfn.xlookup(A1203, artists!A$2:A$836, artists!B$2:B$836)</f>
        <v>Pretty Ricky</v>
      </c>
      <c r="C1203" s="1" t="s">
        <v>1238</v>
      </c>
      <c r="D1203" s="2" t="n">
        <v>242586</v>
      </c>
      <c r="E1203" s="2" t="n">
        <f aca="false">D1203/1000</f>
        <v>242.586</v>
      </c>
      <c r="F1203" s="10" t="b">
        <f aca="false">FALSE()</f>
        <v>0</v>
      </c>
      <c r="G1203" s="0" t="n">
        <v>10</v>
      </c>
      <c r="H1203" s="0" t="n">
        <f aca="false">_xlfn.xlookup(G1203, years!A$2:A$836, years!B$2:B$836)</f>
        <v>2007</v>
      </c>
      <c r="I1203" s="2" t="n">
        <v>57</v>
      </c>
      <c r="J1203" s="0" t="n">
        <v>0.704</v>
      </c>
      <c r="K1203" s="0" t="n">
        <v>0.854</v>
      </c>
      <c r="L1203" s="3" t="str">
        <f aca="false">IF(K1203&gt;0.66,"High",IF(K1203&gt;0.33&amp;K1203&lt;=0.66,"Medium","Low"))</f>
        <v>High</v>
      </c>
      <c r="M1203" s="0" t="n">
        <v>-5.477</v>
      </c>
      <c r="N1203" s="3" t="n">
        <v>0.183</v>
      </c>
      <c r="O1203" s="3" t="n">
        <v>0.0185</v>
      </c>
      <c r="P1203" s="4" t="n">
        <v>0</v>
      </c>
      <c r="Q1203" s="3" t="n">
        <v>0.148</v>
      </c>
      <c r="R1203" s="3" t="n">
        <v>0.688</v>
      </c>
      <c r="S1203" s="3" t="str">
        <f aca="false">IF(R1203 &gt;= 0.5, "Positive", "Negative")</f>
        <v>Positive</v>
      </c>
      <c r="T1203" s="2" t="n">
        <v>92.988</v>
      </c>
      <c r="U1203" s="0" t="s">
        <v>31</v>
      </c>
    </row>
    <row r="1204" customFormat="false" ht="14.25" hidden="false" customHeight="false" outlineLevel="0" collapsed="false">
      <c r="A1204" s="0" t="n">
        <v>89</v>
      </c>
      <c r="B1204" s="0" t="str">
        <f aca="false">_xlfn.xlookup(A1204, artists!A$2:A$836, artists!B$2:B$836)</f>
        <v>Mary J. Blige</v>
      </c>
      <c r="C1204" s="1" t="s">
        <v>1239</v>
      </c>
      <c r="D1204" s="2" t="n">
        <v>260466</v>
      </c>
      <c r="E1204" s="2" t="n">
        <f aca="false">D1204/1000</f>
        <v>260.466</v>
      </c>
      <c r="F1204" s="10" t="b">
        <f aca="false">FALSE()</f>
        <v>0</v>
      </c>
      <c r="G1204" s="0" t="n">
        <v>8</v>
      </c>
      <c r="H1204" s="0" t="n">
        <f aca="false">_xlfn.xlookup(G1204, years!A$2:A$836, years!B$2:B$836)</f>
        <v>2005</v>
      </c>
      <c r="I1204" s="2" t="n">
        <v>64</v>
      </c>
      <c r="J1204" s="0" t="n">
        <v>0.344</v>
      </c>
      <c r="K1204" s="0" t="n">
        <v>0.874</v>
      </c>
      <c r="L1204" s="3" t="str">
        <f aca="false">IF(K1204&gt;0.66,"High",IF(K1204&gt;0.33&amp;K1204&lt;=0.66,"Medium","Low"))</f>
        <v>High</v>
      </c>
      <c r="M1204" s="0" t="n">
        <v>-3.161</v>
      </c>
      <c r="N1204" s="3" t="n">
        <v>0.0777</v>
      </c>
      <c r="O1204" s="3" t="n">
        <v>0.0841</v>
      </c>
      <c r="P1204" s="4" t="n">
        <v>0</v>
      </c>
      <c r="Q1204" s="3" t="n">
        <v>0.129</v>
      </c>
      <c r="R1204" s="3" t="n">
        <v>0.269</v>
      </c>
      <c r="S1204" s="3" t="str">
        <f aca="false">IF(R1204 &gt;= 0.5, "Positive", "Negative")</f>
        <v>Negative</v>
      </c>
      <c r="T1204" s="2" t="n">
        <v>185.888</v>
      </c>
      <c r="U1204" s="0" t="s">
        <v>33</v>
      </c>
    </row>
    <row r="1205" customFormat="false" ht="14.25" hidden="false" customHeight="false" outlineLevel="0" collapsed="false">
      <c r="A1205" s="0" t="n">
        <v>480</v>
      </c>
      <c r="B1205" s="0" t="str">
        <f aca="false">_xlfn.xlookup(A1205, artists!A$2:A$836, artists!B$2:B$836)</f>
        <v>Swedish House Mafia</v>
      </c>
      <c r="C1205" s="1" t="s">
        <v>1240</v>
      </c>
      <c r="D1205" s="2" t="n">
        <v>163246</v>
      </c>
      <c r="E1205" s="2" t="n">
        <f aca="false">D1205/1000</f>
        <v>163.246</v>
      </c>
      <c r="F1205" s="10" t="b">
        <f aca="false">FALSE()</f>
        <v>0</v>
      </c>
      <c r="G1205" s="0" t="n">
        <v>13</v>
      </c>
      <c r="H1205" s="0" t="n">
        <f aca="false">_xlfn.xlookup(G1205, years!A$2:A$836, years!B$2:B$836)</f>
        <v>2010</v>
      </c>
      <c r="I1205" s="2" t="n">
        <v>63</v>
      </c>
      <c r="J1205" s="0" t="n">
        <v>0.733</v>
      </c>
      <c r="K1205" s="0" t="n">
        <v>0.673</v>
      </c>
      <c r="L1205" s="3" t="str">
        <f aca="false">IF(K1205&gt;0.66,"High",IF(K1205&gt;0.33&amp;K1205&lt;=0.66,"Medium","Low"))</f>
        <v>High</v>
      </c>
      <c r="M1205" s="0" t="n">
        <v>-6.572</v>
      </c>
      <c r="N1205" s="3" t="n">
        <v>0.0333</v>
      </c>
      <c r="O1205" s="3" t="n">
        <v>0.0132</v>
      </c>
      <c r="P1205" s="4" t="n">
        <v>0.0049</v>
      </c>
      <c r="Q1205" s="3" t="n">
        <v>0.16</v>
      </c>
      <c r="R1205" s="3" t="n">
        <v>0.636</v>
      </c>
      <c r="S1205" s="3" t="str">
        <f aca="false">IF(R1205 &gt;= 0.5, "Positive", "Negative")</f>
        <v>Positive</v>
      </c>
      <c r="T1205" s="2" t="n">
        <v>125.061</v>
      </c>
      <c r="U1205" s="0" t="s">
        <v>22</v>
      </c>
    </row>
    <row r="1206" customFormat="false" ht="14.25" hidden="false" customHeight="false" outlineLevel="0" collapsed="false">
      <c r="A1206" s="0" t="n">
        <v>213</v>
      </c>
      <c r="B1206" s="0" t="str">
        <f aca="false">_xlfn.xlookup(A1206, artists!A$2:A$836, artists!B$2:B$836)</f>
        <v>Chingy</v>
      </c>
      <c r="C1206" s="1" t="s">
        <v>1241</v>
      </c>
      <c r="D1206" s="2" t="n">
        <v>276800</v>
      </c>
      <c r="E1206" s="2" t="n">
        <f aca="false">D1206/1000</f>
        <v>276.8</v>
      </c>
      <c r="F1206" s="10" t="b">
        <f aca="false">FALSE()</f>
        <v>0</v>
      </c>
      <c r="G1206" s="0" t="n">
        <v>6</v>
      </c>
      <c r="H1206" s="0" t="n">
        <f aca="false">_xlfn.xlookup(G1206, years!A$2:A$836, years!B$2:B$836)</f>
        <v>2003</v>
      </c>
      <c r="I1206" s="2" t="n">
        <v>61</v>
      </c>
      <c r="J1206" s="0" t="n">
        <v>0.765</v>
      </c>
      <c r="K1206" s="0" t="n">
        <v>0.821</v>
      </c>
      <c r="L1206" s="3" t="str">
        <f aca="false">IF(K1206&gt;0.66,"High",IF(K1206&gt;0.33&amp;K1206&lt;=0.66,"Medium","Low"))</f>
        <v>High</v>
      </c>
      <c r="M1206" s="0" t="n">
        <v>-5.926</v>
      </c>
      <c r="N1206" s="3" t="n">
        <v>0.183</v>
      </c>
      <c r="O1206" s="3" t="n">
        <v>0.0918</v>
      </c>
      <c r="P1206" s="4" t="n">
        <v>0</v>
      </c>
      <c r="Q1206" s="3" t="n">
        <v>0.217</v>
      </c>
      <c r="R1206" s="3" t="n">
        <v>0.962</v>
      </c>
      <c r="S1206" s="3" t="str">
        <f aca="false">IF(R1206 &gt;= 0.5, "Positive", "Negative")</f>
        <v>Positive</v>
      </c>
      <c r="T1206" s="2" t="n">
        <v>162.519</v>
      </c>
      <c r="U1206" s="0" t="s">
        <v>31</v>
      </c>
    </row>
    <row r="1207" customFormat="false" ht="14.25" hidden="false" customHeight="false" outlineLevel="0" collapsed="false">
      <c r="A1207" s="0" t="n">
        <v>455</v>
      </c>
      <c r="B1207" s="0" t="str">
        <f aca="false">_xlfn.xlookup(A1207, artists!A$2:A$836, artists!B$2:B$836)</f>
        <v>Drake</v>
      </c>
      <c r="C1207" s="1" t="s">
        <v>1242</v>
      </c>
      <c r="D1207" s="2" t="n">
        <v>173986</v>
      </c>
      <c r="E1207" s="2" t="n">
        <f aca="false">D1207/1000</f>
        <v>173.986</v>
      </c>
      <c r="F1207" s="10" t="b">
        <f aca="false">FALSE()</f>
        <v>0</v>
      </c>
      <c r="G1207" s="0" t="n">
        <v>19</v>
      </c>
      <c r="H1207" s="0" t="n">
        <f aca="false">_xlfn.xlookup(G1207, years!A$2:A$836, years!B$2:B$836)</f>
        <v>2016</v>
      </c>
      <c r="I1207" s="2" t="n">
        <v>84</v>
      </c>
      <c r="J1207" s="0" t="n">
        <v>0.792</v>
      </c>
      <c r="K1207" s="0" t="n">
        <v>0.625</v>
      </c>
      <c r="L1207" s="3" t="str">
        <f aca="false">IF(K1207&gt;0.66,"High",IF(K1207&gt;0.33&amp;K1207&lt;=0.66,"Medium","Low"))</f>
        <v>Low</v>
      </c>
      <c r="M1207" s="0" t="n">
        <v>-5.609</v>
      </c>
      <c r="N1207" s="3" t="n">
        <v>0.0536</v>
      </c>
      <c r="O1207" s="3" t="n">
        <v>0.00776</v>
      </c>
      <c r="P1207" s="4" t="n">
        <v>0.0018</v>
      </c>
      <c r="Q1207" s="3" t="n">
        <v>0.329</v>
      </c>
      <c r="R1207" s="3" t="n">
        <v>0.37</v>
      </c>
      <c r="S1207" s="3" t="str">
        <f aca="false">IF(R1207 &gt;= 0.5, "Positive", "Negative")</f>
        <v>Negative</v>
      </c>
      <c r="T1207" s="2" t="n">
        <v>103.967</v>
      </c>
      <c r="U1207" s="0" t="s">
        <v>31</v>
      </c>
    </row>
    <row r="1208" customFormat="false" ht="14.25" hidden="false" customHeight="false" outlineLevel="0" collapsed="false">
      <c r="A1208" s="0" t="n">
        <v>543</v>
      </c>
      <c r="B1208" s="0" t="str">
        <f aca="false">_xlfn.xlookup(A1208, artists!A$2:A$836, artists!B$2:B$836)</f>
        <v>Asaf Avidan &amp; the Mojos</v>
      </c>
      <c r="C1208" s="1" t="s">
        <v>1243</v>
      </c>
      <c r="D1208" s="2" t="n">
        <v>212360</v>
      </c>
      <c r="E1208" s="2" t="n">
        <f aca="false">D1208/1000</f>
        <v>212.36</v>
      </c>
      <c r="F1208" s="10" t="b">
        <f aca="false">FALSE()</f>
        <v>0</v>
      </c>
      <c r="G1208" s="0" t="n">
        <v>15</v>
      </c>
      <c r="H1208" s="0" t="n">
        <f aca="false">_xlfn.xlookup(G1208, years!A$2:A$836, years!B$2:B$836)</f>
        <v>2012</v>
      </c>
      <c r="I1208" s="2" t="n">
        <v>0</v>
      </c>
      <c r="J1208" s="0" t="n">
        <v>0.821</v>
      </c>
      <c r="K1208" s="0" t="n">
        <v>0.676</v>
      </c>
      <c r="L1208" s="3" t="str">
        <f aca="false">IF(K1208&gt;0.66,"High",IF(K1208&gt;0.33&amp;K1208&lt;=0.66,"Medium","Low"))</f>
        <v>High</v>
      </c>
      <c r="M1208" s="0" t="n">
        <v>-6.366</v>
      </c>
      <c r="N1208" s="3" t="n">
        <v>0.0547</v>
      </c>
      <c r="O1208" s="3" t="n">
        <v>0.187</v>
      </c>
      <c r="P1208" s="4" t="n">
        <v>0.0001</v>
      </c>
      <c r="Q1208" s="3" t="n">
        <v>0.0927</v>
      </c>
      <c r="R1208" s="3" t="n">
        <v>0.559</v>
      </c>
      <c r="S1208" s="3" t="str">
        <f aca="false">IF(R1208 &gt;= 0.5, "Positive", "Negative")</f>
        <v>Positive</v>
      </c>
      <c r="T1208" s="2" t="n">
        <v>119.012</v>
      </c>
      <c r="U1208" s="0" t="s">
        <v>39</v>
      </c>
    </row>
    <row r="1209" customFormat="false" ht="14.25" hidden="false" customHeight="false" outlineLevel="0" collapsed="false">
      <c r="A1209" s="0" t="n">
        <v>729</v>
      </c>
      <c r="B1209" s="0" t="str">
        <f aca="false">_xlfn.xlookup(A1209, artists!A$2:A$836, artists!B$2:B$836)</f>
        <v>Ayo &amp; Teo</v>
      </c>
      <c r="C1209" s="1" t="s">
        <v>1244</v>
      </c>
      <c r="D1209" s="2" t="n">
        <v>238586</v>
      </c>
      <c r="E1209" s="2" t="n">
        <f aca="false">D1209/1000</f>
        <v>238.586</v>
      </c>
      <c r="F1209" s="10" t="b">
        <f aca="false">FALSE()</f>
        <v>0</v>
      </c>
      <c r="G1209" s="0" t="n">
        <v>20</v>
      </c>
      <c r="H1209" s="0" t="n">
        <f aca="false">_xlfn.xlookup(G1209, years!A$2:A$836, years!B$2:B$836)</f>
        <v>2017</v>
      </c>
      <c r="I1209" s="2" t="n">
        <v>69</v>
      </c>
      <c r="J1209" s="0" t="n">
        <v>0.804</v>
      </c>
      <c r="K1209" s="0" t="n">
        <v>0.886</v>
      </c>
      <c r="L1209" s="3" t="str">
        <f aca="false">IF(K1209&gt;0.66,"High",IF(K1209&gt;0.33&amp;K1209&lt;=0.66,"Medium","Low"))</f>
        <v>High</v>
      </c>
      <c r="M1209" s="0" t="n">
        <v>-2.512</v>
      </c>
      <c r="N1209" s="3" t="n">
        <v>0.04</v>
      </c>
      <c r="O1209" s="3" t="n">
        <v>0.0837</v>
      </c>
      <c r="P1209" s="4" t="n">
        <v>0</v>
      </c>
      <c r="Q1209" s="3" t="n">
        <v>0.266</v>
      </c>
      <c r="R1209" s="3" t="n">
        <v>0.789</v>
      </c>
      <c r="S1209" s="3" t="str">
        <f aca="false">IF(R1209 &gt;= 0.5, "Positive", "Negative")</f>
        <v>Positive</v>
      </c>
      <c r="T1209" s="2" t="n">
        <v>144.946</v>
      </c>
      <c r="U1209" s="0" t="s">
        <v>24</v>
      </c>
    </row>
    <row r="1210" customFormat="false" ht="14.25" hidden="false" customHeight="false" outlineLevel="0" collapsed="false">
      <c r="A1210" s="0" t="n">
        <v>692</v>
      </c>
      <c r="B1210" s="0" t="str">
        <f aca="false">_xlfn.xlookup(A1210, artists!A$2:A$836, artists!B$2:B$836)</f>
        <v>Cheat Codes</v>
      </c>
      <c r="C1210" s="1" t="s">
        <v>1245</v>
      </c>
      <c r="D1210" s="2" t="n">
        <v>223503</v>
      </c>
      <c r="E1210" s="2" t="n">
        <f aca="false">D1210/1000</f>
        <v>223.503</v>
      </c>
      <c r="F1210" s="10" t="b">
        <f aca="false">FALSE()</f>
        <v>0</v>
      </c>
      <c r="G1210" s="0" t="n">
        <v>20</v>
      </c>
      <c r="H1210" s="0" t="n">
        <f aca="false">_xlfn.xlookup(G1210, years!A$2:A$836, years!B$2:B$836)</f>
        <v>2017</v>
      </c>
      <c r="I1210" s="2" t="n">
        <v>68</v>
      </c>
      <c r="J1210" s="0" t="n">
        <v>0.741</v>
      </c>
      <c r="K1210" s="0" t="n">
        <v>0.667</v>
      </c>
      <c r="L1210" s="3" t="str">
        <f aca="false">IF(K1210&gt;0.66,"High",IF(K1210&gt;0.33&amp;K1210&lt;=0.66,"Medium","Low"))</f>
        <v>High</v>
      </c>
      <c r="M1210" s="0" t="n">
        <v>-5.445</v>
      </c>
      <c r="N1210" s="3" t="n">
        <v>0.134</v>
      </c>
      <c r="O1210" s="3" t="n">
        <v>0.0575</v>
      </c>
      <c r="P1210" s="4" t="n">
        <v>0</v>
      </c>
      <c r="Q1210" s="3" t="n">
        <v>0.106</v>
      </c>
      <c r="R1210" s="3" t="n">
        <v>0.595</v>
      </c>
      <c r="S1210" s="3" t="str">
        <f aca="false">IF(R1210 &gt;= 0.5, "Positive", "Negative")</f>
        <v>Positive</v>
      </c>
      <c r="T1210" s="2" t="n">
        <v>112.956</v>
      </c>
      <c r="U1210" s="0" t="s">
        <v>22</v>
      </c>
    </row>
    <row r="1211" customFormat="false" ht="14.25" hidden="false" customHeight="false" outlineLevel="0" collapsed="false">
      <c r="A1211" s="0" t="n">
        <v>600</v>
      </c>
      <c r="B1211" s="0" t="str">
        <f aca="false">_xlfn.xlookup(A1211, artists!A$2:A$836, artists!B$2:B$836)</f>
        <v>Ariana Grande</v>
      </c>
      <c r="C1211" s="1" t="s">
        <v>1246</v>
      </c>
      <c r="D1211" s="2" t="n">
        <v>197266</v>
      </c>
      <c r="E1211" s="2" t="n">
        <f aca="false">D1211/1000</f>
        <v>197.266</v>
      </c>
      <c r="F1211" s="10" t="b">
        <f aca="false">FALSE()</f>
        <v>0</v>
      </c>
      <c r="G1211" s="0" t="n">
        <v>17</v>
      </c>
      <c r="H1211" s="0" t="n">
        <f aca="false">_xlfn.xlookup(G1211, years!A$2:A$836, years!B$2:B$836)</f>
        <v>2014</v>
      </c>
      <c r="I1211" s="2" t="n">
        <v>79</v>
      </c>
      <c r="J1211" s="0" t="n">
        <v>0.628</v>
      </c>
      <c r="K1211" s="0" t="n">
        <v>0.593</v>
      </c>
      <c r="L1211" s="3" t="str">
        <f aca="false">IF(K1211&gt;0.66,"High",IF(K1211&gt;0.33&amp;K1211&lt;=0.66,"Medium","Low"))</f>
        <v>Low</v>
      </c>
      <c r="M1211" s="0" t="n">
        <v>-5.036</v>
      </c>
      <c r="N1211" s="3" t="n">
        <v>0.0323</v>
      </c>
      <c r="O1211" s="3" t="n">
        <v>0.093</v>
      </c>
      <c r="P1211" s="4" t="n">
        <v>1.65E-006</v>
      </c>
      <c r="Q1211" s="3" t="n">
        <v>0.096</v>
      </c>
      <c r="R1211" s="3" t="n">
        <v>0.104</v>
      </c>
      <c r="S1211" s="3" t="str">
        <f aca="false">IF(R1211 &gt;= 0.5, "Positive", "Negative")</f>
        <v>Negative</v>
      </c>
      <c r="T1211" s="2" t="n">
        <v>125.026</v>
      </c>
      <c r="U1211" s="0" t="s">
        <v>39</v>
      </c>
    </row>
    <row r="1212" customFormat="false" ht="14.25" hidden="false" customHeight="false" outlineLevel="0" collapsed="false">
      <c r="A1212" s="0" t="n">
        <v>151</v>
      </c>
      <c r="B1212" s="0" t="str">
        <f aca="false">_xlfn.xlookup(A1212, artists!A$2:A$836, artists!B$2:B$836)</f>
        <v>Busta Rhymes</v>
      </c>
      <c r="C1212" s="1" t="s">
        <v>1247</v>
      </c>
      <c r="D1212" s="2" t="n">
        <v>324306</v>
      </c>
      <c r="E1212" s="2" t="n">
        <f aca="false">D1212/1000</f>
        <v>324.306</v>
      </c>
      <c r="F1212" s="10" t="b">
        <f aca="false">TRUE()</f>
        <v>1</v>
      </c>
      <c r="G1212" s="0" t="n">
        <v>5</v>
      </c>
      <c r="H1212" s="0" t="n">
        <f aca="false">_xlfn.xlookup(G1212, years!A$2:A$836, years!B$2:B$836)</f>
        <v>2002</v>
      </c>
      <c r="I1212" s="2" t="n">
        <v>68</v>
      </c>
      <c r="J1212" s="0" t="n">
        <v>0.648</v>
      </c>
      <c r="K1212" s="0" t="n">
        <v>0.759</v>
      </c>
      <c r="L1212" s="3" t="str">
        <f aca="false">IF(K1212&gt;0.66,"High",IF(K1212&gt;0.33&amp;K1212&lt;=0.66,"Medium","Low"))</f>
        <v>High</v>
      </c>
      <c r="M1212" s="0" t="n">
        <v>-4.315</v>
      </c>
      <c r="N1212" s="3" t="n">
        <v>0.306</v>
      </c>
      <c r="O1212" s="3" t="n">
        <v>0.0142</v>
      </c>
      <c r="P1212" s="4" t="n">
        <v>0</v>
      </c>
      <c r="Q1212" s="3" t="n">
        <v>0.648</v>
      </c>
      <c r="R1212" s="3" t="n">
        <v>0.518</v>
      </c>
      <c r="S1212" s="3" t="str">
        <f aca="false">IF(R1212 &gt;= 0.5, "Positive", "Negative")</f>
        <v>Positive</v>
      </c>
      <c r="T1212" s="2" t="n">
        <v>85.996</v>
      </c>
      <c r="U1212" s="0" t="s">
        <v>24</v>
      </c>
    </row>
    <row r="1213" customFormat="false" ht="14.25" hidden="false" customHeight="false" outlineLevel="0" collapsed="false">
      <c r="A1213" s="0" t="n">
        <v>41</v>
      </c>
      <c r="B1213" s="0" t="str">
        <f aca="false">_xlfn.xlookup(A1213, artists!A$2:A$836, artists!B$2:B$836)</f>
        <v>Missy Elliott</v>
      </c>
      <c r="C1213" s="1" t="s">
        <v>1248</v>
      </c>
      <c r="D1213" s="2" t="n">
        <v>252986</v>
      </c>
      <c r="E1213" s="2" t="n">
        <f aca="false">D1213/1000</f>
        <v>252.986</v>
      </c>
      <c r="F1213" s="10" t="b">
        <f aca="false">TRUE()</f>
        <v>1</v>
      </c>
      <c r="G1213" s="0" t="n">
        <v>4</v>
      </c>
      <c r="H1213" s="0" t="n">
        <f aca="false">_xlfn.xlookup(G1213, years!A$2:A$836, years!B$2:B$836)</f>
        <v>2001</v>
      </c>
      <c r="I1213" s="2" t="n">
        <v>57</v>
      </c>
      <c r="J1213" s="0" t="n">
        <v>0.622</v>
      </c>
      <c r="K1213" s="0" t="n">
        <v>0.669</v>
      </c>
      <c r="L1213" s="3" t="str">
        <f aca="false">IF(K1213&gt;0.66,"High",IF(K1213&gt;0.33&amp;K1213&lt;=0.66,"Medium","Low"))</f>
        <v>High</v>
      </c>
      <c r="M1213" s="0" t="n">
        <v>-8.419</v>
      </c>
      <c r="N1213" s="3" t="n">
        <v>0.329</v>
      </c>
      <c r="O1213" s="3" t="n">
        <v>0.0266</v>
      </c>
      <c r="P1213" s="4" t="n">
        <v>2.97E-006</v>
      </c>
      <c r="Q1213" s="3" t="n">
        <v>0.152</v>
      </c>
      <c r="R1213" s="3" t="n">
        <v>0.57</v>
      </c>
      <c r="S1213" s="3" t="str">
        <f aca="false">IF(R1213 &gt;= 0.5, "Positive", "Negative")</f>
        <v>Positive</v>
      </c>
      <c r="T1213" s="2" t="n">
        <v>93.839</v>
      </c>
      <c r="U1213" s="0" t="s">
        <v>31</v>
      </c>
    </row>
    <row r="1214" customFormat="false" ht="14.25" hidden="false" customHeight="false" outlineLevel="0" collapsed="false">
      <c r="A1214" s="0" t="n">
        <v>236</v>
      </c>
      <c r="B1214" s="0" t="str">
        <f aca="false">_xlfn.xlookup(A1214, artists!A$2:A$836, artists!B$2:B$836)</f>
        <v>Maroon 5</v>
      </c>
      <c r="C1214" s="1" t="s">
        <v>1249</v>
      </c>
      <c r="D1214" s="2" t="n">
        <v>219546</v>
      </c>
      <c r="E1214" s="2" t="n">
        <f aca="false">D1214/1000</f>
        <v>219.546</v>
      </c>
      <c r="F1214" s="10" t="b">
        <f aca="false">FALSE()</f>
        <v>0</v>
      </c>
      <c r="G1214" s="0" t="n">
        <v>15</v>
      </c>
      <c r="H1214" s="0" t="n">
        <f aca="false">_xlfn.xlookup(G1214, years!A$2:A$836, years!B$2:B$836)</f>
        <v>2012</v>
      </c>
      <c r="I1214" s="2" t="n">
        <v>74</v>
      </c>
      <c r="J1214" s="0" t="n">
        <v>0.716</v>
      </c>
      <c r="K1214" s="0" t="n">
        <v>0.821</v>
      </c>
      <c r="L1214" s="3" t="str">
        <f aca="false">IF(K1214&gt;0.66,"High",IF(K1214&gt;0.33&amp;K1214&lt;=0.66,"Medium","Low"))</f>
        <v>High</v>
      </c>
      <c r="M1214" s="0" t="n">
        <v>-3.435</v>
      </c>
      <c r="N1214" s="3" t="n">
        <v>0.0314</v>
      </c>
      <c r="O1214" s="3" t="n">
        <v>0.0558</v>
      </c>
      <c r="P1214" s="4" t="n">
        <v>0</v>
      </c>
      <c r="Q1214" s="3" t="n">
        <v>0.0844</v>
      </c>
      <c r="R1214" s="3" t="n">
        <v>0.618</v>
      </c>
      <c r="S1214" s="3" t="str">
        <f aca="false">IF(R1214 &gt;= 0.5, "Positive", "Negative")</f>
        <v>Positive</v>
      </c>
      <c r="T1214" s="2" t="n">
        <v>92.997</v>
      </c>
      <c r="U1214" s="0" t="s">
        <v>39</v>
      </c>
    </row>
    <row r="1215" customFormat="false" ht="14.25" hidden="false" customHeight="false" outlineLevel="0" collapsed="false">
      <c r="A1215" s="0" t="n">
        <v>103</v>
      </c>
      <c r="B1215" s="0" t="str">
        <f aca="false">_xlfn.xlookup(A1215, artists!A$2:A$836, artists!B$2:B$836)</f>
        <v>Daft Punk</v>
      </c>
      <c r="C1215" s="1" t="s">
        <v>1250</v>
      </c>
      <c r="D1215" s="2" t="n">
        <v>320357</v>
      </c>
      <c r="E1215" s="2" t="n">
        <f aca="false">D1215/1000</f>
        <v>320.357</v>
      </c>
      <c r="F1215" s="10" t="b">
        <f aca="false">FALSE()</f>
        <v>0</v>
      </c>
      <c r="G1215" s="0" t="n">
        <v>4</v>
      </c>
      <c r="H1215" s="0" t="n">
        <f aca="false">_xlfn.xlookup(G1215, years!A$2:A$836, years!B$2:B$836)</f>
        <v>2001</v>
      </c>
      <c r="I1215" s="2" t="n">
        <v>76</v>
      </c>
      <c r="J1215" s="0" t="n">
        <v>0.613</v>
      </c>
      <c r="K1215" s="0" t="n">
        <v>0.697</v>
      </c>
      <c r="L1215" s="3" t="str">
        <f aca="false">IF(K1215&gt;0.66,"High",IF(K1215&gt;0.33&amp;K1215&lt;=0.66,"Medium","Low"))</f>
        <v>High</v>
      </c>
      <c r="M1215" s="0" t="n">
        <v>-8.618</v>
      </c>
      <c r="N1215" s="3" t="n">
        <v>0.133</v>
      </c>
      <c r="O1215" s="3" t="n">
        <v>0.0194</v>
      </c>
      <c r="P1215" s="4" t="n">
        <v>0</v>
      </c>
      <c r="Q1215" s="3" t="n">
        <v>0.332</v>
      </c>
      <c r="R1215" s="3" t="n">
        <v>0.476</v>
      </c>
      <c r="S1215" s="3" t="str">
        <f aca="false">IF(R1215 &gt;= 0.5, "Positive", "Negative")</f>
        <v>Negative</v>
      </c>
      <c r="T1215" s="2" t="n">
        <v>122.746</v>
      </c>
      <c r="U1215" s="0" t="s">
        <v>143</v>
      </c>
    </row>
    <row r="1216" customFormat="false" ht="14.25" hidden="false" customHeight="false" outlineLevel="0" collapsed="false">
      <c r="A1216" s="0" t="n">
        <v>427</v>
      </c>
      <c r="B1216" s="0" t="str">
        <f aca="false">_xlfn.xlookup(A1216, artists!A$2:A$836, artists!B$2:B$836)</f>
        <v>Jordin Sparks</v>
      </c>
      <c r="C1216" s="1" t="s">
        <v>1251</v>
      </c>
      <c r="D1216" s="2" t="n">
        <v>205160</v>
      </c>
      <c r="E1216" s="2" t="n">
        <f aca="false">D1216/1000</f>
        <v>205.16</v>
      </c>
      <c r="F1216" s="10" t="b">
        <f aca="false">FALSE()</f>
        <v>0</v>
      </c>
      <c r="G1216" s="0" t="n">
        <v>10</v>
      </c>
      <c r="H1216" s="0" t="n">
        <f aca="false">_xlfn.xlookup(G1216, years!A$2:A$836, years!B$2:B$836)</f>
        <v>2007</v>
      </c>
      <c r="I1216" s="2" t="n">
        <v>56</v>
      </c>
      <c r="J1216" s="0" t="n">
        <v>0.766</v>
      </c>
      <c r="K1216" s="0" t="n">
        <v>0.692</v>
      </c>
      <c r="L1216" s="3" t="str">
        <f aca="false">IF(K1216&gt;0.66,"High",IF(K1216&gt;0.33&amp;K1216&lt;=0.66,"Medium","Low"))</f>
        <v>High</v>
      </c>
      <c r="M1216" s="0" t="n">
        <v>-4.672</v>
      </c>
      <c r="N1216" s="3" t="n">
        <v>0.0289</v>
      </c>
      <c r="O1216" s="3" t="n">
        <v>0.0825</v>
      </c>
      <c r="P1216" s="4" t="n">
        <v>0</v>
      </c>
      <c r="Q1216" s="3" t="n">
        <v>0.0384</v>
      </c>
      <c r="R1216" s="3" t="n">
        <v>0.691</v>
      </c>
      <c r="S1216" s="3" t="str">
        <f aca="false">IF(R1216 &gt;= 0.5, "Positive", "Negative")</f>
        <v>Positive</v>
      </c>
      <c r="T1216" s="2" t="n">
        <v>102.028</v>
      </c>
      <c r="U1216" s="0" t="s">
        <v>33</v>
      </c>
    </row>
    <row r="1217" customFormat="false" ht="14.25" hidden="false" customHeight="false" outlineLevel="0" collapsed="false">
      <c r="A1217" s="0" t="n">
        <v>696</v>
      </c>
      <c r="B1217" s="0" t="str">
        <f aca="false">_xlfn.xlookup(A1217, artists!A$2:A$836, artists!B$2:B$836)</f>
        <v>Marshmello</v>
      </c>
      <c r="C1217" s="1" t="s">
        <v>1252</v>
      </c>
      <c r="D1217" s="2" t="n">
        <v>181823</v>
      </c>
      <c r="E1217" s="2" t="n">
        <f aca="false">D1217/1000</f>
        <v>181.823</v>
      </c>
      <c r="F1217" s="10" t="b">
        <f aca="false">FALSE()</f>
        <v>0</v>
      </c>
      <c r="G1217" s="0" t="n">
        <v>22</v>
      </c>
      <c r="H1217" s="0" t="n">
        <f aca="false">_xlfn.xlookup(G1217, years!A$2:A$836, years!B$2:B$836)</f>
        <v>2019</v>
      </c>
      <c r="I1217" s="2" t="n">
        <v>73</v>
      </c>
      <c r="J1217" s="0" t="n">
        <v>0.659</v>
      </c>
      <c r="K1217" s="0" t="n">
        <v>0.625</v>
      </c>
      <c r="L1217" s="3" t="str">
        <f aca="false">IF(K1217&gt;0.66,"High",IF(K1217&gt;0.33&amp;K1217&lt;=0.66,"Medium","Low"))</f>
        <v>Low</v>
      </c>
      <c r="M1217" s="0" t="n">
        <v>-2.253</v>
      </c>
      <c r="N1217" s="3" t="n">
        <v>0.045</v>
      </c>
      <c r="O1217" s="3" t="n">
        <v>0.0644</v>
      </c>
      <c r="P1217" s="4" t="n">
        <v>0</v>
      </c>
      <c r="Q1217" s="3" t="n">
        <v>0.582</v>
      </c>
      <c r="R1217" s="3" t="n">
        <v>0.442</v>
      </c>
      <c r="S1217" s="3" t="str">
        <f aca="false">IF(R1217 &gt;= 0.5, "Positive", "Negative")</f>
        <v>Negative</v>
      </c>
      <c r="T1217" s="2" t="n">
        <v>88.042</v>
      </c>
      <c r="U1217" s="0" t="s">
        <v>22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1253</v>
      </c>
      <c r="D1218" s="2" t="n">
        <v>215866</v>
      </c>
      <c r="E1218" s="2" t="n">
        <f aca="false">D1218/1000</f>
        <v>215.866</v>
      </c>
      <c r="F1218" s="10" t="b">
        <f aca="false">FALSE()</f>
        <v>0</v>
      </c>
      <c r="G1218" s="0" t="n">
        <v>12</v>
      </c>
      <c r="H1218" s="0" t="n">
        <f aca="false">_xlfn.xlookup(G1218, years!A$2:A$836, years!B$2:B$836)</f>
        <v>2009</v>
      </c>
      <c r="I1218" s="2" t="n">
        <v>71</v>
      </c>
      <c r="J1218" s="0" t="n">
        <v>0.691</v>
      </c>
      <c r="K1218" s="0" t="n">
        <v>0.853</v>
      </c>
      <c r="L1218" s="3" t="str">
        <f aca="false">IF(K1218&gt;0.66,"High",IF(K1218&gt;0.33&amp;K1218&lt;=0.66,"Medium","Low"))</f>
        <v>High</v>
      </c>
      <c r="M1218" s="0" t="n">
        <v>-2.528</v>
      </c>
      <c r="N1218" s="3" t="n">
        <v>0.0372</v>
      </c>
      <c r="O1218" s="3" t="n">
        <v>0.0631</v>
      </c>
      <c r="P1218" s="4" t="n">
        <v>7.13E-005</v>
      </c>
      <c r="Q1218" s="3" t="n">
        <v>0.082</v>
      </c>
      <c r="R1218" s="3" t="n">
        <v>0.762</v>
      </c>
      <c r="S1218" s="3" t="str">
        <f aca="false">IF(R1218 &gt;= 0.5, "Positive", "Negative")</f>
        <v>Positive</v>
      </c>
      <c r="T1218" s="2" t="n">
        <v>145.999</v>
      </c>
      <c r="U1218" s="0" t="s">
        <v>39</v>
      </c>
    </row>
    <row r="1219" customFormat="false" ht="14.25" hidden="false" customHeight="false" outlineLevel="0" collapsed="false">
      <c r="A1219" s="0" t="n">
        <v>560</v>
      </c>
      <c r="B1219" s="0" t="str">
        <f aca="false">_xlfn.xlookup(A1219, artists!A$2:A$836, artists!B$2:B$836)</f>
        <v>One Direction</v>
      </c>
      <c r="C1219" s="1" t="s">
        <v>1254</v>
      </c>
      <c r="D1219" s="2" t="n">
        <v>157293</v>
      </c>
      <c r="E1219" s="2" t="n">
        <f aca="false">D1219/1000</f>
        <v>157.293</v>
      </c>
      <c r="F1219" s="10" t="b">
        <f aca="false">FALSE()</f>
        <v>0</v>
      </c>
      <c r="G1219" s="0" t="n">
        <v>16</v>
      </c>
      <c r="H1219" s="0" t="n">
        <f aca="false">_xlfn.xlookup(G1219, years!A$2:A$836, years!B$2:B$836)</f>
        <v>2013</v>
      </c>
      <c r="I1219" s="2" t="n">
        <v>66</v>
      </c>
      <c r="J1219" s="0" t="n">
        <v>0.489</v>
      </c>
      <c r="K1219" s="0" t="n">
        <v>0.867</v>
      </c>
      <c r="L1219" s="3" t="str">
        <f aca="false">IF(K1219&gt;0.66,"High",IF(K1219&gt;0.33&amp;K1219&lt;=0.66,"Medium","Low"))</f>
        <v>High</v>
      </c>
      <c r="M1219" s="0" t="n">
        <v>-3.121</v>
      </c>
      <c r="N1219" s="3" t="n">
        <v>0.071</v>
      </c>
      <c r="O1219" s="3" t="n">
        <v>0.025</v>
      </c>
      <c r="P1219" s="4" t="n">
        <v>0</v>
      </c>
      <c r="Q1219" s="3" t="n">
        <v>0.586</v>
      </c>
      <c r="R1219" s="3" t="n">
        <v>0.409</v>
      </c>
      <c r="S1219" s="3" t="str">
        <f aca="false">IF(R1219 &gt;= 0.5, "Positive", "Negative")</f>
        <v>Negative</v>
      </c>
      <c r="T1219" s="2" t="n">
        <v>162.131</v>
      </c>
      <c r="U1219" s="0" t="s">
        <v>39</v>
      </c>
    </row>
    <row r="1220" customFormat="false" ht="14.25" hidden="false" customHeight="false" outlineLevel="0" collapsed="false">
      <c r="A1220" s="0" t="n">
        <v>306</v>
      </c>
      <c r="B1220" s="0" t="str">
        <f aca="false">_xlfn.xlookup(A1220, artists!A$2:A$836, artists!B$2:B$836)</f>
        <v>Ray J</v>
      </c>
      <c r="C1220" s="1" t="s">
        <v>1255</v>
      </c>
      <c r="D1220" s="2" t="n">
        <v>337640</v>
      </c>
      <c r="E1220" s="2" t="n">
        <f aca="false">D1220/1000</f>
        <v>337.64</v>
      </c>
      <c r="F1220" s="10" t="b">
        <f aca="false">FALSE()</f>
        <v>0</v>
      </c>
      <c r="G1220" s="0" t="n">
        <v>8</v>
      </c>
      <c r="H1220" s="0" t="n">
        <f aca="false">_xlfn.xlookup(G1220, years!A$2:A$836, years!B$2:B$836)</f>
        <v>2005</v>
      </c>
      <c r="I1220" s="2" t="n">
        <v>62</v>
      </c>
      <c r="J1220" s="0" t="n">
        <v>0.525</v>
      </c>
      <c r="K1220" s="0" t="n">
        <v>0.652</v>
      </c>
      <c r="L1220" s="3" t="str">
        <f aca="false">IF(K1220&gt;0.66,"High",IF(K1220&gt;0.33&amp;K1220&lt;=0.66,"Medium","Low"))</f>
        <v>Low</v>
      </c>
      <c r="M1220" s="0" t="n">
        <v>-7.042</v>
      </c>
      <c r="N1220" s="3" t="n">
        <v>0.28</v>
      </c>
      <c r="O1220" s="3" t="n">
        <v>0.278</v>
      </c>
      <c r="P1220" s="4" t="n">
        <v>0</v>
      </c>
      <c r="Q1220" s="3" t="n">
        <v>0.339</v>
      </c>
      <c r="R1220" s="3" t="n">
        <v>0.602</v>
      </c>
      <c r="S1220" s="3" t="str">
        <f aca="false">IF(R1220 &gt;= 0.5, "Positive", "Negative")</f>
        <v>Positive</v>
      </c>
      <c r="T1220" s="2" t="n">
        <v>127.673</v>
      </c>
      <c r="U1220" s="0" t="s">
        <v>31</v>
      </c>
    </row>
    <row r="1221" customFormat="false" ht="14.25" hidden="false" customHeight="false" outlineLevel="0" collapsed="false">
      <c r="A1221" s="0" t="n">
        <v>283</v>
      </c>
      <c r="B1221" s="0" t="str">
        <f aca="false">_xlfn.xlookup(A1221, artists!A$2:A$836, artists!B$2:B$836)</f>
        <v>Rihanna</v>
      </c>
      <c r="C1221" s="1" t="s">
        <v>1256</v>
      </c>
      <c r="D1221" s="2" t="n">
        <v>235493</v>
      </c>
      <c r="E1221" s="2" t="n">
        <f aca="false">D1221/1000</f>
        <v>235.493</v>
      </c>
      <c r="F1221" s="10" t="b">
        <f aca="false">FALSE()</f>
        <v>0</v>
      </c>
      <c r="G1221" s="0" t="n">
        <v>13</v>
      </c>
      <c r="H1221" s="0" t="n">
        <f aca="false">_xlfn.xlookup(G1221, years!A$2:A$836, years!B$2:B$836)</f>
        <v>2010</v>
      </c>
      <c r="I1221" s="2" t="n">
        <v>73</v>
      </c>
      <c r="J1221" s="0" t="n">
        <v>0.789</v>
      </c>
      <c r="K1221" s="0" t="n">
        <v>0.716</v>
      </c>
      <c r="L1221" s="3" t="str">
        <f aca="false">IF(K1221&gt;0.66,"High",IF(K1221&gt;0.33&amp;K1221&lt;=0.66,"Medium","Low"))</f>
        <v>High</v>
      </c>
      <c r="M1221" s="0" t="n">
        <v>-4.241</v>
      </c>
      <c r="N1221" s="3" t="n">
        <v>0.0432</v>
      </c>
      <c r="O1221" s="3" t="n">
        <v>0.129</v>
      </c>
      <c r="P1221" s="4" t="n">
        <v>1.07E-005</v>
      </c>
      <c r="Q1221" s="3" t="n">
        <v>0.069</v>
      </c>
      <c r="R1221" s="3" t="n">
        <v>0.611</v>
      </c>
      <c r="S1221" s="3" t="str">
        <f aca="false">IF(R1221 &gt;= 0.5, "Positive", "Negative")</f>
        <v>Positive</v>
      </c>
      <c r="T1221" s="2" t="n">
        <v>125.906</v>
      </c>
      <c r="U1221" s="0" t="s">
        <v>31</v>
      </c>
    </row>
    <row r="1222" customFormat="false" ht="14.25" hidden="false" customHeight="false" outlineLevel="0" collapsed="false">
      <c r="A1222" s="0" t="n">
        <v>434</v>
      </c>
      <c r="B1222" s="0" t="str">
        <f aca="false">_xlfn.xlookup(A1222, artists!A$2:A$836, artists!B$2:B$836)</f>
        <v>Jonas Brothers</v>
      </c>
      <c r="C1222" s="1" t="s">
        <v>1257</v>
      </c>
      <c r="D1222" s="2" t="n">
        <v>183000</v>
      </c>
      <c r="E1222" s="2" t="n">
        <f aca="false">D1222/1000</f>
        <v>183</v>
      </c>
      <c r="F1222" s="10" t="b">
        <f aca="false">FALSE()</f>
        <v>0</v>
      </c>
      <c r="G1222" s="0" t="n">
        <v>22</v>
      </c>
      <c r="H1222" s="0" t="n">
        <f aca="false">_xlfn.xlookup(G1222, years!A$2:A$836, years!B$2:B$836)</f>
        <v>2019</v>
      </c>
      <c r="I1222" s="2" t="n">
        <v>71</v>
      </c>
      <c r="J1222" s="0" t="n">
        <v>0.795</v>
      </c>
      <c r="K1222" s="0" t="n">
        <v>0.496</v>
      </c>
      <c r="L1222" s="3" t="str">
        <f aca="false">IF(K1222&gt;0.66,"High",IF(K1222&gt;0.33&amp;K1222&lt;=0.66,"Medium","Low"))</f>
        <v>Low</v>
      </c>
      <c r="M1222" s="0" t="n">
        <v>-5.883</v>
      </c>
      <c r="N1222" s="3" t="n">
        <v>0.0722</v>
      </c>
      <c r="O1222" s="3" t="n">
        <v>0.108</v>
      </c>
      <c r="P1222" s="4" t="n">
        <v>0</v>
      </c>
      <c r="Q1222" s="3" t="n">
        <v>0.0645</v>
      </c>
      <c r="R1222" s="3" t="n">
        <v>0.874</v>
      </c>
      <c r="S1222" s="3" t="str">
        <f aca="false">IF(R1222 &gt;= 0.5, "Positive", "Negative")</f>
        <v>Positive</v>
      </c>
      <c r="T1222" s="2" t="n">
        <v>94.01</v>
      </c>
      <c r="U1222" s="0" t="s">
        <v>39</v>
      </c>
    </row>
    <row r="1223" customFormat="false" ht="14.25" hidden="false" customHeight="false" outlineLevel="0" collapsed="false">
      <c r="A1223" s="0" t="n">
        <v>623</v>
      </c>
      <c r="B1223" s="0" t="str">
        <f aca="false">_xlfn.xlookup(A1223, artists!A$2:A$836, artists!B$2:B$836)</f>
        <v>Paloma Faith</v>
      </c>
      <c r="C1223" s="1" t="s">
        <v>1258</v>
      </c>
      <c r="D1223" s="2" t="n">
        <v>232893</v>
      </c>
      <c r="E1223" s="2" t="n">
        <f aca="false">D1223/1000</f>
        <v>232.893</v>
      </c>
      <c r="F1223" s="10" t="b">
        <f aca="false">FALSE()</f>
        <v>0</v>
      </c>
      <c r="G1223" s="0" t="n">
        <v>17</v>
      </c>
      <c r="H1223" s="0" t="n">
        <f aca="false">_xlfn.xlookup(G1223, years!A$2:A$836, years!B$2:B$836)</f>
        <v>2014</v>
      </c>
      <c r="I1223" s="2" t="n">
        <v>80</v>
      </c>
      <c r="J1223" s="0" t="n">
        <v>0.566</v>
      </c>
      <c r="K1223" s="0" t="n">
        <v>0.885</v>
      </c>
      <c r="L1223" s="3" t="str">
        <f aca="false">IF(K1223&gt;0.66,"High",IF(K1223&gt;0.33&amp;K1223&lt;=0.66,"Medium","Low"))</f>
        <v>High</v>
      </c>
      <c r="M1223" s="0" t="n">
        <v>-4.528</v>
      </c>
      <c r="N1223" s="3" t="n">
        <v>0.0818</v>
      </c>
      <c r="O1223" s="3" t="n">
        <v>0.0958</v>
      </c>
      <c r="P1223" s="4" t="n">
        <v>9.97E-005</v>
      </c>
      <c r="Q1223" s="3" t="n">
        <v>0.334</v>
      </c>
      <c r="R1223" s="3" t="n">
        <v>0.304</v>
      </c>
      <c r="S1223" s="3" t="str">
        <f aca="false">IF(R1223 &gt;= 0.5, "Positive", "Negative")</f>
        <v>Negative</v>
      </c>
      <c r="T1223" s="2" t="n">
        <v>90.99</v>
      </c>
      <c r="U1223" s="0" t="s">
        <v>266</v>
      </c>
    </row>
    <row r="1224" customFormat="false" ht="14.25" hidden="false" customHeight="false" outlineLevel="0" collapsed="false">
      <c r="A1224" s="0" t="n">
        <v>126</v>
      </c>
      <c r="B1224" s="0" t="str">
        <f aca="false">_xlfn.xlookup(A1224, artists!A$2:A$836, artists!B$2:B$836)</f>
        <v>Enya</v>
      </c>
      <c r="C1224" s="1" t="s">
        <v>1259</v>
      </c>
      <c r="D1224" s="2" t="n">
        <v>218546</v>
      </c>
      <c r="E1224" s="2" t="n">
        <f aca="false">D1224/1000</f>
        <v>218.546</v>
      </c>
      <c r="F1224" s="10" t="b">
        <f aca="false">FALSE()</f>
        <v>0</v>
      </c>
      <c r="G1224" s="0" t="n">
        <v>3</v>
      </c>
      <c r="H1224" s="0" t="n">
        <f aca="false">_xlfn.xlookup(G1224, years!A$2:A$836, years!B$2:B$836)</f>
        <v>2000</v>
      </c>
      <c r="I1224" s="2" t="n">
        <v>69</v>
      </c>
      <c r="J1224" s="0" t="n">
        <v>0.418</v>
      </c>
      <c r="K1224" s="0" t="n">
        <v>0.249</v>
      </c>
      <c r="L1224" s="3" t="str">
        <f aca="false">IF(K1224&gt;0.66,"High",IF(K1224&gt;0.33&amp;K1224&lt;=0.66,"Medium","Low"))</f>
        <v>Low</v>
      </c>
      <c r="M1224" s="0" t="n">
        <v>-13.744</v>
      </c>
      <c r="N1224" s="3" t="n">
        <v>0.0301</v>
      </c>
      <c r="O1224" s="3" t="n">
        <v>0.841</v>
      </c>
      <c r="P1224" s="4" t="n">
        <v>0.661</v>
      </c>
      <c r="Q1224" s="3" t="n">
        <v>0.112</v>
      </c>
      <c r="R1224" s="3" t="n">
        <v>0.213</v>
      </c>
      <c r="S1224" s="3" t="str">
        <f aca="false">IF(R1224 &gt;= 0.5, "Positive", "Negative")</f>
        <v>Negative</v>
      </c>
      <c r="T1224" s="2" t="n">
        <v>82.803</v>
      </c>
      <c r="U1224" s="0" t="s">
        <v>1260</v>
      </c>
    </row>
    <row r="1225" customFormat="false" ht="14.25" hidden="false" customHeight="false" outlineLevel="0" collapsed="false">
      <c r="A1225" s="0" t="n">
        <v>174</v>
      </c>
      <c r="B1225" s="0" t="str">
        <f aca="false">_xlfn.xlookup(A1225, artists!A$2:A$836, artists!B$2:B$836)</f>
        <v>Ashanti</v>
      </c>
      <c r="C1225" s="1" t="s">
        <v>1261</v>
      </c>
      <c r="D1225" s="2" t="n">
        <v>186306</v>
      </c>
      <c r="E1225" s="2" t="n">
        <f aca="false">D1225/1000</f>
        <v>186.306</v>
      </c>
      <c r="F1225" s="10" t="b">
        <f aca="false">FALSE()</f>
        <v>0</v>
      </c>
      <c r="G1225" s="0" t="n">
        <v>7</v>
      </c>
      <c r="H1225" s="0" t="n">
        <f aca="false">_xlfn.xlookup(G1225, years!A$2:A$836, years!B$2:B$836)</f>
        <v>2004</v>
      </c>
      <c r="I1225" s="2" t="n">
        <v>56</v>
      </c>
      <c r="J1225" s="0" t="n">
        <v>0.601</v>
      </c>
      <c r="K1225" s="0" t="n">
        <v>0.621</v>
      </c>
      <c r="L1225" s="3" t="str">
        <f aca="false">IF(K1225&gt;0.66,"High",IF(K1225&gt;0.33&amp;K1225&lt;=0.66,"Medium","Low"))</f>
        <v>Low</v>
      </c>
      <c r="M1225" s="0" t="n">
        <v>-5.576</v>
      </c>
      <c r="N1225" s="3" t="n">
        <v>0.0434</v>
      </c>
      <c r="O1225" s="3" t="n">
        <v>0.0374</v>
      </c>
      <c r="P1225" s="4" t="n">
        <v>1.75E-006</v>
      </c>
      <c r="Q1225" s="3" t="n">
        <v>0.188</v>
      </c>
      <c r="R1225" s="3" t="n">
        <v>0.278</v>
      </c>
      <c r="S1225" s="3" t="str">
        <f aca="false">IF(R1225 &gt;= 0.5, "Positive", "Negative")</f>
        <v>Negative</v>
      </c>
      <c r="T1225" s="2" t="n">
        <v>94.547</v>
      </c>
      <c r="U1225" s="0" t="s">
        <v>31</v>
      </c>
    </row>
    <row r="1226" customFormat="false" ht="14.25" hidden="false" customHeight="false" outlineLevel="0" collapsed="false">
      <c r="A1226" s="0" t="n">
        <v>162</v>
      </c>
      <c r="B1226" s="0" t="str">
        <f aca="false">_xlfn.xlookup(A1226, artists!A$2:A$836, artists!B$2:B$836)</f>
        <v>Tweet</v>
      </c>
      <c r="C1226" s="1" t="s">
        <v>1262</v>
      </c>
      <c r="D1226" s="2" t="n">
        <v>237800</v>
      </c>
      <c r="E1226" s="2" t="n">
        <f aca="false">D1226/1000</f>
        <v>237.8</v>
      </c>
      <c r="F1226" s="10" t="b">
        <f aca="false">TRUE()</f>
        <v>1</v>
      </c>
      <c r="G1226" s="0" t="n">
        <v>5</v>
      </c>
      <c r="H1226" s="0" t="n">
        <f aca="false">_xlfn.xlookup(G1226, years!A$2:A$836, years!B$2:B$836)</f>
        <v>2002</v>
      </c>
      <c r="I1226" s="2" t="n">
        <v>64</v>
      </c>
      <c r="J1226" s="0" t="n">
        <v>0.66</v>
      </c>
      <c r="K1226" s="0" t="n">
        <v>0.536</v>
      </c>
      <c r="L1226" s="3" t="str">
        <f aca="false">IF(K1226&gt;0.66,"High",IF(K1226&gt;0.33&amp;K1226&lt;=0.66,"Medium","Low"))</f>
        <v>Low</v>
      </c>
      <c r="M1226" s="0" t="n">
        <v>-8.786</v>
      </c>
      <c r="N1226" s="3" t="n">
        <v>0.29</v>
      </c>
      <c r="O1226" s="3" t="n">
        <v>0.233</v>
      </c>
      <c r="P1226" s="4" t="n">
        <v>0.00669</v>
      </c>
      <c r="Q1226" s="3" t="n">
        <v>0.111</v>
      </c>
      <c r="R1226" s="3" t="n">
        <v>0.775</v>
      </c>
      <c r="S1226" s="3" t="str">
        <f aca="false">IF(R1226 &gt;= 0.5, "Positive", "Negative")</f>
        <v>Positive</v>
      </c>
      <c r="T1226" s="2" t="n">
        <v>159.963</v>
      </c>
      <c r="U1226" s="0" t="s">
        <v>31</v>
      </c>
    </row>
    <row r="1227" customFormat="false" ht="14.25" hidden="false" customHeight="false" outlineLevel="0" collapsed="false">
      <c r="A1227" s="0" t="n">
        <v>151</v>
      </c>
      <c r="B1227" s="0" t="str">
        <f aca="false">_xlfn.xlookup(A1227, artists!A$2:A$836, artists!B$2:B$836)</f>
        <v>Busta Rhymes</v>
      </c>
      <c r="C1227" s="1" t="s">
        <v>1247</v>
      </c>
      <c r="D1227" s="2" t="n">
        <v>324306</v>
      </c>
      <c r="E1227" s="2" t="n">
        <f aca="false">D1227/1000</f>
        <v>324.306</v>
      </c>
      <c r="F1227" s="10" t="b">
        <f aca="false">TRUE()</f>
        <v>1</v>
      </c>
      <c r="G1227" s="0" t="n">
        <v>5</v>
      </c>
      <c r="H1227" s="0" t="n">
        <f aca="false">_xlfn.xlookup(G1227, years!A$2:A$836, years!B$2:B$836)</f>
        <v>2002</v>
      </c>
      <c r="I1227" s="2" t="n">
        <v>68</v>
      </c>
      <c r="J1227" s="0" t="n">
        <v>0.648</v>
      </c>
      <c r="K1227" s="0" t="n">
        <v>0.759</v>
      </c>
      <c r="L1227" s="3" t="str">
        <f aca="false">IF(K1227&gt;0.66,"High",IF(K1227&gt;0.33&amp;K1227&lt;=0.66,"Medium","Low"))</f>
        <v>High</v>
      </c>
      <c r="M1227" s="0" t="n">
        <v>-4.315</v>
      </c>
      <c r="N1227" s="3" t="n">
        <v>0.306</v>
      </c>
      <c r="O1227" s="3" t="n">
        <v>0.0142</v>
      </c>
      <c r="P1227" s="4" t="n">
        <v>0</v>
      </c>
      <c r="Q1227" s="3" t="n">
        <v>0.648</v>
      </c>
      <c r="R1227" s="3" t="n">
        <v>0.518</v>
      </c>
      <c r="S1227" s="3" t="str">
        <f aca="false">IF(R1227 &gt;= 0.5, "Positive", "Negative")</f>
        <v>Positive</v>
      </c>
      <c r="T1227" s="2" t="n">
        <v>85.996</v>
      </c>
      <c r="U1227" s="0" t="s">
        <v>24</v>
      </c>
    </row>
    <row r="1228" customFormat="false" ht="14.25" hidden="false" customHeight="false" outlineLevel="0" collapsed="false">
      <c r="A1228" s="0" t="n">
        <v>718</v>
      </c>
      <c r="B1228" s="0" t="str">
        <f aca="false">_xlfn.xlookup(A1228, artists!A$2:A$836, artists!B$2:B$836)</f>
        <v>The Lumineers</v>
      </c>
      <c r="C1228" s="1" t="s">
        <v>1263</v>
      </c>
      <c r="D1228" s="2" t="n">
        <v>160097</v>
      </c>
      <c r="E1228" s="2" t="n">
        <f aca="false">D1228/1000</f>
        <v>160.097</v>
      </c>
      <c r="F1228" s="10" t="b">
        <f aca="false">FALSE()</f>
        <v>0</v>
      </c>
      <c r="G1228" s="0" t="n">
        <v>19</v>
      </c>
      <c r="H1228" s="0" t="n">
        <f aca="false">_xlfn.xlookup(G1228, years!A$2:A$836, years!B$2:B$836)</f>
        <v>2016</v>
      </c>
      <c r="I1228" s="2" t="n">
        <v>0</v>
      </c>
      <c r="J1228" s="0" t="n">
        <v>0.664</v>
      </c>
      <c r="K1228" s="0" t="n">
        <v>0.576</v>
      </c>
      <c r="L1228" s="3" t="str">
        <f aca="false">IF(K1228&gt;0.66,"High",IF(K1228&gt;0.33&amp;K1228&lt;=0.66,"Medium","Low"))</f>
        <v>Low</v>
      </c>
      <c r="M1228" s="0" t="n">
        <v>-6.429</v>
      </c>
      <c r="N1228" s="3" t="n">
        <v>0.0286</v>
      </c>
      <c r="O1228" s="3" t="n">
        <v>0.63</v>
      </c>
      <c r="P1228" s="4" t="n">
        <v>0.000198</v>
      </c>
      <c r="Q1228" s="3" t="n">
        <v>0.0902</v>
      </c>
      <c r="R1228" s="3" t="n">
        <v>0.621</v>
      </c>
      <c r="S1228" s="3" t="str">
        <f aca="false">IF(R1228 &gt;= 0.5, "Positive", "Negative")</f>
        <v>Positive</v>
      </c>
      <c r="T1228" s="2" t="n">
        <v>76.026</v>
      </c>
      <c r="U1228" s="0" t="s">
        <v>116</v>
      </c>
    </row>
    <row r="1229" customFormat="false" ht="14.25" hidden="false" customHeight="false" outlineLevel="0" collapsed="false">
      <c r="A1229" s="0" t="n">
        <v>832</v>
      </c>
      <c r="B1229" s="0" t="str">
        <f aca="false">_xlfn.xlookup(A1229, artists!A$2:A$836, artists!B$2:B$836)</f>
        <v>NSG</v>
      </c>
      <c r="C1229" s="1" t="s">
        <v>1264</v>
      </c>
      <c r="D1229" s="2" t="n">
        <v>240081</v>
      </c>
      <c r="E1229" s="2" t="n">
        <f aca="false">D1229/1000</f>
        <v>240.081</v>
      </c>
      <c r="F1229" s="10" t="b">
        <f aca="false">TRUE()</f>
        <v>1</v>
      </c>
      <c r="G1229" s="0" t="n">
        <v>23</v>
      </c>
      <c r="H1229" s="0" t="n">
        <f aca="false">_xlfn.xlookup(G1229, years!A$2:A$836, years!B$2:B$836)</f>
        <v>2020</v>
      </c>
      <c r="I1229" s="2" t="n">
        <v>57</v>
      </c>
      <c r="J1229" s="0" t="n">
        <v>0.836</v>
      </c>
      <c r="K1229" s="0" t="n">
        <v>0.621</v>
      </c>
      <c r="L1229" s="3" t="str">
        <f aca="false">IF(K1229&gt;0.66,"High",IF(K1229&gt;0.33&amp;K1229&lt;=0.66,"Medium","Low"))</f>
        <v>Low</v>
      </c>
      <c r="M1229" s="0" t="n">
        <v>-4.684</v>
      </c>
      <c r="N1229" s="3" t="n">
        <v>0.0894</v>
      </c>
      <c r="O1229" s="3" t="n">
        <v>0.389</v>
      </c>
      <c r="P1229" s="4" t="n">
        <v>9.16E-005</v>
      </c>
      <c r="Q1229" s="3" t="n">
        <v>0.104</v>
      </c>
      <c r="R1229" s="3" t="n">
        <v>0.762</v>
      </c>
      <c r="S1229" s="3" t="str">
        <f aca="false">IF(R1229 &gt;= 0.5, "Positive", "Negative")</f>
        <v>Positive</v>
      </c>
      <c r="T1229" s="2" t="n">
        <v>101.993</v>
      </c>
      <c r="U1229" s="0" t="s">
        <v>1138</v>
      </c>
    </row>
    <row r="1230" customFormat="false" ht="14.25" hidden="false" customHeight="false" outlineLevel="0" collapsed="false">
      <c r="A1230" s="0" t="n">
        <v>58</v>
      </c>
      <c r="B1230" s="0" t="str">
        <f aca="false">_xlfn.xlookup(A1230, artists!A$2:A$836, artists!B$2:B$836)</f>
        <v>Red Hot Chili Peppers</v>
      </c>
      <c r="C1230" s="1" t="s">
        <v>1265</v>
      </c>
      <c r="D1230" s="2" t="n">
        <v>255373</v>
      </c>
      <c r="E1230" s="2" t="n">
        <f aca="false">D1230/1000</f>
        <v>255.373</v>
      </c>
      <c r="F1230" s="10" t="b">
        <f aca="false">FALSE()</f>
        <v>0</v>
      </c>
      <c r="G1230" s="0" t="n">
        <v>2</v>
      </c>
      <c r="H1230" s="0" t="n">
        <f aca="false">_xlfn.xlookup(G1230, years!A$2:A$836, years!B$2:B$836)</f>
        <v>1999</v>
      </c>
      <c r="I1230" s="2" t="n">
        <v>78</v>
      </c>
      <c r="J1230" s="0" t="n">
        <v>0.458</v>
      </c>
      <c r="K1230" s="0" t="n">
        <v>0.795</v>
      </c>
      <c r="L1230" s="3" t="str">
        <f aca="false">IF(K1230&gt;0.66,"High",IF(K1230&gt;0.33&amp;K1230&lt;=0.66,"Medium","Low"))</f>
        <v>High</v>
      </c>
      <c r="M1230" s="0" t="n">
        <v>-3.265</v>
      </c>
      <c r="N1230" s="3" t="n">
        <v>0.0574</v>
      </c>
      <c r="O1230" s="3" t="n">
        <v>0.00316</v>
      </c>
      <c r="P1230" s="4" t="n">
        <v>0.000202</v>
      </c>
      <c r="Q1230" s="3" t="n">
        <v>0.0756</v>
      </c>
      <c r="R1230" s="3" t="n">
        <v>0.513</v>
      </c>
      <c r="S1230" s="3" t="str">
        <f aca="false">IF(R1230 &gt;= 0.5, "Positive", "Negative")</f>
        <v>Positive</v>
      </c>
      <c r="T1230" s="2" t="n">
        <v>123.229</v>
      </c>
      <c r="U1230" s="0" t="s">
        <v>43</v>
      </c>
    </row>
    <row r="1231" customFormat="false" ht="14.25" hidden="false" customHeight="false" outlineLevel="0" collapsed="false">
      <c r="A1231" s="0" t="n">
        <v>831</v>
      </c>
      <c r="B1231" s="0" t="str">
        <f aca="false">_xlfn.xlookup(A1231, artists!A$2:A$836, artists!B$2:B$836)</f>
        <v>Sech</v>
      </c>
      <c r="C1231" s="1" t="s">
        <v>1266</v>
      </c>
      <c r="D1231" s="2" t="n">
        <v>225933</v>
      </c>
      <c r="E1231" s="2" t="n">
        <f aca="false">D1231/1000</f>
        <v>225.933</v>
      </c>
      <c r="F1231" s="10" t="b">
        <f aca="false">TRUE()</f>
        <v>1</v>
      </c>
      <c r="G1231" s="0" t="n">
        <v>22</v>
      </c>
      <c r="H1231" s="0" t="n">
        <f aca="false">_xlfn.xlookup(G1231, years!A$2:A$836, years!B$2:B$836)</f>
        <v>2019</v>
      </c>
      <c r="I1231" s="2" t="n">
        <v>71</v>
      </c>
      <c r="J1231" s="0" t="n">
        <v>0.746</v>
      </c>
      <c r="K1231" s="0" t="n">
        <v>0.7</v>
      </c>
      <c r="L1231" s="3" t="str">
        <f aca="false">IF(K1231&gt;0.66,"High",IF(K1231&gt;0.33&amp;K1231&lt;=0.66,"Medium","Low"))</f>
        <v>High</v>
      </c>
      <c r="M1231" s="0" t="n">
        <v>-4.669</v>
      </c>
      <c r="N1231" s="3" t="n">
        <v>0.341</v>
      </c>
      <c r="O1231" s="3" t="n">
        <v>0.136</v>
      </c>
      <c r="P1231" s="4" t="n">
        <v>0.000159</v>
      </c>
      <c r="Q1231" s="3" t="n">
        <v>0.11</v>
      </c>
      <c r="R1231" s="3" t="n">
        <v>0.619</v>
      </c>
      <c r="S1231" s="3" t="str">
        <f aca="false">IF(R1231 &gt;= 0.5, "Positive", "Negative")</f>
        <v>Positive</v>
      </c>
      <c r="T1231" s="2" t="n">
        <v>176.044</v>
      </c>
      <c r="U1231" s="0" t="s">
        <v>312</v>
      </c>
    </row>
    <row r="1232" customFormat="false" ht="14.25" hidden="false" customHeight="false" outlineLevel="0" collapsed="false">
      <c r="A1232" s="0" t="n">
        <v>741</v>
      </c>
      <c r="B1232" s="0" t="str">
        <f aca="false">_xlfn.xlookup(A1232, artists!A$2:A$836, artists!B$2:B$836)</f>
        <v>Migos</v>
      </c>
      <c r="C1232" s="1" t="s">
        <v>1267</v>
      </c>
      <c r="D1232" s="2" t="n">
        <v>304041</v>
      </c>
      <c r="E1232" s="2" t="n">
        <f aca="false">D1232/1000</f>
        <v>304.041</v>
      </c>
      <c r="F1232" s="10" t="b">
        <f aca="false">TRUE()</f>
        <v>1</v>
      </c>
      <c r="G1232" s="0" t="n">
        <v>20</v>
      </c>
      <c r="H1232" s="0" t="n">
        <f aca="false">_xlfn.xlookup(G1232, years!A$2:A$836, years!B$2:B$836)</f>
        <v>2017</v>
      </c>
      <c r="I1232" s="2" t="n">
        <v>68</v>
      </c>
      <c r="J1232" s="0" t="n">
        <v>0.92</v>
      </c>
      <c r="K1232" s="0" t="n">
        <v>0.675</v>
      </c>
      <c r="L1232" s="3" t="str">
        <f aca="false">IF(K1232&gt;0.66,"High",IF(K1232&gt;0.33&amp;K1232&lt;=0.66,"Medium","Low"))</f>
        <v>High</v>
      </c>
      <c r="M1232" s="0" t="n">
        <v>-5.661</v>
      </c>
      <c r="N1232" s="3" t="n">
        <v>0.263</v>
      </c>
      <c r="O1232" s="3" t="n">
        <v>0.307</v>
      </c>
      <c r="P1232" s="4" t="n">
        <v>0</v>
      </c>
      <c r="Q1232" s="3" t="n">
        <v>0.104</v>
      </c>
      <c r="R1232" s="3" t="n">
        <v>0.749</v>
      </c>
      <c r="S1232" s="3" t="str">
        <f aca="false">IF(R1232 &gt;= 0.5, "Positive", "Negative")</f>
        <v>Positive</v>
      </c>
      <c r="T1232" s="2" t="n">
        <v>141.967</v>
      </c>
      <c r="U1232" s="0" t="s">
        <v>24</v>
      </c>
    </row>
    <row r="1233" customFormat="false" ht="14.25" hidden="false" customHeight="false" outlineLevel="0" collapsed="false">
      <c r="A1233" s="0" t="n">
        <v>76</v>
      </c>
      <c r="B1233" s="0" t="str">
        <f aca="false">_xlfn.xlookup(A1233, artists!A$2:A$836, artists!B$2:B$836)</f>
        <v>Gabrielle</v>
      </c>
      <c r="C1233" s="1" t="s">
        <v>1268</v>
      </c>
      <c r="D1233" s="2" t="n">
        <v>196986</v>
      </c>
      <c r="E1233" s="2" t="n">
        <f aca="false">D1233/1000</f>
        <v>196.986</v>
      </c>
      <c r="F1233" s="10" t="b">
        <f aca="false">FALSE()</f>
        <v>0</v>
      </c>
      <c r="G1233" s="0" t="n">
        <v>4</v>
      </c>
      <c r="H1233" s="0" t="n">
        <f aca="false">_xlfn.xlookup(G1233, years!A$2:A$836, years!B$2:B$836)</f>
        <v>2001</v>
      </c>
      <c r="I1233" s="2" t="n">
        <v>69</v>
      </c>
      <c r="J1233" s="0" t="n">
        <v>0.51</v>
      </c>
      <c r="K1233" s="0" t="n">
        <v>0.48</v>
      </c>
      <c r="L1233" s="3" t="str">
        <f aca="false">IF(K1233&gt;0.66,"High",IF(K1233&gt;0.33&amp;K1233&lt;=0.66,"Medium","Low"))</f>
        <v>Low</v>
      </c>
      <c r="M1233" s="0" t="n">
        <v>-6.567</v>
      </c>
      <c r="N1233" s="3" t="n">
        <v>0.0452</v>
      </c>
      <c r="O1233" s="3" t="n">
        <v>0.503</v>
      </c>
      <c r="P1233" s="4" t="n">
        <v>0</v>
      </c>
      <c r="Q1233" s="3" t="n">
        <v>0.106</v>
      </c>
      <c r="R1233" s="3" t="n">
        <v>0.496</v>
      </c>
      <c r="S1233" s="3" t="str">
        <f aca="false">IF(R1233 &gt;= 0.5, "Positive", "Negative")</f>
        <v>Negative</v>
      </c>
      <c r="T1233" s="2" t="n">
        <v>182.862</v>
      </c>
      <c r="U1233" s="0" t="s">
        <v>33</v>
      </c>
    </row>
    <row r="1234" customFormat="false" ht="14.25" hidden="false" customHeight="false" outlineLevel="0" collapsed="false">
      <c r="A1234" s="0" t="n">
        <v>372</v>
      </c>
      <c r="B1234" s="0" t="str">
        <f aca="false">_xlfn.xlookup(A1234, artists!A$2:A$836, artists!B$2:B$836)</f>
        <v>Calvin Harris</v>
      </c>
      <c r="C1234" s="1" t="s">
        <v>1269</v>
      </c>
      <c r="D1234" s="2" t="n">
        <v>227266</v>
      </c>
      <c r="E1234" s="2" t="n">
        <f aca="false">D1234/1000</f>
        <v>227.266</v>
      </c>
      <c r="F1234" s="10" t="b">
        <f aca="false">FALSE()</f>
        <v>0</v>
      </c>
      <c r="G1234" s="0" t="n">
        <v>17</v>
      </c>
      <c r="H1234" s="0" t="n">
        <f aca="false">_xlfn.xlookup(G1234, years!A$2:A$836, years!B$2:B$836)</f>
        <v>2014</v>
      </c>
      <c r="I1234" s="2" t="n">
        <v>78</v>
      </c>
      <c r="J1234" s="0" t="n">
        <v>0.646</v>
      </c>
      <c r="K1234" s="0" t="n">
        <v>0.823</v>
      </c>
      <c r="L1234" s="3" t="str">
        <f aca="false">IF(K1234&gt;0.66,"High",IF(K1234&gt;0.33&amp;K1234&lt;=0.66,"Medium","Low"))</f>
        <v>High</v>
      </c>
      <c r="M1234" s="0" t="n">
        <v>-4.123</v>
      </c>
      <c r="N1234" s="3" t="n">
        <v>0.0394</v>
      </c>
      <c r="O1234" s="3" t="n">
        <v>0.213</v>
      </c>
      <c r="P1234" s="4" t="n">
        <v>0</v>
      </c>
      <c r="Q1234" s="3" t="n">
        <v>0.322</v>
      </c>
      <c r="R1234" s="3" t="n">
        <v>0.418</v>
      </c>
      <c r="S1234" s="3" t="str">
        <f aca="false">IF(R1234 &gt;= 0.5, "Positive", "Negative")</f>
        <v>Negative</v>
      </c>
      <c r="T1234" s="2" t="n">
        <v>128.035</v>
      </c>
      <c r="U1234" s="0" t="s">
        <v>53</v>
      </c>
    </row>
    <row r="1235" customFormat="false" ht="14.25" hidden="false" customHeight="false" outlineLevel="0" collapsed="false">
      <c r="A1235" s="0" t="n">
        <v>191</v>
      </c>
      <c r="B1235" s="0" t="str">
        <f aca="false">_xlfn.xlookup(A1235, artists!A$2:A$836, artists!B$2:B$836)</f>
        <v>50 Cent</v>
      </c>
      <c r="C1235" s="1" t="s">
        <v>1270</v>
      </c>
      <c r="D1235" s="2" t="n">
        <v>247506</v>
      </c>
      <c r="E1235" s="2" t="n">
        <f aca="false">D1235/1000</f>
        <v>247.506</v>
      </c>
      <c r="F1235" s="10" t="b">
        <f aca="false">TRUE()</f>
        <v>1</v>
      </c>
      <c r="G1235" s="0" t="n">
        <v>8</v>
      </c>
      <c r="H1235" s="0" t="n">
        <f aca="false">_xlfn.xlookup(G1235, years!A$2:A$836, years!B$2:B$836)</f>
        <v>2005</v>
      </c>
      <c r="I1235" s="2" t="n">
        <v>60</v>
      </c>
      <c r="J1235" s="0" t="n">
        <v>0.772</v>
      </c>
      <c r="K1235" s="0" t="n">
        <v>0.599</v>
      </c>
      <c r="L1235" s="3" t="str">
        <f aca="false">IF(K1235&gt;0.66,"High",IF(K1235&gt;0.33&amp;K1235&lt;=0.66,"Medium","Low"))</f>
        <v>Low</v>
      </c>
      <c r="M1235" s="0" t="n">
        <v>-5.996</v>
      </c>
      <c r="N1235" s="3" t="n">
        <v>0.246</v>
      </c>
      <c r="O1235" s="3" t="n">
        <v>0.0277</v>
      </c>
      <c r="P1235" s="4" t="n">
        <v>0</v>
      </c>
      <c r="Q1235" s="3" t="n">
        <v>0.0839</v>
      </c>
      <c r="R1235" s="3" t="n">
        <v>0.557</v>
      </c>
      <c r="S1235" s="3" t="str">
        <f aca="false">IF(R1235 &gt;= 0.5, "Positive", "Negative")</f>
        <v>Positive</v>
      </c>
      <c r="T1235" s="2" t="n">
        <v>92.029</v>
      </c>
      <c r="U1235" s="0" t="s">
        <v>24</v>
      </c>
    </row>
    <row r="1236" customFormat="false" ht="14.25" hidden="false" customHeight="false" outlineLevel="0" collapsed="false">
      <c r="A1236" s="0" t="n">
        <v>469</v>
      </c>
      <c r="B1236" s="0" t="str">
        <f aca="false">_xlfn.xlookup(A1236, artists!A$2:A$836, artists!B$2:B$836)</f>
        <v>Bruno Mars</v>
      </c>
      <c r="C1236" s="1" t="s">
        <v>1271</v>
      </c>
      <c r="D1236" s="2" t="n">
        <v>225983</v>
      </c>
      <c r="E1236" s="2" t="n">
        <f aca="false">D1236/1000</f>
        <v>225.983</v>
      </c>
      <c r="F1236" s="10" t="b">
        <f aca="false">FALSE()</f>
        <v>0</v>
      </c>
      <c r="G1236" s="0" t="n">
        <v>19</v>
      </c>
      <c r="H1236" s="0" t="n">
        <f aca="false">_xlfn.xlookup(G1236, years!A$2:A$836, years!B$2:B$836)</f>
        <v>2016</v>
      </c>
      <c r="I1236" s="2" t="n">
        <v>78</v>
      </c>
      <c r="J1236" s="0" t="n">
        <v>0.818</v>
      </c>
      <c r="K1236" s="0" t="n">
        <v>0.803</v>
      </c>
      <c r="L1236" s="3" t="str">
        <f aca="false">IF(K1236&gt;0.66,"High",IF(K1236&gt;0.33&amp;K1236&lt;=0.66,"Medium","Low"))</f>
        <v>High</v>
      </c>
      <c r="M1236" s="0" t="n">
        <v>-4.282</v>
      </c>
      <c r="N1236" s="3" t="n">
        <v>0.0797</v>
      </c>
      <c r="O1236" s="3" t="n">
        <v>0.034</v>
      </c>
      <c r="P1236" s="4" t="n">
        <v>0</v>
      </c>
      <c r="Q1236" s="3" t="n">
        <v>0.153</v>
      </c>
      <c r="R1236" s="3" t="n">
        <v>0.632</v>
      </c>
      <c r="S1236" s="3" t="str">
        <f aca="false">IF(R1236 &gt;= 0.5, "Positive", "Negative")</f>
        <v>Positive</v>
      </c>
      <c r="T1236" s="2" t="n">
        <v>106.97</v>
      </c>
      <c r="U1236" s="0" t="s">
        <v>39</v>
      </c>
    </row>
    <row r="1237" customFormat="false" ht="14.25" hidden="false" customHeight="false" outlineLevel="0" collapsed="false">
      <c r="A1237" s="0" t="n">
        <v>455</v>
      </c>
      <c r="B1237" s="0" t="str">
        <f aca="false">_xlfn.xlookup(A1237, artists!A$2:A$836, artists!B$2:B$836)</f>
        <v>Drake</v>
      </c>
      <c r="C1237" s="1" t="s">
        <v>1272</v>
      </c>
      <c r="D1237" s="2" t="n">
        <v>233560</v>
      </c>
      <c r="E1237" s="2" t="n">
        <f aca="false">D1237/1000</f>
        <v>233.56</v>
      </c>
      <c r="F1237" s="10" t="b">
        <f aca="false">TRUE()</f>
        <v>1</v>
      </c>
      <c r="G1237" s="0" t="n">
        <v>13</v>
      </c>
      <c r="H1237" s="0" t="n">
        <f aca="false">_xlfn.xlookup(G1237, years!A$2:A$836, years!B$2:B$836)</f>
        <v>2010</v>
      </c>
      <c r="I1237" s="2" t="n">
        <v>57</v>
      </c>
      <c r="J1237" s="0" t="n">
        <v>0.325</v>
      </c>
      <c r="K1237" s="0" t="n">
        <v>0.848</v>
      </c>
      <c r="L1237" s="3" t="str">
        <f aca="false">IF(K1237&gt;0.66,"High",IF(K1237&gt;0.33&amp;K1237&lt;=0.66,"Medium","Low"))</f>
        <v>High</v>
      </c>
      <c r="M1237" s="0" t="n">
        <v>-5.611</v>
      </c>
      <c r="N1237" s="3" t="n">
        <v>0.279</v>
      </c>
      <c r="O1237" s="3" t="n">
        <v>0.0109</v>
      </c>
      <c r="P1237" s="4" t="n">
        <v>0</v>
      </c>
      <c r="Q1237" s="3" t="n">
        <v>0.124</v>
      </c>
      <c r="R1237" s="3" t="n">
        <v>0.433</v>
      </c>
      <c r="S1237" s="3" t="str">
        <f aca="false">IF(R1237 &gt;= 0.5, "Positive", "Negative")</f>
        <v>Negative</v>
      </c>
      <c r="T1237" s="2" t="n">
        <v>100.093</v>
      </c>
      <c r="U1237" s="0" t="s">
        <v>31</v>
      </c>
    </row>
    <row r="1238" customFormat="false" ht="14.25" hidden="false" customHeight="false" outlineLevel="0" collapsed="false">
      <c r="A1238" s="0" t="n">
        <v>81</v>
      </c>
      <c r="B1238" s="0" t="str">
        <f aca="false">_xlfn.xlookup(A1238, artists!A$2:A$836, artists!B$2:B$836)</f>
        <v>Nelly</v>
      </c>
      <c r="C1238" s="1" t="s">
        <v>1273</v>
      </c>
      <c r="D1238" s="2" t="n">
        <v>253933</v>
      </c>
      <c r="E1238" s="2" t="n">
        <f aca="false">D1238/1000</f>
        <v>253.933</v>
      </c>
      <c r="F1238" s="10" t="b">
        <f aca="false">TRUE()</f>
        <v>1</v>
      </c>
      <c r="G1238" s="0" t="n">
        <v>7</v>
      </c>
      <c r="H1238" s="0" t="n">
        <f aca="false">_xlfn.xlookup(G1238, years!A$2:A$836, years!B$2:B$836)</f>
        <v>2004</v>
      </c>
      <c r="I1238" s="2" t="n">
        <v>61</v>
      </c>
      <c r="J1238" s="0" t="n">
        <v>0.644</v>
      </c>
      <c r="K1238" s="0" t="n">
        <v>0.517</v>
      </c>
      <c r="L1238" s="3" t="str">
        <f aca="false">IF(K1238&gt;0.66,"High",IF(K1238&gt;0.33&amp;K1238&lt;=0.66,"Medium","Low"))</f>
        <v>Low</v>
      </c>
      <c r="M1238" s="0" t="n">
        <v>-10.02</v>
      </c>
      <c r="N1238" s="3" t="n">
        <v>0.0803</v>
      </c>
      <c r="O1238" s="3" t="n">
        <v>0.0065</v>
      </c>
      <c r="P1238" s="4" t="n">
        <v>1.37E-006</v>
      </c>
      <c r="Q1238" s="3" t="n">
        <v>0.158</v>
      </c>
      <c r="R1238" s="3" t="n">
        <v>0.464</v>
      </c>
      <c r="S1238" s="3" t="str">
        <f aca="false">IF(R1238 &gt;= 0.5, "Positive", "Negative")</f>
        <v>Negative</v>
      </c>
      <c r="T1238" s="2" t="n">
        <v>169.799</v>
      </c>
      <c r="U1238" s="0" t="s">
        <v>31</v>
      </c>
    </row>
    <row r="1239" customFormat="false" ht="14.25" hidden="false" customHeight="false" outlineLevel="0" collapsed="false">
      <c r="A1239" s="0" t="n">
        <v>262</v>
      </c>
      <c r="B1239" s="0" t="str">
        <f aca="false">_xlfn.xlookup(A1239, artists!A$2:A$836, artists!B$2:B$836)</f>
        <v>Twista</v>
      </c>
      <c r="C1239" s="1" t="s">
        <v>1274</v>
      </c>
      <c r="D1239" s="2" t="n">
        <v>233360</v>
      </c>
      <c r="E1239" s="2" t="n">
        <f aca="false">D1239/1000</f>
        <v>233.36</v>
      </c>
      <c r="F1239" s="10" t="b">
        <f aca="false">TRUE()</f>
        <v>1</v>
      </c>
      <c r="G1239" s="0" t="n">
        <v>7</v>
      </c>
      <c r="H1239" s="0" t="n">
        <f aca="false">_xlfn.xlookup(G1239, years!A$2:A$836, years!B$2:B$836)</f>
        <v>2004</v>
      </c>
      <c r="I1239" s="2" t="n">
        <v>66</v>
      </c>
      <c r="J1239" s="0" t="n">
        <v>0.828</v>
      </c>
      <c r="K1239" s="0" t="n">
        <v>0.792</v>
      </c>
      <c r="L1239" s="3" t="str">
        <f aca="false">IF(K1239&gt;0.66,"High",IF(K1239&gt;0.33&amp;K1239&lt;=0.66,"Medium","Low"))</f>
        <v>High</v>
      </c>
      <c r="M1239" s="0" t="n">
        <v>-5.435</v>
      </c>
      <c r="N1239" s="3" t="n">
        <v>0.179</v>
      </c>
      <c r="O1239" s="3" t="n">
        <v>0.182</v>
      </c>
      <c r="P1239" s="4" t="n">
        <v>0</v>
      </c>
      <c r="Q1239" s="3" t="n">
        <v>0.281</v>
      </c>
      <c r="R1239" s="3" t="n">
        <v>0.777</v>
      </c>
      <c r="S1239" s="3" t="str">
        <f aca="false">IF(R1239 &gt;= 0.5, "Positive", "Negative")</f>
        <v>Positive</v>
      </c>
      <c r="T1239" s="2" t="n">
        <v>134.199</v>
      </c>
      <c r="U1239" s="0" t="s">
        <v>31</v>
      </c>
    </row>
    <row r="1240" customFormat="false" ht="14.25" hidden="false" customHeight="false" outlineLevel="0" collapsed="false">
      <c r="A1240" s="0" t="n">
        <v>136</v>
      </c>
      <c r="B1240" s="0" t="str">
        <f aca="false">_xlfn.xlookup(A1240, artists!A$2:A$836, artists!B$2:B$836)</f>
        <v>Basement Jaxx</v>
      </c>
      <c r="C1240" s="1" t="s">
        <v>1275</v>
      </c>
      <c r="D1240" s="2" t="n">
        <v>217493</v>
      </c>
      <c r="E1240" s="2" t="n">
        <f aca="false">D1240/1000</f>
        <v>217.493</v>
      </c>
      <c r="F1240" s="10" t="b">
        <f aca="false">FALSE()</f>
        <v>0</v>
      </c>
      <c r="G1240" s="0" t="n">
        <v>4</v>
      </c>
      <c r="H1240" s="0" t="n">
        <f aca="false">_xlfn.xlookup(G1240, years!A$2:A$836, years!B$2:B$836)</f>
        <v>2001</v>
      </c>
      <c r="I1240" s="2" t="n">
        <v>0</v>
      </c>
      <c r="J1240" s="0" t="n">
        <v>0.713</v>
      </c>
      <c r="K1240" s="0" t="n">
        <v>0.829</v>
      </c>
      <c r="L1240" s="3" t="str">
        <f aca="false">IF(K1240&gt;0.66,"High",IF(K1240&gt;0.33&amp;K1240&lt;=0.66,"Medium","Low"))</f>
        <v>High</v>
      </c>
      <c r="M1240" s="0" t="n">
        <v>-4.171</v>
      </c>
      <c r="N1240" s="3" t="n">
        <v>0.0491</v>
      </c>
      <c r="O1240" s="3" t="n">
        <v>0.00769</v>
      </c>
      <c r="P1240" s="4" t="n">
        <v>0.00203</v>
      </c>
      <c r="Q1240" s="3" t="n">
        <v>0.139</v>
      </c>
      <c r="R1240" s="3" t="n">
        <v>0.844</v>
      </c>
      <c r="S1240" s="3" t="str">
        <f aca="false">IF(R1240 &gt;= 0.5, "Positive", "Negative")</f>
        <v>Positive</v>
      </c>
      <c r="T1240" s="2" t="n">
        <v>126.853</v>
      </c>
      <c r="U1240" s="0" t="s">
        <v>22</v>
      </c>
    </row>
    <row r="1241" customFormat="false" ht="14.25" hidden="false" customHeight="false" outlineLevel="0" collapsed="false">
      <c r="A1241" s="0" t="n">
        <v>191</v>
      </c>
      <c r="B1241" s="0" t="str">
        <f aca="false">_xlfn.xlookup(A1241, artists!A$2:A$836, artists!B$2:B$836)</f>
        <v>50 Cent</v>
      </c>
      <c r="C1241" s="1" t="s">
        <v>1276</v>
      </c>
      <c r="D1241" s="2" t="n">
        <v>249480</v>
      </c>
      <c r="E1241" s="2" t="n">
        <f aca="false">D1241/1000</f>
        <v>249.48</v>
      </c>
      <c r="F1241" s="10" t="b">
        <f aca="false">TRUE()</f>
        <v>1</v>
      </c>
      <c r="G1241" s="0" t="n">
        <v>6</v>
      </c>
      <c r="H1241" s="0" t="n">
        <f aca="false">_xlfn.xlookup(G1241, years!A$2:A$836, years!B$2:B$836)</f>
        <v>2003</v>
      </c>
      <c r="I1241" s="2" t="n">
        <v>76</v>
      </c>
      <c r="J1241" s="0" t="n">
        <v>0.712</v>
      </c>
      <c r="K1241" s="0" t="n">
        <v>0.772</v>
      </c>
      <c r="L1241" s="3" t="str">
        <f aca="false">IF(K1241&gt;0.66,"High",IF(K1241&gt;0.33&amp;K1241&lt;=0.66,"Medium","Low"))</f>
        <v>High</v>
      </c>
      <c r="M1241" s="0" t="n">
        <v>-3.024</v>
      </c>
      <c r="N1241" s="3" t="n">
        <v>0.346</v>
      </c>
      <c r="O1241" s="3" t="n">
        <v>0.0521</v>
      </c>
      <c r="P1241" s="4" t="n">
        <v>4.35E-006</v>
      </c>
      <c r="Q1241" s="3" t="n">
        <v>0.0368</v>
      </c>
      <c r="R1241" s="3" t="n">
        <v>0.848</v>
      </c>
      <c r="S1241" s="3" t="str">
        <f aca="false">IF(R1241 &gt;= 0.5, "Positive", "Negative")</f>
        <v>Positive</v>
      </c>
      <c r="T1241" s="2" t="n">
        <v>84.722</v>
      </c>
      <c r="U1241" s="0" t="s">
        <v>24</v>
      </c>
    </row>
    <row r="1242" customFormat="false" ht="14.25" hidden="false" customHeight="false" outlineLevel="0" collapsed="false">
      <c r="A1242" s="0" t="n">
        <v>657</v>
      </c>
      <c r="B1242" s="0" t="str">
        <f aca="false">_xlfn.xlookup(A1242, artists!A$2:A$836, artists!B$2:B$836)</f>
        <v>Zara Larsson</v>
      </c>
      <c r="C1242" s="1" t="s">
        <v>1277</v>
      </c>
      <c r="D1242" s="2" t="n">
        <v>224030</v>
      </c>
      <c r="E1242" s="2" t="n">
        <f aca="false">D1242/1000</f>
        <v>224.03</v>
      </c>
      <c r="F1242" s="10" t="b">
        <f aca="false">FALSE()</f>
        <v>0</v>
      </c>
      <c r="G1242" s="0" t="n">
        <v>20</v>
      </c>
      <c r="H1242" s="0" t="n">
        <f aca="false">_xlfn.xlookup(G1242, years!A$2:A$836, years!B$2:B$836)</f>
        <v>2017</v>
      </c>
      <c r="I1242" s="2" t="n">
        <v>67</v>
      </c>
      <c r="J1242" s="0" t="n">
        <v>0.576</v>
      </c>
      <c r="K1242" s="0" t="n">
        <v>0.782</v>
      </c>
      <c r="L1242" s="3" t="str">
        <f aca="false">IF(K1242&gt;0.66,"High",IF(K1242&gt;0.33&amp;K1242&lt;=0.66,"Medium","Low"))</f>
        <v>High</v>
      </c>
      <c r="M1242" s="0" t="n">
        <v>-4.825</v>
      </c>
      <c r="N1242" s="3" t="n">
        <v>0.0296</v>
      </c>
      <c r="O1242" s="3" t="n">
        <v>0.00778</v>
      </c>
      <c r="P1242" s="4" t="n">
        <v>0</v>
      </c>
      <c r="Q1242" s="3" t="n">
        <v>0.285</v>
      </c>
      <c r="R1242" s="3" t="n">
        <v>0.355</v>
      </c>
      <c r="S1242" s="3" t="str">
        <f aca="false">IF(R1242 &gt;= 0.5, "Positive", "Negative")</f>
        <v>Negative</v>
      </c>
      <c r="T1242" s="2" t="n">
        <v>141.153</v>
      </c>
      <c r="U1242" s="0" t="s">
        <v>22</v>
      </c>
    </row>
    <row r="1243" customFormat="false" ht="14.25" hidden="false" customHeight="false" outlineLevel="0" collapsed="false">
      <c r="A1243" s="0" t="n">
        <v>793</v>
      </c>
      <c r="B1243" s="0" t="str">
        <f aca="false">_xlfn.xlookup(A1243, artists!A$2:A$836, artists!B$2:B$836)</f>
        <v>Lil Nas X</v>
      </c>
      <c r="C1243" s="1" t="s">
        <v>1278</v>
      </c>
      <c r="D1243" s="2" t="n">
        <v>114893</v>
      </c>
      <c r="E1243" s="2" t="n">
        <f aca="false">D1243/1000</f>
        <v>114.893</v>
      </c>
      <c r="F1243" s="10" t="b">
        <f aca="false">FALSE()</f>
        <v>0</v>
      </c>
      <c r="G1243" s="0" t="n">
        <v>22</v>
      </c>
      <c r="H1243" s="0" t="n">
        <f aca="false">_xlfn.xlookup(G1243, years!A$2:A$836, years!B$2:B$836)</f>
        <v>2019</v>
      </c>
      <c r="I1243" s="2" t="n">
        <v>71</v>
      </c>
      <c r="J1243" s="0" t="n">
        <v>0.703</v>
      </c>
      <c r="K1243" s="0" t="n">
        <v>0.594</v>
      </c>
      <c r="L1243" s="3" t="str">
        <f aca="false">IF(K1243&gt;0.66,"High",IF(K1243&gt;0.33&amp;K1243&lt;=0.66,"Medium","Low"))</f>
        <v>Low</v>
      </c>
      <c r="M1243" s="0" t="n">
        <v>-6.146</v>
      </c>
      <c r="N1243" s="3" t="n">
        <v>0.0752</v>
      </c>
      <c r="O1243" s="3" t="n">
        <v>0.342</v>
      </c>
      <c r="P1243" s="4" t="n">
        <v>0</v>
      </c>
      <c r="Q1243" s="3" t="n">
        <v>0.123</v>
      </c>
      <c r="R1243" s="3" t="n">
        <v>0.475</v>
      </c>
      <c r="S1243" s="3" t="str">
        <f aca="false">IF(R1243 &gt;= 0.5, "Positive", "Negative")</f>
        <v>Negative</v>
      </c>
      <c r="T1243" s="2" t="n">
        <v>153.848</v>
      </c>
      <c r="U1243" s="0" t="s">
        <v>24</v>
      </c>
    </row>
    <row r="1244" customFormat="false" ht="14.25" hidden="false" customHeight="false" outlineLevel="0" collapsed="false">
      <c r="A1244" s="0" t="n">
        <v>470</v>
      </c>
      <c r="B1244" s="0" t="str">
        <f aca="false">_xlfn.xlookup(A1244, artists!A$2:A$836, artists!B$2:B$836)</f>
        <v>Stromae</v>
      </c>
      <c r="C1244" s="1" t="s">
        <v>1279</v>
      </c>
      <c r="D1244" s="2" t="n">
        <v>232146</v>
      </c>
      <c r="E1244" s="2" t="n">
        <f aca="false">D1244/1000</f>
        <v>232.146</v>
      </c>
      <c r="F1244" s="10" t="b">
        <f aca="false">FALSE()</f>
        <v>0</v>
      </c>
      <c r="G1244" s="0" t="n">
        <v>16</v>
      </c>
      <c r="H1244" s="0" t="n">
        <f aca="false">_xlfn.xlookup(G1244, years!A$2:A$836, years!B$2:B$836)</f>
        <v>2013</v>
      </c>
      <c r="I1244" s="2" t="n">
        <v>0</v>
      </c>
      <c r="J1244" s="0" t="n">
        <v>0.733</v>
      </c>
      <c r="K1244" s="0" t="n">
        <v>0.818</v>
      </c>
      <c r="L1244" s="3" t="str">
        <f aca="false">IF(K1244&gt;0.66,"High",IF(K1244&gt;0.33&amp;K1244&lt;=0.66,"Medium","Low"))</f>
        <v>High</v>
      </c>
      <c r="M1244" s="0" t="n">
        <v>-7.222</v>
      </c>
      <c r="N1244" s="3" t="n">
        <v>0.0859</v>
      </c>
      <c r="O1244" s="3" t="n">
        <v>0.0241</v>
      </c>
      <c r="P1244" s="4" t="n">
        <v>0</v>
      </c>
      <c r="Q1244" s="3" t="n">
        <v>0.0636</v>
      </c>
      <c r="R1244" s="3" t="n">
        <v>0.253</v>
      </c>
      <c r="S1244" s="3" t="str">
        <f aca="false">IF(R1244 &gt;= 0.5, "Positive", "Negative")</f>
        <v>Negative</v>
      </c>
      <c r="T1244" s="2" t="n">
        <v>116.019</v>
      </c>
      <c r="U1244" s="0" t="s">
        <v>39</v>
      </c>
    </row>
    <row r="1245" customFormat="false" ht="14.25" hidden="false" customHeight="false" outlineLevel="0" collapsed="false">
      <c r="A1245" s="0" t="n">
        <v>437</v>
      </c>
      <c r="B1245" s="0" t="str">
        <f aca="false">_xlfn.xlookup(A1245, artists!A$2:A$836, artists!B$2:B$836)</f>
        <v>Lady Gaga</v>
      </c>
      <c r="C1245" s="1" t="s">
        <v>1280</v>
      </c>
      <c r="D1245" s="2" t="n">
        <v>208306</v>
      </c>
      <c r="E1245" s="2" t="n">
        <f aca="false">D1245/1000</f>
        <v>208.306</v>
      </c>
      <c r="F1245" s="10" t="b">
        <f aca="false">FALSE()</f>
        <v>0</v>
      </c>
      <c r="G1245" s="0" t="n">
        <v>11</v>
      </c>
      <c r="H1245" s="0" t="n">
        <f aca="false">_xlfn.xlookup(G1245, years!A$2:A$836, years!B$2:B$836)</f>
        <v>2008</v>
      </c>
      <c r="I1245" s="2" t="n">
        <v>70</v>
      </c>
      <c r="J1245" s="0" t="n">
        <v>0.762</v>
      </c>
      <c r="K1245" s="0" t="n">
        <v>0.692</v>
      </c>
      <c r="L1245" s="3" t="str">
        <f aca="false">IF(K1245&gt;0.66,"High",IF(K1245&gt;0.33&amp;K1245&lt;=0.66,"Medium","Low"))</f>
        <v>High</v>
      </c>
      <c r="M1245" s="0" t="n">
        <v>-3.973</v>
      </c>
      <c r="N1245" s="3" t="n">
        <v>0.0438</v>
      </c>
      <c r="O1245" s="3" t="n">
        <v>0.113</v>
      </c>
      <c r="P1245" s="4" t="n">
        <v>0</v>
      </c>
      <c r="Q1245" s="3" t="n">
        <v>0.094</v>
      </c>
      <c r="R1245" s="3" t="n">
        <v>0.397</v>
      </c>
      <c r="S1245" s="3" t="str">
        <f aca="false">IF(R1245 &gt;= 0.5, "Positive", "Negative")</f>
        <v>Negative</v>
      </c>
      <c r="T1245" s="2" t="n">
        <v>114.906</v>
      </c>
      <c r="U1245" s="0" t="s">
        <v>39</v>
      </c>
    </row>
    <row r="1246" customFormat="false" ht="14.25" hidden="false" customHeight="false" outlineLevel="0" collapsed="false">
      <c r="A1246" s="0" t="n">
        <v>416</v>
      </c>
      <c r="B1246" s="0" t="str">
        <f aca="false">_xlfn.xlookup(A1246, artists!A$2:A$836, artists!B$2:B$836)</f>
        <v>M.I.A.</v>
      </c>
      <c r="C1246" s="1" t="s">
        <v>1281</v>
      </c>
      <c r="D1246" s="2" t="n">
        <v>205200</v>
      </c>
      <c r="E1246" s="2" t="n">
        <f aca="false">D1246/1000</f>
        <v>205.2</v>
      </c>
      <c r="F1246" s="10" t="b">
        <f aca="false">FALSE()</f>
        <v>0</v>
      </c>
      <c r="G1246" s="0" t="n">
        <v>10</v>
      </c>
      <c r="H1246" s="0" t="n">
        <f aca="false">_xlfn.xlookup(G1246, years!A$2:A$836, years!B$2:B$836)</f>
        <v>2007</v>
      </c>
      <c r="I1246" s="2" t="n">
        <v>1</v>
      </c>
      <c r="J1246" s="0" t="n">
        <v>0.447</v>
      </c>
      <c r="K1246" s="0" t="n">
        <v>0.848</v>
      </c>
      <c r="L1246" s="3" t="str">
        <f aca="false">IF(K1246&gt;0.66,"High",IF(K1246&gt;0.33&amp;K1246&lt;=0.66,"Medium","Low"))</f>
        <v>High</v>
      </c>
      <c r="M1246" s="0" t="n">
        <v>-6.175</v>
      </c>
      <c r="N1246" s="3" t="n">
        <v>0.222</v>
      </c>
      <c r="O1246" s="3" t="n">
        <v>0.033</v>
      </c>
      <c r="P1246" s="4" t="n">
        <v>7.45E-005</v>
      </c>
      <c r="Q1246" s="3" t="n">
        <v>0.65</v>
      </c>
      <c r="R1246" s="3" t="n">
        <v>0.485</v>
      </c>
      <c r="S1246" s="3" t="str">
        <f aca="false">IF(R1246 &gt;= 0.5, "Positive", "Negative")</f>
        <v>Negative</v>
      </c>
      <c r="T1246" s="2" t="n">
        <v>172.247</v>
      </c>
      <c r="U1246" s="0" t="s">
        <v>210</v>
      </c>
    </row>
    <row r="1247" customFormat="false" ht="14.25" hidden="false" customHeight="false" outlineLevel="0" collapsed="false">
      <c r="A1247" s="0" t="n">
        <v>707</v>
      </c>
      <c r="B1247" s="0" t="str">
        <f aca="false">_xlfn.xlookup(A1247, artists!A$2:A$836, artists!B$2:B$836)</f>
        <v>Illy</v>
      </c>
      <c r="C1247" s="1" t="s">
        <v>1282</v>
      </c>
      <c r="D1247" s="2" t="n">
        <v>255889</v>
      </c>
      <c r="E1247" s="2" t="n">
        <f aca="false">D1247/1000</f>
        <v>255.889</v>
      </c>
      <c r="F1247" s="10" t="b">
        <f aca="false">FALSE()</f>
        <v>0</v>
      </c>
      <c r="G1247" s="0" t="n">
        <v>19</v>
      </c>
      <c r="H1247" s="0" t="n">
        <f aca="false">_xlfn.xlookup(G1247, years!A$2:A$836, years!B$2:B$836)</f>
        <v>2016</v>
      </c>
      <c r="I1247" s="2" t="n">
        <v>51</v>
      </c>
      <c r="J1247" s="0" t="n">
        <v>0.369</v>
      </c>
      <c r="K1247" s="0" t="n">
        <v>0.618</v>
      </c>
      <c r="L1247" s="3" t="str">
        <f aca="false">IF(K1247&gt;0.66,"High",IF(K1247&gt;0.33&amp;K1247&lt;=0.66,"Medium","Low"))</f>
        <v>Low</v>
      </c>
      <c r="M1247" s="0" t="n">
        <v>-6.304</v>
      </c>
      <c r="N1247" s="3" t="n">
        <v>0.249</v>
      </c>
      <c r="O1247" s="3" t="n">
        <v>0.161</v>
      </c>
      <c r="P1247" s="4" t="n">
        <v>0</v>
      </c>
      <c r="Q1247" s="3" t="n">
        <v>0.257</v>
      </c>
      <c r="R1247" s="3" t="n">
        <v>0.467</v>
      </c>
      <c r="S1247" s="3" t="str">
        <f aca="false">IF(R1247 &gt;= 0.5, "Positive", "Negative")</f>
        <v>Negative</v>
      </c>
      <c r="T1247" s="2" t="n">
        <v>191.863</v>
      </c>
      <c r="U1247" s="0" t="s">
        <v>53</v>
      </c>
    </row>
    <row r="1248" customFormat="false" ht="14.25" hidden="false" customHeight="false" outlineLevel="0" collapsed="false">
      <c r="A1248" s="0" t="n">
        <v>180</v>
      </c>
      <c r="B1248" s="0" t="str">
        <f aca="false">_xlfn.xlookup(A1248, artists!A$2:A$836, artists!B$2:B$836)</f>
        <v>Coldplay</v>
      </c>
      <c r="C1248" s="1" t="s">
        <v>1283</v>
      </c>
      <c r="D1248" s="2" t="n">
        <v>278719</v>
      </c>
      <c r="E1248" s="2" t="n">
        <f aca="false">D1248/1000</f>
        <v>278.719</v>
      </c>
      <c r="F1248" s="10" t="b">
        <f aca="false">FALSE()</f>
        <v>0</v>
      </c>
      <c r="G1248" s="0" t="n">
        <v>14</v>
      </c>
      <c r="H1248" s="0" t="n">
        <f aca="false">_xlfn.xlookup(G1248, years!A$2:A$836, years!B$2:B$836)</f>
        <v>2011</v>
      </c>
      <c r="I1248" s="2" t="n">
        <v>82</v>
      </c>
      <c r="J1248" s="0" t="n">
        <v>0.449</v>
      </c>
      <c r="K1248" s="0" t="n">
        <v>0.585</v>
      </c>
      <c r="L1248" s="3" t="str">
        <f aca="false">IF(K1248&gt;0.66,"High",IF(K1248&gt;0.33&amp;K1248&lt;=0.66,"Medium","Low"))</f>
        <v>Low</v>
      </c>
      <c r="M1248" s="0" t="n">
        <v>-6.761</v>
      </c>
      <c r="N1248" s="3" t="n">
        <v>0.0268</v>
      </c>
      <c r="O1248" s="3" t="n">
        <v>0.0509</v>
      </c>
      <c r="P1248" s="4" t="n">
        <v>8.75E-005</v>
      </c>
      <c r="Q1248" s="3" t="n">
        <v>0.0833</v>
      </c>
      <c r="R1248" s="3" t="n">
        <v>0.212</v>
      </c>
      <c r="S1248" s="3" t="str">
        <f aca="false">IF(R1248 &gt;= 0.5, "Positive", "Negative")</f>
        <v>Negative</v>
      </c>
      <c r="T1248" s="2" t="n">
        <v>139.631</v>
      </c>
      <c r="U1248" s="0" t="s">
        <v>35</v>
      </c>
    </row>
    <row r="1249" customFormat="false" ht="14.25" hidden="false" customHeight="false" outlineLevel="0" collapsed="false">
      <c r="A1249" s="0" t="n">
        <v>369</v>
      </c>
      <c r="B1249" s="0" t="str">
        <f aca="false">_xlfn.xlookup(A1249, artists!A$2:A$836, artists!B$2:B$836)</f>
        <v>Finger Eleven</v>
      </c>
      <c r="C1249" s="1" t="s">
        <v>1284</v>
      </c>
      <c r="D1249" s="2" t="n">
        <v>208106</v>
      </c>
      <c r="E1249" s="2" t="n">
        <f aca="false">D1249/1000</f>
        <v>208.106</v>
      </c>
      <c r="F1249" s="10" t="b">
        <f aca="false">FALSE()</f>
        <v>0</v>
      </c>
      <c r="G1249" s="0" t="n">
        <v>10</v>
      </c>
      <c r="H1249" s="0" t="n">
        <f aca="false">_xlfn.xlookup(G1249, years!A$2:A$836, years!B$2:B$836)</f>
        <v>2007</v>
      </c>
      <c r="I1249" s="2" t="n">
        <v>73</v>
      </c>
      <c r="J1249" s="0" t="n">
        <v>0.644</v>
      </c>
      <c r="K1249" s="0" t="n">
        <v>0.939</v>
      </c>
      <c r="L1249" s="3" t="str">
        <f aca="false">IF(K1249&gt;0.66,"High",IF(K1249&gt;0.33&amp;K1249&lt;=0.66,"Medium","Low"))</f>
        <v>High</v>
      </c>
      <c r="M1249" s="0" t="n">
        <v>-3.486</v>
      </c>
      <c r="N1249" s="3" t="n">
        <v>0.0456</v>
      </c>
      <c r="O1249" s="3" t="n">
        <v>0.157</v>
      </c>
      <c r="P1249" s="4" t="n">
        <v>0</v>
      </c>
      <c r="Q1249" s="3" t="n">
        <v>0.233</v>
      </c>
      <c r="R1249" s="3" t="n">
        <v>0.861</v>
      </c>
      <c r="S1249" s="3" t="str">
        <f aca="false">IF(R1249 &gt;= 0.5, "Positive", "Negative")</f>
        <v>Positive</v>
      </c>
      <c r="T1249" s="2" t="n">
        <v>106.031</v>
      </c>
      <c r="U1249" s="0" t="s">
        <v>81</v>
      </c>
    </row>
    <row r="1250" customFormat="false" ht="14.25" hidden="false" customHeight="false" outlineLevel="0" collapsed="false">
      <c r="A1250" s="0" t="n">
        <v>619</v>
      </c>
      <c r="B1250" s="0" t="str">
        <f aca="false">_xlfn.xlookup(A1250, artists!A$2:A$836, artists!B$2:B$836)</f>
        <v>The Chainsmokers</v>
      </c>
      <c r="C1250" s="1" t="s">
        <v>1285</v>
      </c>
      <c r="D1250" s="2" t="n">
        <v>221506</v>
      </c>
      <c r="E1250" s="2" t="n">
        <f aca="false">D1250/1000</f>
        <v>221.506</v>
      </c>
      <c r="F1250" s="10" t="b">
        <f aca="false">FALSE()</f>
        <v>0</v>
      </c>
      <c r="G1250" s="0" t="n">
        <v>20</v>
      </c>
      <c r="H1250" s="0" t="n">
        <f aca="false">_xlfn.xlookup(G1250, years!A$2:A$836, years!B$2:B$836)</f>
        <v>2017</v>
      </c>
      <c r="I1250" s="2" t="n">
        <v>73</v>
      </c>
      <c r="J1250" s="0" t="n">
        <v>0.653</v>
      </c>
      <c r="K1250" s="0" t="n">
        <v>0.658</v>
      </c>
      <c r="L1250" s="3" t="str">
        <f aca="false">IF(K1250&gt;0.66,"High",IF(K1250&gt;0.33&amp;K1250&lt;=0.66,"Medium","Low"))</f>
        <v>Low</v>
      </c>
      <c r="M1250" s="0" t="n">
        <v>-6.428</v>
      </c>
      <c r="N1250" s="3" t="n">
        <v>0.0304</v>
      </c>
      <c r="O1250" s="3" t="n">
        <v>0.0215</v>
      </c>
      <c r="P1250" s="4" t="n">
        <v>1.66E-006</v>
      </c>
      <c r="Q1250" s="3" t="n">
        <v>0.0939</v>
      </c>
      <c r="R1250" s="3" t="n">
        <v>0.219</v>
      </c>
      <c r="S1250" s="3" t="str">
        <f aca="false">IF(R1250 &gt;= 0.5, "Positive", "Negative")</f>
        <v>Negative</v>
      </c>
      <c r="T1250" s="2" t="n">
        <v>99.99</v>
      </c>
      <c r="U1250" s="0" t="s">
        <v>22</v>
      </c>
    </row>
    <row r="1251" customFormat="false" ht="14.25" hidden="false" customHeight="false" outlineLevel="0" collapsed="false">
      <c r="A1251" s="0" t="n">
        <v>398</v>
      </c>
      <c r="B1251" s="0" t="str">
        <f aca="false">_xlfn.xlookup(A1251, artists!A$2:A$836, artists!B$2:B$836)</f>
        <v>Katy Perry</v>
      </c>
      <c r="C1251" s="1" t="s">
        <v>1286</v>
      </c>
      <c r="D1251" s="2" t="n">
        <v>216160</v>
      </c>
      <c r="E1251" s="2" t="n">
        <f aca="false">D1251/1000</f>
        <v>216.16</v>
      </c>
      <c r="F1251" s="10" t="b">
        <f aca="false">FALSE()</f>
        <v>0</v>
      </c>
      <c r="G1251" s="0" t="n">
        <v>15</v>
      </c>
      <c r="H1251" s="0" t="n">
        <f aca="false">_xlfn.xlookup(G1251, years!A$2:A$836, years!B$2:B$836)</f>
        <v>2012</v>
      </c>
      <c r="I1251" s="2" t="n">
        <v>73</v>
      </c>
      <c r="J1251" s="0" t="n">
        <v>0.678</v>
      </c>
      <c r="K1251" s="0" t="n">
        <v>0.918</v>
      </c>
      <c r="L1251" s="3" t="str">
        <f aca="false">IF(K1251&gt;0.66,"High",IF(K1251&gt;0.33&amp;K1251&lt;=0.66,"Medium","Low"))</f>
        <v>High</v>
      </c>
      <c r="M1251" s="0" t="n">
        <v>-4.63</v>
      </c>
      <c r="N1251" s="3" t="n">
        <v>0.0355</v>
      </c>
      <c r="O1251" s="3" t="n">
        <v>0.000417</v>
      </c>
      <c r="P1251" s="4" t="n">
        <v>0</v>
      </c>
      <c r="Q1251" s="3" t="n">
        <v>0.0744</v>
      </c>
      <c r="R1251" s="3" t="n">
        <v>0.769</v>
      </c>
      <c r="S1251" s="3" t="str">
        <f aca="false">IF(R1251 &gt;= 0.5, "Positive", "Negative")</f>
        <v>Positive</v>
      </c>
      <c r="T1251" s="2" t="n">
        <v>130.028</v>
      </c>
      <c r="U1251" s="0" t="s">
        <v>39</v>
      </c>
    </row>
    <row r="1252" customFormat="false" ht="14.25" hidden="false" customHeight="false" outlineLevel="0" collapsed="false">
      <c r="A1252" s="0" t="n">
        <v>406</v>
      </c>
      <c r="B1252" s="0" t="str">
        <f aca="false">_xlfn.xlookup(A1252, artists!A$2:A$836, artists!B$2:B$836)</f>
        <v>Miley Cyrus</v>
      </c>
      <c r="C1252" s="1" t="s">
        <v>1287</v>
      </c>
      <c r="D1252" s="2" t="n">
        <v>202066</v>
      </c>
      <c r="E1252" s="2" t="n">
        <f aca="false">D1252/1000</f>
        <v>202.066</v>
      </c>
      <c r="F1252" s="10" t="b">
        <f aca="false">FALSE()</f>
        <v>0</v>
      </c>
      <c r="G1252" s="0" t="n">
        <v>12</v>
      </c>
      <c r="H1252" s="0" t="n">
        <f aca="false">_xlfn.xlookup(G1252, years!A$2:A$836, years!B$2:B$836)</f>
        <v>2009</v>
      </c>
      <c r="I1252" s="2" t="n">
        <v>79</v>
      </c>
      <c r="J1252" s="0" t="n">
        <v>0.652</v>
      </c>
      <c r="K1252" s="0" t="n">
        <v>0.698</v>
      </c>
      <c r="L1252" s="3" t="str">
        <f aca="false">IF(K1252&gt;0.66,"High",IF(K1252&gt;0.33&amp;K1252&lt;=0.66,"Medium","Low"))</f>
        <v>High</v>
      </c>
      <c r="M1252" s="0" t="n">
        <v>-4.667</v>
      </c>
      <c r="N1252" s="3" t="n">
        <v>0.042</v>
      </c>
      <c r="O1252" s="3" t="n">
        <v>0.00112</v>
      </c>
      <c r="P1252" s="4" t="n">
        <v>0.000115</v>
      </c>
      <c r="Q1252" s="3" t="n">
        <v>0.0886</v>
      </c>
      <c r="R1252" s="3" t="n">
        <v>0.47</v>
      </c>
      <c r="S1252" s="3" t="str">
        <f aca="false">IF(R1252 &gt;= 0.5, "Positive", "Negative")</f>
        <v>Negative</v>
      </c>
      <c r="T1252" s="2" t="n">
        <v>96.021</v>
      </c>
      <c r="U1252" s="0" t="s">
        <v>39</v>
      </c>
    </row>
    <row r="1253" customFormat="false" ht="14.25" hidden="false" customHeight="false" outlineLevel="0" collapsed="false">
      <c r="A1253" s="0" t="n">
        <v>368</v>
      </c>
      <c r="B1253" s="0" t="str">
        <f aca="false">_xlfn.xlookup(A1253, artists!A$2:A$836, artists!B$2:B$836)</f>
        <v>Shop Boyz</v>
      </c>
      <c r="C1253" s="1" t="s">
        <v>1288</v>
      </c>
      <c r="D1253" s="2" t="n">
        <v>253400</v>
      </c>
      <c r="E1253" s="2" t="n">
        <f aca="false">D1253/1000</f>
        <v>253.4</v>
      </c>
      <c r="F1253" s="10" t="b">
        <f aca="false">TRUE()</f>
        <v>1</v>
      </c>
      <c r="G1253" s="0" t="n">
        <v>10</v>
      </c>
      <c r="H1253" s="0" t="n">
        <f aca="false">_xlfn.xlookup(G1253, years!A$2:A$836, years!B$2:B$836)</f>
        <v>2007</v>
      </c>
      <c r="I1253" s="2" t="n">
        <v>61</v>
      </c>
      <c r="J1253" s="0" t="n">
        <v>0.619</v>
      </c>
      <c r="K1253" s="0" t="n">
        <v>0.709</v>
      </c>
      <c r="L1253" s="3" t="str">
        <f aca="false">IF(K1253&gt;0.66,"High",IF(K1253&gt;0.33&amp;K1253&lt;=0.66,"Medium","Low"))</f>
        <v>High</v>
      </c>
      <c r="M1253" s="0" t="n">
        <v>-4.633</v>
      </c>
      <c r="N1253" s="3" t="n">
        <v>0.0395</v>
      </c>
      <c r="O1253" s="3" t="n">
        <v>0.00541</v>
      </c>
      <c r="P1253" s="4" t="n">
        <v>0</v>
      </c>
      <c r="Q1253" s="3" t="n">
        <v>0.507</v>
      </c>
      <c r="R1253" s="3" t="n">
        <v>0.68</v>
      </c>
      <c r="S1253" s="3" t="str">
        <f aca="false">IF(R1253 &gt;= 0.5, "Positive", "Negative")</f>
        <v>Positive</v>
      </c>
      <c r="T1253" s="2" t="n">
        <v>144.972</v>
      </c>
      <c r="U1253" s="0" t="s">
        <v>24</v>
      </c>
    </row>
    <row r="1254" customFormat="false" ht="14.25" hidden="false" customHeight="false" outlineLevel="0" collapsed="false">
      <c r="A1254" s="0" t="n">
        <v>509</v>
      </c>
      <c r="B1254" s="0" t="str">
        <f aca="false">_xlfn.xlookup(A1254, artists!A$2:A$836, artists!B$2:B$836)</f>
        <v>LMFAO</v>
      </c>
      <c r="C1254" s="1" t="s">
        <v>1289</v>
      </c>
      <c r="D1254" s="2" t="n">
        <v>262146</v>
      </c>
      <c r="E1254" s="2" t="n">
        <f aca="false">D1254/1000</f>
        <v>262.146</v>
      </c>
      <c r="F1254" s="10" t="b">
        <f aca="false">FALSE()</f>
        <v>0</v>
      </c>
      <c r="G1254" s="0" t="n">
        <v>14</v>
      </c>
      <c r="H1254" s="0" t="n">
        <f aca="false">_xlfn.xlookup(G1254, years!A$2:A$836, years!B$2:B$836)</f>
        <v>2011</v>
      </c>
      <c r="I1254" s="2" t="n">
        <v>73</v>
      </c>
      <c r="J1254" s="0" t="n">
        <v>0.751</v>
      </c>
      <c r="K1254" s="0" t="n">
        <v>0.736</v>
      </c>
      <c r="L1254" s="3" t="str">
        <f aca="false">IF(K1254&gt;0.66,"High",IF(K1254&gt;0.33&amp;K1254&lt;=0.66,"Medium","Low"))</f>
        <v>High</v>
      </c>
      <c r="M1254" s="0" t="n">
        <v>-4.168</v>
      </c>
      <c r="N1254" s="3" t="n">
        <v>0.156</v>
      </c>
      <c r="O1254" s="3" t="n">
        <v>0.0206</v>
      </c>
      <c r="P1254" s="4" t="n">
        <v>0</v>
      </c>
      <c r="Q1254" s="3" t="n">
        <v>0.265</v>
      </c>
      <c r="R1254" s="3" t="n">
        <v>0.352</v>
      </c>
      <c r="S1254" s="3" t="str">
        <f aca="false">IF(R1254 &gt;= 0.5, "Positive", "Negative")</f>
        <v>Negative</v>
      </c>
      <c r="T1254" s="2" t="n">
        <v>130.014</v>
      </c>
      <c r="U1254" s="0" t="s">
        <v>53</v>
      </c>
    </row>
    <row r="1255" customFormat="false" ht="14.25" hidden="false" customHeight="false" outlineLevel="0" collapsed="false">
      <c r="A1255" s="0" t="n">
        <v>29</v>
      </c>
      <c r="B1255" s="0" t="str">
        <f aca="false">_xlfn.xlookup(A1255, artists!A$2:A$836, artists!B$2:B$836)</f>
        <v>DMX</v>
      </c>
      <c r="C1255" s="1" t="s">
        <v>1290</v>
      </c>
      <c r="D1255" s="2" t="n">
        <v>268866</v>
      </c>
      <c r="E1255" s="2" t="n">
        <f aca="false">D1255/1000</f>
        <v>268.866</v>
      </c>
      <c r="F1255" s="10" t="b">
        <f aca="false">TRUE()</f>
        <v>1</v>
      </c>
      <c r="G1255" s="0" t="n">
        <v>2</v>
      </c>
      <c r="H1255" s="0" t="n">
        <f aca="false">_xlfn.xlookup(G1255, years!A$2:A$836, years!B$2:B$836)</f>
        <v>1999</v>
      </c>
      <c r="I1255" s="2" t="n">
        <v>71</v>
      </c>
      <c r="J1255" s="0" t="n">
        <v>0.51</v>
      </c>
      <c r="K1255" s="0" t="n">
        <v>0.931</v>
      </c>
      <c r="L1255" s="3" t="str">
        <f aca="false">IF(K1255&gt;0.66,"High",IF(K1255&gt;0.33&amp;K1255&lt;=0.66,"Medium","Low"))</f>
        <v>High</v>
      </c>
      <c r="M1255" s="0" t="n">
        <v>-3.302</v>
      </c>
      <c r="N1255" s="3" t="n">
        <v>0.347</v>
      </c>
      <c r="O1255" s="3" t="n">
        <v>0.0738</v>
      </c>
      <c r="P1255" s="4" t="n">
        <v>0</v>
      </c>
      <c r="Q1255" s="3" t="n">
        <v>0.5</v>
      </c>
      <c r="R1255" s="3" t="n">
        <v>0.53</v>
      </c>
      <c r="S1255" s="3" t="str">
        <f aca="false">IF(R1255 &gt;= 0.5, "Positive", "Negative")</f>
        <v>Positive</v>
      </c>
      <c r="T1255" s="2" t="n">
        <v>201.936</v>
      </c>
      <c r="U1255" s="0" t="s">
        <v>24</v>
      </c>
    </row>
    <row r="1256" customFormat="false" ht="14.25" hidden="false" customHeight="false" outlineLevel="0" collapsed="false">
      <c r="A1256" s="0" t="n">
        <v>483</v>
      </c>
      <c r="B1256" s="0" t="str">
        <f aca="false">_xlfn.xlookup(A1256, artists!A$2:A$836, artists!B$2:B$836)</f>
        <v>Tinie Tempah</v>
      </c>
      <c r="C1256" s="1" t="s">
        <v>1291</v>
      </c>
      <c r="D1256" s="2" t="n">
        <v>268053</v>
      </c>
      <c r="E1256" s="2" t="n">
        <f aca="false">D1256/1000</f>
        <v>268.053</v>
      </c>
      <c r="F1256" s="10" t="b">
        <f aca="false">TRUE()</f>
        <v>1</v>
      </c>
      <c r="G1256" s="0" t="n">
        <v>13</v>
      </c>
      <c r="H1256" s="0" t="n">
        <f aca="false">_xlfn.xlookup(G1256, years!A$2:A$836, years!B$2:B$836)</f>
        <v>2010</v>
      </c>
      <c r="I1256" s="2" t="n">
        <v>53</v>
      </c>
      <c r="J1256" s="0" t="n">
        <v>0.693</v>
      </c>
      <c r="K1256" s="0" t="n">
        <v>0.891</v>
      </c>
      <c r="L1256" s="3" t="str">
        <f aca="false">IF(K1256&gt;0.66,"High",IF(K1256&gt;0.33&amp;K1256&lt;=0.66,"Medium","Low"))</f>
        <v>High</v>
      </c>
      <c r="M1256" s="0" t="n">
        <v>-3.261</v>
      </c>
      <c r="N1256" s="3" t="n">
        <v>0.296</v>
      </c>
      <c r="O1256" s="3" t="n">
        <v>0.0281</v>
      </c>
      <c r="P1256" s="4" t="n">
        <v>0</v>
      </c>
      <c r="Q1256" s="3" t="n">
        <v>0.143</v>
      </c>
      <c r="R1256" s="3" t="n">
        <v>0.532</v>
      </c>
      <c r="S1256" s="3" t="str">
        <f aca="false">IF(R1256 &gt;= 0.5, "Positive", "Negative")</f>
        <v>Positive</v>
      </c>
      <c r="T1256" s="2" t="n">
        <v>91.1</v>
      </c>
      <c r="U1256" s="0" t="s">
        <v>53</v>
      </c>
    </row>
    <row r="1257" customFormat="false" ht="14.25" hidden="false" customHeight="false" outlineLevel="0" collapsed="false">
      <c r="A1257" s="0" t="n">
        <v>469</v>
      </c>
      <c r="B1257" s="0" t="str">
        <f aca="false">_xlfn.xlookup(A1257, artists!A$2:A$836, artists!B$2:B$836)</f>
        <v>Bruno Mars</v>
      </c>
      <c r="C1257" s="1" t="s">
        <v>1292</v>
      </c>
      <c r="D1257" s="2" t="n">
        <v>233478</v>
      </c>
      <c r="E1257" s="2" t="n">
        <f aca="false">D1257/1000</f>
        <v>233.478</v>
      </c>
      <c r="F1257" s="10" t="b">
        <f aca="false">FALSE()</f>
        <v>0</v>
      </c>
      <c r="G1257" s="0" t="n">
        <v>15</v>
      </c>
      <c r="H1257" s="0" t="n">
        <f aca="false">_xlfn.xlookup(G1257, years!A$2:A$836, years!B$2:B$836)</f>
        <v>2012</v>
      </c>
      <c r="I1257" s="2" t="n">
        <v>85</v>
      </c>
      <c r="J1257" s="0" t="n">
        <v>0.726</v>
      </c>
      <c r="K1257" s="0" t="n">
        <v>0.698</v>
      </c>
      <c r="L1257" s="3" t="str">
        <f aca="false">IF(K1257&gt;0.66,"High",IF(K1257&gt;0.33&amp;K1257&lt;=0.66,"Medium","Low"))</f>
        <v>High</v>
      </c>
      <c r="M1257" s="0" t="n">
        <v>-4.165</v>
      </c>
      <c r="N1257" s="3" t="n">
        <v>0.0431</v>
      </c>
      <c r="O1257" s="3" t="n">
        <v>0.049</v>
      </c>
      <c r="P1257" s="4" t="n">
        <v>0</v>
      </c>
      <c r="Q1257" s="3" t="n">
        <v>0.309</v>
      </c>
      <c r="R1257" s="3" t="n">
        <v>0.867</v>
      </c>
      <c r="S1257" s="3" t="str">
        <f aca="false">IF(R1257 &gt;= 0.5, "Positive", "Negative")</f>
        <v>Positive</v>
      </c>
      <c r="T1257" s="2" t="n">
        <v>143.994</v>
      </c>
      <c r="U1257" s="0" t="s">
        <v>39</v>
      </c>
    </row>
    <row r="1258" customFormat="false" ht="14.25" hidden="false" customHeight="false" outlineLevel="0" collapsed="false">
      <c r="A1258" s="0" t="n">
        <v>455</v>
      </c>
      <c r="B1258" s="0" t="str">
        <f aca="false">_xlfn.xlookup(A1258, artists!A$2:A$836, artists!B$2:B$836)</f>
        <v>Drake</v>
      </c>
      <c r="C1258" s="1" t="s">
        <v>1293</v>
      </c>
      <c r="D1258" s="2" t="n">
        <v>298940</v>
      </c>
      <c r="E1258" s="2" t="n">
        <f aca="false">D1258/1000</f>
        <v>298.94</v>
      </c>
      <c r="F1258" s="10" t="b">
        <f aca="false">TRUE()</f>
        <v>1</v>
      </c>
      <c r="G1258" s="0" t="n">
        <v>20</v>
      </c>
      <c r="H1258" s="0" t="n">
        <f aca="false">_xlfn.xlookup(G1258, years!A$2:A$836, years!B$2:B$836)</f>
        <v>2017</v>
      </c>
      <c r="I1258" s="2" t="n">
        <v>0</v>
      </c>
      <c r="J1258" s="0" t="n">
        <v>0.809</v>
      </c>
      <c r="K1258" s="0" t="n">
        <v>0.463</v>
      </c>
      <c r="L1258" s="3" t="str">
        <f aca="false">IF(K1258&gt;0.66,"High",IF(K1258&gt;0.33&amp;K1258&lt;=0.66,"Medium","Low"))</f>
        <v>Low</v>
      </c>
      <c r="M1258" s="0" t="n">
        <v>-11.377</v>
      </c>
      <c r="N1258" s="3" t="n">
        <v>0.0396</v>
      </c>
      <c r="O1258" s="3" t="n">
        <v>0.256</v>
      </c>
      <c r="P1258" s="4" t="n">
        <v>0.085</v>
      </c>
      <c r="Q1258" s="3" t="n">
        <v>0.109</v>
      </c>
      <c r="R1258" s="3" t="n">
        <v>0.364</v>
      </c>
      <c r="S1258" s="3" t="str">
        <f aca="false">IF(R1258 &gt;= 0.5, "Positive", "Negative")</f>
        <v>Negative</v>
      </c>
      <c r="T1258" s="2" t="n">
        <v>111.98</v>
      </c>
      <c r="U1258" s="0" t="s">
        <v>31</v>
      </c>
    </row>
    <row r="1259" customFormat="false" ht="14.25" hidden="false" customHeight="false" outlineLevel="0" collapsed="false">
      <c r="A1259" s="0" t="n">
        <v>331</v>
      </c>
      <c r="B1259" s="0" t="str">
        <f aca="false">_xlfn.xlookup(A1259, artists!A$2:A$836, artists!B$2:B$836)</f>
        <v>Take That</v>
      </c>
      <c r="C1259" s="1" t="s">
        <v>1294</v>
      </c>
      <c r="D1259" s="2" t="n">
        <v>202066</v>
      </c>
      <c r="E1259" s="2" t="n">
        <f aca="false">D1259/1000</f>
        <v>202.066</v>
      </c>
      <c r="F1259" s="10" t="b">
        <f aca="false">FALSE()</f>
        <v>0</v>
      </c>
      <c r="G1259" s="0" t="n">
        <v>9</v>
      </c>
      <c r="H1259" s="0" t="n">
        <f aca="false">_xlfn.xlookup(G1259, years!A$2:A$836, years!B$2:B$836)</f>
        <v>2006</v>
      </c>
      <c r="I1259" s="2" t="n">
        <v>64</v>
      </c>
      <c r="J1259" s="0" t="n">
        <v>0.309</v>
      </c>
      <c r="K1259" s="0" t="n">
        <v>0.783</v>
      </c>
      <c r="L1259" s="3" t="str">
        <f aca="false">IF(K1259&gt;0.66,"High",IF(K1259&gt;0.33&amp;K1259&lt;=0.66,"Medium","Low"))</f>
        <v>High</v>
      </c>
      <c r="M1259" s="0" t="n">
        <v>-4.154</v>
      </c>
      <c r="N1259" s="3" t="n">
        <v>0.0405</v>
      </c>
      <c r="O1259" s="3" t="n">
        <v>0.142</v>
      </c>
      <c r="P1259" s="4" t="n">
        <v>1.11E-006</v>
      </c>
      <c r="Q1259" s="3" t="n">
        <v>0.118</v>
      </c>
      <c r="R1259" s="3" t="n">
        <v>0.372</v>
      </c>
      <c r="S1259" s="3" t="str">
        <f aca="false">IF(R1259 &gt;= 0.5, "Positive", "Negative")</f>
        <v>Negative</v>
      </c>
      <c r="T1259" s="2" t="n">
        <v>175.788</v>
      </c>
      <c r="U1259" s="0" t="s">
        <v>39</v>
      </c>
    </row>
    <row r="1260" customFormat="false" ht="14.25" hidden="false" customHeight="false" outlineLevel="0" collapsed="false">
      <c r="A1260" s="0" t="n">
        <v>236</v>
      </c>
      <c r="B1260" s="0" t="str">
        <f aca="false">_xlfn.xlookup(A1260, artists!A$2:A$836, artists!B$2:B$836)</f>
        <v>Maroon 5</v>
      </c>
      <c r="C1260" s="1" t="s">
        <v>1295</v>
      </c>
      <c r="D1260" s="2" t="n">
        <v>231173</v>
      </c>
      <c r="E1260" s="2" t="n">
        <f aca="false">D1260/1000</f>
        <v>231.173</v>
      </c>
      <c r="F1260" s="10" t="b">
        <f aca="false">TRUE()</f>
        <v>1</v>
      </c>
      <c r="G1260" s="0" t="n">
        <v>15</v>
      </c>
      <c r="H1260" s="0" t="n">
        <f aca="false">_xlfn.xlookup(G1260, years!A$2:A$836, years!B$2:B$836)</f>
        <v>2012</v>
      </c>
      <c r="I1260" s="2" t="n">
        <v>82</v>
      </c>
      <c r="J1260" s="0" t="n">
        <v>0.743</v>
      </c>
      <c r="K1260" s="0" t="n">
        <v>0.752</v>
      </c>
      <c r="L1260" s="3" t="str">
        <f aca="false">IF(K1260&gt;0.66,"High",IF(K1260&gt;0.33&amp;K1260&lt;=0.66,"Medium","Low"))</f>
        <v>High</v>
      </c>
      <c r="M1260" s="0" t="n">
        <v>-4.813</v>
      </c>
      <c r="N1260" s="3" t="n">
        <v>0.0414</v>
      </c>
      <c r="O1260" s="3" t="n">
        <v>0.0188</v>
      </c>
      <c r="P1260" s="4" t="n">
        <v>0</v>
      </c>
      <c r="Q1260" s="3" t="n">
        <v>0.287</v>
      </c>
      <c r="R1260" s="3" t="n">
        <v>0.545</v>
      </c>
      <c r="S1260" s="3" t="str">
        <f aca="false">IF(R1260 &gt;= 0.5, "Positive", "Negative")</f>
        <v>Positive</v>
      </c>
      <c r="T1260" s="2" t="n">
        <v>110.015</v>
      </c>
      <c r="U1260" s="0" t="s">
        <v>39</v>
      </c>
    </row>
    <row r="1261" customFormat="false" ht="14.25" hidden="false" customHeight="false" outlineLevel="0" collapsed="false">
      <c r="A1261" s="0" t="n">
        <v>94</v>
      </c>
      <c r="B1261" s="0" t="str">
        <f aca="false">_xlfn.xlookup(A1261, artists!A$2:A$836, artists!B$2:B$836)</f>
        <v>112</v>
      </c>
      <c r="C1261" s="1" t="s">
        <v>1296</v>
      </c>
      <c r="D1261" s="2" t="n">
        <v>193093</v>
      </c>
      <c r="E1261" s="2" t="n">
        <f aca="false">D1261/1000</f>
        <v>193.093</v>
      </c>
      <c r="F1261" s="10" t="b">
        <f aca="false">FALSE()</f>
        <v>0</v>
      </c>
      <c r="G1261" s="0" t="n">
        <v>4</v>
      </c>
      <c r="H1261" s="0" t="n">
        <f aca="false">_xlfn.xlookup(G1261, years!A$2:A$836, years!B$2:B$836)</f>
        <v>2001</v>
      </c>
      <c r="I1261" s="2" t="n">
        <v>63</v>
      </c>
      <c r="J1261" s="0" t="n">
        <v>0.677</v>
      </c>
      <c r="K1261" s="0" t="n">
        <v>0.52</v>
      </c>
      <c r="L1261" s="3" t="str">
        <f aca="false">IF(K1261&gt;0.66,"High",IF(K1261&gt;0.33&amp;K1261&lt;=0.66,"Medium","Low"))</f>
        <v>Low</v>
      </c>
      <c r="M1261" s="0" t="n">
        <v>-6.255</v>
      </c>
      <c r="N1261" s="3" t="n">
        <v>0.334</v>
      </c>
      <c r="O1261" s="3" t="n">
        <v>0.00277</v>
      </c>
      <c r="P1261" s="4" t="n">
        <v>0</v>
      </c>
      <c r="Q1261" s="3" t="n">
        <v>0.0532</v>
      </c>
      <c r="R1261" s="3" t="n">
        <v>0.768</v>
      </c>
      <c r="S1261" s="3" t="str">
        <f aca="false">IF(R1261 &gt;= 0.5, "Positive", "Negative")</f>
        <v>Positive</v>
      </c>
      <c r="T1261" s="2" t="n">
        <v>203.862</v>
      </c>
      <c r="U1261" s="0" t="s">
        <v>31</v>
      </c>
    </row>
    <row r="1262" customFormat="false" ht="14.25" hidden="false" customHeight="false" outlineLevel="0" collapsed="false">
      <c r="A1262" s="0" t="n">
        <v>735</v>
      </c>
      <c r="B1262" s="0" t="str">
        <f aca="false">_xlfn.xlookup(A1262, artists!A$2:A$836, artists!B$2:B$836)</f>
        <v>Rag'n'Bone Man</v>
      </c>
      <c r="C1262" s="1" t="s">
        <v>1297</v>
      </c>
      <c r="D1262" s="2" t="n">
        <v>239626</v>
      </c>
      <c r="E1262" s="2" t="n">
        <f aca="false">D1262/1000</f>
        <v>239.626</v>
      </c>
      <c r="F1262" s="10" t="b">
        <f aca="false">FALSE()</f>
        <v>0</v>
      </c>
      <c r="G1262" s="0" t="n">
        <v>20</v>
      </c>
      <c r="H1262" s="0" t="n">
        <f aca="false">_xlfn.xlookup(G1262, years!A$2:A$836, years!B$2:B$836)</f>
        <v>2017</v>
      </c>
      <c r="I1262" s="2" t="n">
        <v>67</v>
      </c>
      <c r="J1262" s="0" t="n">
        <v>0.564</v>
      </c>
      <c r="K1262" s="0" t="n">
        <v>0.745</v>
      </c>
      <c r="L1262" s="3" t="str">
        <f aca="false">IF(K1262&gt;0.66,"High",IF(K1262&gt;0.33&amp;K1262&lt;=0.66,"Medium","Low"))</f>
        <v>High</v>
      </c>
      <c r="M1262" s="0" t="n">
        <v>-7.733</v>
      </c>
      <c r="N1262" s="3" t="n">
        <v>0.31</v>
      </c>
      <c r="O1262" s="3" t="n">
        <v>0.265</v>
      </c>
      <c r="P1262" s="4" t="n">
        <v>0</v>
      </c>
      <c r="Q1262" s="3" t="n">
        <v>0.147</v>
      </c>
      <c r="R1262" s="3" t="n">
        <v>0.351</v>
      </c>
      <c r="S1262" s="3" t="str">
        <f aca="false">IF(R1262 &gt;= 0.5, "Positive", "Negative")</f>
        <v>Negative</v>
      </c>
      <c r="T1262" s="2" t="n">
        <v>170.661</v>
      </c>
      <c r="U1262" s="0" t="s">
        <v>128</v>
      </c>
    </row>
    <row r="1263" customFormat="false" ht="14.25" hidden="false" customHeight="false" outlineLevel="0" collapsed="false">
      <c r="A1263" s="0" t="n">
        <v>628</v>
      </c>
      <c r="B1263" s="0" t="str">
        <f aca="false">_xlfn.xlookup(A1263, artists!A$2:A$836, artists!B$2:B$836)</f>
        <v>Ed Sheeran</v>
      </c>
      <c r="C1263" s="1" t="s">
        <v>208</v>
      </c>
      <c r="D1263" s="2" t="n">
        <v>263400</v>
      </c>
      <c r="E1263" s="2" t="n">
        <f aca="false">D1263/1000</f>
        <v>263.4</v>
      </c>
      <c r="F1263" s="10" t="b">
        <f aca="false">FALSE()</f>
        <v>0</v>
      </c>
      <c r="G1263" s="0" t="n">
        <v>20</v>
      </c>
      <c r="H1263" s="0" t="n">
        <f aca="false">_xlfn.xlookup(G1263, years!A$2:A$836, years!B$2:B$836)</f>
        <v>2017</v>
      </c>
      <c r="I1263" s="2" t="n">
        <v>85</v>
      </c>
      <c r="J1263" s="0" t="n">
        <v>0.599</v>
      </c>
      <c r="K1263" s="0" t="n">
        <v>0.448</v>
      </c>
      <c r="L1263" s="3" t="str">
        <f aca="false">IF(K1263&gt;0.66,"High",IF(K1263&gt;0.33&amp;K1263&lt;=0.66,"Medium","Low"))</f>
        <v>Low</v>
      </c>
      <c r="M1263" s="0" t="n">
        <v>-6.312</v>
      </c>
      <c r="N1263" s="3" t="n">
        <v>0.0232</v>
      </c>
      <c r="O1263" s="3" t="n">
        <v>0.163</v>
      </c>
      <c r="P1263" s="4" t="n">
        <v>0</v>
      </c>
      <c r="Q1263" s="3" t="n">
        <v>0.106</v>
      </c>
      <c r="R1263" s="3" t="n">
        <v>0.168</v>
      </c>
      <c r="S1263" s="3" t="str">
        <f aca="false">IF(R1263 &gt;= 0.5, "Positive", "Negative")</f>
        <v>Negative</v>
      </c>
      <c r="T1263" s="2" t="n">
        <v>95.05</v>
      </c>
      <c r="U1263" s="0" t="s">
        <v>39</v>
      </c>
    </row>
    <row r="1264" customFormat="false" ht="14.25" hidden="false" customHeight="false" outlineLevel="0" collapsed="false">
      <c r="A1264" s="0" t="n">
        <v>680</v>
      </c>
      <c r="B1264" s="0" t="str">
        <f aca="false">_xlfn.xlookup(A1264, artists!A$2:A$836, artists!B$2:B$836)</f>
        <v>Jonas Blue</v>
      </c>
      <c r="C1264" s="1" t="s">
        <v>1298</v>
      </c>
      <c r="D1264" s="2" t="n">
        <v>196613</v>
      </c>
      <c r="E1264" s="2" t="n">
        <f aca="false">D1264/1000</f>
        <v>196.613</v>
      </c>
      <c r="F1264" s="10" t="b">
        <f aca="false">FALSE()</f>
        <v>0</v>
      </c>
      <c r="G1264" s="0" t="n">
        <v>19</v>
      </c>
      <c r="H1264" s="0" t="n">
        <f aca="false">_xlfn.xlookup(G1264, years!A$2:A$836, years!B$2:B$836)</f>
        <v>2016</v>
      </c>
      <c r="I1264" s="2" t="n">
        <v>0</v>
      </c>
      <c r="J1264" s="0" t="n">
        <v>0.742</v>
      </c>
      <c r="K1264" s="0" t="n">
        <v>0.819</v>
      </c>
      <c r="L1264" s="3" t="str">
        <f aca="false">IF(K1264&gt;0.66,"High",IF(K1264&gt;0.33&amp;K1264&lt;=0.66,"Medium","Low"))</f>
        <v>High</v>
      </c>
      <c r="M1264" s="0" t="n">
        <v>-5.307</v>
      </c>
      <c r="N1264" s="3" t="n">
        <v>0.0487</v>
      </c>
      <c r="O1264" s="3" t="n">
        <v>0.372</v>
      </c>
      <c r="P1264" s="4" t="n">
        <v>0</v>
      </c>
      <c r="Q1264" s="3" t="n">
        <v>0.277</v>
      </c>
      <c r="R1264" s="3" t="n">
        <v>0.709</v>
      </c>
      <c r="S1264" s="3" t="str">
        <f aca="false">IF(R1264 &gt;= 0.5, "Positive", "Negative")</f>
        <v>Positive</v>
      </c>
      <c r="T1264" s="2" t="n">
        <v>117.986</v>
      </c>
      <c r="U1264" s="0" t="s">
        <v>22</v>
      </c>
    </row>
    <row r="1265" customFormat="false" ht="14.25" hidden="false" customHeight="false" outlineLevel="0" collapsed="false">
      <c r="A1265" s="0" t="n">
        <v>102</v>
      </c>
      <c r="B1265" s="0" t="str">
        <f aca="false">_xlfn.xlookup(A1265, artists!A$2:A$836, artists!B$2:B$836)</f>
        <v>Nickelback</v>
      </c>
      <c r="C1265" s="1" t="s">
        <v>1299</v>
      </c>
      <c r="D1265" s="2" t="n">
        <v>258920</v>
      </c>
      <c r="E1265" s="2" t="n">
        <f aca="false">D1265/1000</f>
        <v>258.92</v>
      </c>
      <c r="F1265" s="10" t="b">
        <f aca="false">FALSE()</f>
        <v>0</v>
      </c>
      <c r="G1265" s="0" t="n">
        <v>8</v>
      </c>
      <c r="H1265" s="0" t="n">
        <f aca="false">_xlfn.xlookup(G1265, years!A$2:A$836, years!B$2:B$836)</f>
        <v>2005</v>
      </c>
      <c r="I1265" s="2" t="n">
        <v>67</v>
      </c>
      <c r="J1265" s="0" t="n">
        <v>0.515</v>
      </c>
      <c r="K1265" s="0" t="n">
        <v>0.876</v>
      </c>
      <c r="L1265" s="3" t="str">
        <f aca="false">IF(K1265&gt;0.66,"High",IF(K1265&gt;0.33&amp;K1265&lt;=0.66,"Medium","Low"))</f>
        <v>High</v>
      </c>
      <c r="M1265" s="0" t="n">
        <v>-3.756</v>
      </c>
      <c r="N1265" s="3" t="n">
        <v>0.0292</v>
      </c>
      <c r="O1265" s="3" t="n">
        <v>0.000932</v>
      </c>
      <c r="P1265" s="4" t="n">
        <v>0.000166</v>
      </c>
      <c r="Q1265" s="3" t="n">
        <v>0.136</v>
      </c>
      <c r="R1265" s="3" t="n">
        <v>0.385</v>
      </c>
      <c r="S1265" s="3" t="str">
        <f aca="false">IF(R1265 &gt;= 0.5, "Positive", "Negative")</f>
        <v>Negative</v>
      </c>
      <c r="T1265" s="2" t="n">
        <v>145.916</v>
      </c>
      <c r="U1265" s="0" t="s">
        <v>81</v>
      </c>
    </row>
    <row r="1266" customFormat="false" ht="14.25" hidden="false" customHeight="false" outlineLevel="0" collapsed="false">
      <c r="A1266" s="0" t="n">
        <v>800</v>
      </c>
      <c r="B1266" s="0" t="str">
        <f aca="false">_xlfn.xlookup(A1266, artists!A$2:A$836, artists!B$2:B$836)</f>
        <v>BLACKPINK</v>
      </c>
      <c r="C1266" s="1" t="s">
        <v>1300</v>
      </c>
      <c r="D1266" s="2" t="n">
        <v>189052</v>
      </c>
      <c r="E1266" s="2" t="n">
        <f aca="false">D1266/1000</f>
        <v>189.052</v>
      </c>
      <c r="F1266" s="10" t="b">
        <f aca="false">FALSE()</f>
        <v>0</v>
      </c>
      <c r="G1266" s="0" t="n">
        <v>22</v>
      </c>
      <c r="H1266" s="0" t="n">
        <f aca="false">_xlfn.xlookup(G1266, years!A$2:A$836, years!B$2:B$836)</f>
        <v>2019</v>
      </c>
      <c r="I1266" s="2" t="n">
        <v>1</v>
      </c>
      <c r="J1266" s="0" t="n">
        <v>0.738</v>
      </c>
      <c r="K1266" s="0" t="n">
        <v>0.861</v>
      </c>
      <c r="L1266" s="3" t="str">
        <f aca="false">IF(K1266&gt;0.66,"High",IF(K1266&gt;0.33&amp;K1266&lt;=0.66,"Medium","Low"))</f>
        <v>High</v>
      </c>
      <c r="M1266" s="0" t="n">
        <v>-4.141</v>
      </c>
      <c r="N1266" s="3" t="n">
        <v>0.237</v>
      </c>
      <c r="O1266" s="3" t="n">
        <v>0.318</v>
      </c>
      <c r="P1266" s="4" t="n">
        <v>0.00182</v>
      </c>
      <c r="Q1266" s="3" t="n">
        <v>0.325</v>
      </c>
      <c r="R1266" s="3" t="n">
        <v>0.58</v>
      </c>
      <c r="S1266" s="3" t="str">
        <f aca="false">IF(R1266 &gt;= 0.5, "Positive", "Negative")</f>
        <v>Positive</v>
      </c>
      <c r="T1266" s="2" t="n">
        <v>131.98</v>
      </c>
      <c r="U1266" s="0" t="s">
        <v>39</v>
      </c>
    </row>
    <row r="1267" customFormat="false" ht="14.25" hidden="false" customHeight="false" outlineLevel="0" collapsed="false">
      <c r="A1267" s="0" t="n">
        <v>801</v>
      </c>
      <c r="B1267" s="0" t="str">
        <f aca="false">_xlfn.xlookup(A1267, artists!A$2:A$836, artists!B$2:B$836)</f>
        <v>MEDUZA</v>
      </c>
      <c r="C1267" s="1" t="s">
        <v>1301</v>
      </c>
      <c r="D1267" s="2" t="n">
        <v>152913</v>
      </c>
      <c r="E1267" s="2" t="n">
        <f aca="false">D1267/1000</f>
        <v>152.913</v>
      </c>
      <c r="F1267" s="10" t="b">
        <f aca="false">FALSE()</f>
        <v>0</v>
      </c>
      <c r="G1267" s="0" t="n">
        <v>22</v>
      </c>
      <c r="H1267" s="0" t="n">
        <f aca="false">_xlfn.xlookup(G1267, years!A$2:A$836, years!B$2:B$836)</f>
        <v>2019</v>
      </c>
      <c r="I1267" s="2" t="n">
        <v>75</v>
      </c>
      <c r="J1267" s="0" t="n">
        <v>0.677</v>
      </c>
      <c r="K1267" s="0" t="n">
        <v>0.744</v>
      </c>
      <c r="L1267" s="3" t="str">
        <f aca="false">IF(K1267&gt;0.66,"High",IF(K1267&gt;0.33&amp;K1267&lt;=0.66,"Medium","Low"))</f>
        <v>High</v>
      </c>
      <c r="M1267" s="0" t="n">
        <v>-6.806</v>
      </c>
      <c r="N1267" s="3" t="n">
        <v>0.0295</v>
      </c>
      <c r="O1267" s="3" t="n">
        <v>0.0404</v>
      </c>
      <c r="P1267" s="4" t="n">
        <v>0.00016</v>
      </c>
      <c r="Q1267" s="3" t="n">
        <v>0.074</v>
      </c>
      <c r="R1267" s="3" t="n">
        <v>0.631</v>
      </c>
      <c r="S1267" s="3" t="str">
        <f aca="false">IF(R1267 &gt;= 0.5, "Positive", "Negative")</f>
        <v>Positive</v>
      </c>
      <c r="T1267" s="2" t="n">
        <v>124.08</v>
      </c>
      <c r="U1267" s="0" t="s">
        <v>22</v>
      </c>
    </row>
    <row r="1268" customFormat="false" ht="14.25" hidden="false" customHeight="false" outlineLevel="0" collapsed="false">
      <c r="A1268" s="0" t="n">
        <v>281</v>
      </c>
      <c r="B1268" s="0" t="str">
        <f aca="false">_xlfn.xlookup(A1268, artists!A$2:A$836, artists!B$2:B$836)</f>
        <v>Ashlee Simpson</v>
      </c>
      <c r="C1268" s="1" t="s">
        <v>1302</v>
      </c>
      <c r="D1268" s="2" t="n">
        <v>217440</v>
      </c>
      <c r="E1268" s="2" t="n">
        <f aca="false">D1268/1000</f>
        <v>217.44</v>
      </c>
      <c r="F1268" s="10" t="b">
        <f aca="false">FALSE()</f>
        <v>0</v>
      </c>
      <c r="G1268" s="0" t="n">
        <v>7</v>
      </c>
      <c r="H1268" s="0" t="n">
        <f aca="false">_xlfn.xlookup(G1268, years!A$2:A$836, years!B$2:B$836)</f>
        <v>2004</v>
      </c>
      <c r="I1268" s="2" t="n">
        <v>56</v>
      </c>
      <c r="J1268" s="0" t="n">
        <v>0.505</v>
      </c>
      <c r="K1268" s="0" t="n">
        <v>0.799</v>
      </c>
      <c r="L1268" s="3" t="str">
        <f aca="false">IF(K1268&gt;0.66,"High",IF(K1268&gt;0.33&amp;K1268&lt;=0.66,"Medium","Low"))</f>
        <v>High</v>
      </c>
      <c r="M1268" s="0" t="n">
        <v>-4.286</v>
      </c>
      <c r="N1268" s="3" t="n">
        <v>0.0773</v>
      </c>
      <c r="O1268" s="3" t="n">
        <v>0.0572</v>
      </c>
      <c r="P1268" s="4" t="n">
        <v>0</v>
      </c>
      <c r="Q1268" s="3" t="n">
        <v>0.11</v>
      </c>
      <c r="R1268" s="3" t="n">
        <v>0.772</v>
      </c>
      <c r="S1268" s="3" t="str">
        <f aca="false">IF(R1268 &gt;= 0.5, "Positive", "Negative")</f>
        <v>Positive</v>
      </c>
      <c r="T1268" s="2" t="n">
        <v>174.001</v>
      </c>
      <c r="U1268" s="0" t="s">
        <v>39</v>
      </c>
    </row>
    <row r="1269" customFormat="false" ht="14.25" hidden="false" customHeight="false" outlineLevel="0" collapsed="false">
      <c r="A1269" s="0" t="n">
        <v>425</v>
      </c>
      <c r="B1269" s="0" t="str">
        <f aca="false">_xlfn.xlookup(A1269, artists!A$2:A$836, artists!B$2:B$836)</f>
        <v>OneRepublic</v>
      </c>
      <c r="C1269" s="1" t="s">
        <v>1303</v>
      </c>
      <c r="D1269" s="2" t="n">
        <v>201256</v>
      </c>
      <c r="E1269" s="2" t="n">
        <f aca="false">D1269/1000</f>
        <v>201.256</v>
      </c>
      <c r="F1269" s="10" t="b">
        <f aca="false">FALSE()</f>
        <v>0</v>
      </c>
      <c r="G1269" s="0" t="n">
        <v>20</v>
      </c>
      <c r="H1269" s="0" t="n">
        <f aca="false">_xlfn.xlookup(G1269, years!A$2:A$836, years!B$2:B$836)</f>
        <v>2017</v>
      </c>
      <c r="I1269" s="2" t="n">
        <v>64</v>
      </c>
      <c r="J1269" s="0" t="n">
        <v>0.401</v>
      </c>
      <c r="K1269" s="0" t="n">
        <v>0.872</v>
      </c>
      <c r="L1269" s="3" t="str">
        <f aca="false">IF(K1269&gt;0.66,"High",IF(K1269&gt;0.33&amp;K1269&lt;=0.66,"Medium","Low"))</f>
        <v>High</v>
      </c>
      <c r="M1269" s="0" t="n">
        <v>-3.641</v>
      </c>
      <c r="N1269" s="3" t="n">
        <v>0.314</v>
      </c>
      <c r="O1269" s="3" t="n">
        <v>0.167</v>
      </c>
      <c r="P1269" s="4" t="n">
        <v>0</v>
      </c>
      <c r="Q1269" s="3" t="n">
        <v>0.362</v>
      </c>
      <c r="R1269" s="3" t="n">
        <v>0.472</v>
      </c>
      <c r="S1269" s="3" t="str">
        <f aca="false">IF(R1269 &gt;= 0.5, "Positive", "Negative")</f>
        <v>Negative</v>
      </c>
      <c r="T1269" s="2" t="n">
        <v>104.592</v>
      </c>
      <c r="U1269" s="0" t="s">
        <v>39</v>
      </c>
    </row>
    <row r="1270" customFormat="false" ht="14.25" hidden="false" customHeight="false" outlineLevel="0" collapsed="false">
      <c r="A1270" s="0" t="n">
        <v>552</v>
      </c>
      <c r="B1270" s="0" t="str">
        <f aca="false">_xlfn.xlookup(A1270, artists!A$2:A$836, artists!B$2:B$836)</f>
        <v>Frank Ocean</v>
      </c>
      <c r="C1270" s="1" t="s">
        <v>1304</v>
      </c>
      <c r="D1270" s="2" t="n">
        <v>184516</v>
      </c>
      <c r="E1270" s="2" t="n">
        <f aca="false">D1270/1000</f>
        <v>184.516</v>
      </c>
      <c r="F1270" s="10" t="b">
        <f aca="false">FALSE()</f>
        <v>0</v>
      </c>
      <c r="G1270" s="0" t="n">
        <v>19</v>
      </c>
      <c r="H1270" s="0" t="n">
        <f aca="false">_xlfn.xlookup(G1270, years!A$2:A$836, years!B$2:B$836)</f>
        <v>2016</v>
      </c>
      <c r="I1270" s="2" t="n">
        <v>79</v>
      </c>
      <c r="J1270" s="0" t="n">
        <v>0.544</v>
      </c>
      <c r="K1270" s="0" t="n">
        <v>0.552</v>
      </c>
      <c r="L1270" s="3" t="str">
        <f aca="false">IF(K1270&gt;0.66,"High",IF(K1270&gt;0.33&amp;K1270&lt;=0.66,"Medium","Low"))</f>
        <v>Low</v>
      </c>
      <c r="M1270" s="0" t="n">
        <v>-7.45</v>
      </c>
      <c r="N1270" s="3" t="n">
        <v>0.0991</v>
      </c>
      <c r="O1270" s="3" t="n">
        <v>0.67</v>
      </c>
      <c r="P1270" s="4" t="n">
        <v>4.57E-005</v>
      </c>
      <c r="Q1270" s="3" t="n">
        <v>0.415</v>
      </c>
      <c r="R1270" s="3" t="n">
        <v>0.554</v>
      </c>
      <c r="S1270" s="3" t="str">
        <f aca="false">IF(R1270 &gt;= 0.5, "Positive", "Negative")</f>
        <v>Positive</v>
      </c>
      <c r="T1270" s="2" t="n">
        <v>159.738</v>
      </c>
      <c r="U1270" s="0" t="s">
        <v>31</v>
      </c>
    </row>
    <row r="1271" customFormat="false" ht="14.25" hidden="false" customHeight="false" outlineLevel="0" collapsed="false">
      <c r="A1271" s="0" t="n">
        <v>248</v>
      </c>
      <c r="B1271" s="0" t="str">
        <f aca="false">_xlfn.xlookup(A1271, artists!A$2:A$836, artists!B$2:B$836)</f>
        <v>Eric Prydz</v>
      </c>
      <c r="C1271" s="1" t="s">
        <v>1305</v>
      </c>
      <c r="D1271" s="2" t="n">
        <v>157432</v>
      </c>
      <c r="E1271" s="2" t="n">
        <f aca="false">D1271/1000</f>
        <v>157.432</v>
      </c>
      <c r="F1271" s="10" t="b">
        <f aca="false">FALSE()</f>
        <v>0</v>
      </c>
      <c r="G1271" s="0" t="n">
        <v>11</v>
      </c>
      <c r="H1271" s="0" t="n">
        <f aca="false">_xlfn.xlookup(G1271, years!A$2:A$836, years!B$2:B$836)</f>
        <v>2008</v>
      </c>
      <c r="I1271" s="2" t="n">
        <v>65</v>
      </c>
      <c r="J1271" s="0" t="n">
        <v>0.605</v>
      </c>
      <c r="K1271" s="0" t="n">
        <v>0.874</v>
      </c>
      <c r="L1271" s="3" t="str">
        <f aca="false">IF(K1271&gt;0.66,"High",IF(K1271&gt;0.33&amp;K1271&lt;=0.66,"Medium","Low"))</f>
        <v>High</v>
      </c>
      <c r="M1271" s="0" t="n">
        <v>-4.949</v>
      </c>
      <c r="N1271" s="3" t="n">
        <v>0.0295</v>
      </c>
      <c r="O1271" s="3" t="n">
        <v>0.000563</v>
      </c>
      <c r="P1271" s="4" t="n">
        <v>0.812</v>
      </c>
      <c r="Q1271" s="3" t="n">
        <v>0.112</v>
      </c>
      <c r="R1271" s="3" t="n">
        <v>0.836</v>
      </c>
      <c r="S1271" s="3" t="str">
        <f aca="false">IF(R1271 &gt;= 0.5, "Positive", "Negative")</f>
        <v>Positive</v>
      </c>
      <c r="T1271" s="2" t="n">
        <v>125.99</v>
      </c>
      <c r="U1271" s="0" t="s">
        <v>22</v>
      </c>
    </row>
    <row r="1272" customFormat="false" ht="14.25" hidden="false" customHeight="false" outlineLevel="0" collapsed="false">
      <c r="A1272" s="0" t="n">
        <v>723</v>
      </c>
      <c r="B1272" s="0" t="str">
        <f aca="false">_xlfn.xlookup(A1272, artists!A$2:A$836, artists!B$2:B$836)</f>
        <v>A$AP Ferg</v>
      </c>
      <c r="C1272" s="1" t="s">
        <v>1306</v>
      </c>
      <c r="D1272" s="2" t="n">
        <v>173600</v>
      </c>
      <c r="E1272" s="2" t="n">
        <f aca="false">D1272/1000</f>
        <v>173.6</v>
      </c>
      <c r="F1272" s="10" t="b">
        <f aca="false">TRUE()</f>
        <v>1</v>
      </c>
      <c r="G1272" s="0" t="n">
        <v>20</v>
      </c>
      <c r="H1272" s="0" t="n">
        <f aca="false">_xlfn.xlookup(G1272, years!A$2:A$836, years!B$2:B$836)</f>
        <v>2017</v>
      </c>
      <c r="I1272" s="2" t="n">
        <v>74</v>
      </c>
      <c r="J1272" s="0" t="n">
        <v>0.797</v>
      </c>
      <c r="K1272" s="0" t="n">
        <v>0.844</v>
      </c>
      <c r="L1272" s="3" t="str">
        <f aca="false">IF(K1272&gt;0.66,"High",IF(K1272&gt;0.33&amp;K1272&lt;=0.66,"Medium","Low"))</f>
        <v>High</v>
      </c>
      <c r="M1272" s="0" t="n">
        <v>-5.482</v>
      </c>
      <c r="N1272" s="3" t="n">
        <v>0.275</v>
      </c>
      <c r="O1272" s="3" t="n">
        <v>0.0651</v>
      </c>
      <c r="P1272" s="4" t="n">
        <v>0</v>
      </c>
      <c r="Q1272" s="3" t="n">
        <v>0.087</v>
      </c>
      <c r="R1272" s="3" t="n">
        <v>0.52</v>
      </c>
      <c r="S1272" s="3" t="str">
        <f aca="false">IF(R1272 &gt;= 0.5, "Positive", "Negative")</f>
        <v>Positive</v>
      </c>
      <c r="T1272" s="2" t="n">
        <v>170.142</v>
      </c>
      <c r="U1272" s="0" t="s">
        <v>24</v>
      </c>
    </row>
    <row r="1273" customFormat="false" ht="14.25" hidden="false" customHeight="false" outlineLevel="0" collapsed="false">
      <c r="A1273" s="0" t="n">
        <v>100</v>
      </c>
      <c r="B1273" s="0" t="str">
        <f aca="false">_xlfn.xlookup(A1273, artists!A$2:A$836, artists!B$2:B$836)</f>
        <v>Jennifer Lopez</v>
      </c>
      <c r="C1273" s="1" t="s">
        <v>1307</v>
      </c>
      <c r="D1273" s="2" t="n">
        <v>211493</v>
      </c>
      <c r="E1273" s="2" t="n">
        <f aca="false">D1273/1000</f>
        <v>211.493</v>
      </c>
      <c r="F1273" s="10" t="b">
        <f aca="false">TRUE()</f>
        <v>1</v>
      </c>
      <c r="G1273" s="0" t="n">
        <v>4</v>
      </c>
      <c r="H1273" s="0" t="n">
        <f aca="false">_xlfn.xlookup(G1273, years!A$2:A$836, years!B$2:B$836)</f>
        <v>2001</v>
      </c>
      <c r="I1273" s="2" t="n">
        <v>57</v>
      </c>
      <c r="J1273" s="0" t="n">
        <v>0.775</v>
      </c>
      <c r="K1273" s="0" t="n">
        <v>0.729</v>
      </c>
      <c r="L1273" s="3" t="str">
        <f aca="false">IF(K1273&gt;0.66,"High",IF(K1273&gt;0.33&amp;K1273&lt;=0.66,"Medium","Low"))</f>
        <v>High</v>
      </c>
      <c r="M1273" s="0" t="n">
        <v>-4.229</v>
      </c>
      <c r="N1273" s="3" t="n">
        <v>0.162</v>
      </c>
      <c r="O1273" s="3" t="n">
        <v>0.0303</v>
      </c>
      <c r="P1273" s="4" t="n">
        <v>0.00247</v>
      </c>
      <c r="Q1273" s="3" t="n">
        <v>0.0361</v>
      </c>
      <c r="R1273" s="3" t="n">
        <v>0.895</v>
      </c>
      <c r="S1273" s="3" t="str">
        <f aca="false">IF(R1273 &gt;= 0.5, "Positive", "Negative")</f>
        <v>Positive</v>
      </c>
      <c r="T1273" s="2" t="n">
        <v>104.719</v>
      </c>
      <c r="U1273" s="0" t="s">
        <v>31</v>
      </c>
    </row>
    <row r="1274" customFormat="false" ht="14.25" hidden="false" customHeight="false" outlineLevel="0" collapsed="false">
      <c r="A1274" s="0" t="n">
        <v>294</v>
      </c>
      <c r="B1274" s="0" t="str">
        <f aca="false">_xlfn.xlookup(A1274, artists!A$2:A$836, artists!B$2:B$836)</f>
        <v>David Banner</v>
      </c>
      <c r="C1274" s="1" t="s">
        <v>1307</v>
      </c>
      <c r="D1274" s="2" t="n">
        <v>230133</v>
      </c>
      <c r="E1274" s="2" t="n">
        <f aca="false">D1274/1000</f>
        <v>230.133</v>
      </c>
      <c r="F1274" s="10" t="b">
        <f aca="false">TRUE()</f>
        <v>1</v>
      </c>
      <c r="G1274" s="0" t="n">
        <v>8</v>
      </c>
      <c r="H1274" s="0" t="n">
        <f aca="false">_xlfn.xlookup(G1274, years!A$2:A$836, years!B$2:B$836)</f>
        <v>2005</v>
      </c>
      <c r="I1274" s="2" t="n">
        <v>52</v>
      </c>
      <c r="J1274" s="0" t="n">
        <v>0.837</v>
      </c>
      <c r="K1274" s="0" t="n">
        <v>0.658</v>
      </c>
      <c r="L1274" s="3" t="str">
        <f aca="false">IF(K1274&gt;0.66,"High",IF(K1274&gt;0.33&amp;K1274&lt;=0.66,"Medium","Low"))</f>
        <v>Low</v>
      </c>
      <c r="M1274" s="0" t="n">
        <v>-8.013</v>
      </c>
      <c r="N1274" s="3" t="n">
        <v>0.126</v>
      </c>
      <c r="O1274" s="3" t="n">
        <v>0.000213</v>
      </c>
      <c r="P1274" s="4" t="n">
        <v>0.122</v>
      </c>
      <c r="Q1274" s="3" t="n">
        <v>0.243</v>
      </c>
      <c r="R1274" s="3" t="n">
        <v>0.586</v>
      </c>
      <c r="S1274" s="3" t="str">
        <f aca="false">IF(R1274 &gt;= 0.5, "Positive", "Negative")</f>
        <v>Positive</v>
      </c>
      <c r="T1274" s="2" t="n">
        <v>95.027</v>
      </c>
      <c r="U1274" s="0" t="s">
        <v>24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1308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0" t="n">
        <f aca="false">_xlfn.xlookup(G1275, years!A$2:A$836, years!B$2:B$836)</f>
        <v>2012</v>
      </c>
      <c r="I1275" s="2" t="n">
        <v>69</v>
      </c>
      <c r="J1275" s="0" t="n">
        <v>0.691</v>
      </c>
      <c r="K1275" s="0" t="n">
        <v>0.921</v>
      </c>
      <c r="L1275" s="3" t="str">
        <f aca="false">IF(K1275&gt;0.66,"High",IF(K1275&gt;0.33&amp;K1275&lt;=0.66,"Medium","Low"))</f>
        <v>High</v>
      </c>
      <c r="M1275" s="0" t="n">
        <v>-1.702</v>
      </c>
      <c r="N1275" s="3" t="n">
        <v>0.0533</v>
      </c>
      <c r="O1275" s="3" t="n">
        <v>0.173</v>
      </c>
      <c r="P1275" s="4" t="n">
        <v>0</v>
      </c>
      <c r="Q1275" s="3" t="n">
        <v>0.331</v>
      </c>
      <c r="R1275" s="3" t="n">
        <v>0.8</v>
      </c>
      <c r="S1275" s="3" t="str">
        <f aca="false">IF(R1275 &gt;= 0.5, "Positive", "Negative")</f>
        <v>Positive</v>
      </c>
      <c r="T1275" s="2" t="n">
        <v>130.072</v>
      </c>
      <c r="U1275" s="0" t="s">
        <v>53</v>
      </c>
    </row>
    <row r="1276" customFormat="false" ht="14.25" hidden="false" customHeight="false" outlineLevel="0" collapsed="false">
      <c r="A1276" s="0" t="n">
        <v>741</v>
      </c>
      <c r="B1276" s="0" t="str">
        <f aca="false">_xlfn.xlookup(A1276, artists!A$2:A$836, artists!B$2:B$836)</f>
        <v>Migos</v>
      </c>
      <c r="C1276" s="1" t="s">
        <v>1309</v>
      </c>
      <c r="D1276" s="2" t="n">
        <v>242407</v>
      </c>
      <c r="E1276" s="2" t="n">
        <f aca="false">D1276/1000</f>
        <v>242.407</v>
      </c>
      <c r="F1276" s="10" t="b">
        <f aca="false">TRUE()</f>
        <v>1</v>
      </c>
      <c r="G1276" s="0" t="n">
        <v>20</v>
      </c>
      <c r="H1276" s="0" t="n">
        <f aca="false">_xlfn.xlookup(G1276, years!A$2:A$836, years!B$2:B$836)</f>
        <v>2017</v>
      </c>
      <c r="I1276" s="2" t="n">
        <v>64</v>
      </c>
      <c r="J1276" s="0" t="n">
        <v>0.865</v>
      </c>
      <c r="K1276" s="0" t="n">
        <v>0.687</v>
      </c>
      <c r="L1276" s="3" t="str">
        <f aca="false">IF(K1276&gt;0.66,"High",IF(K1276&gt;0.33&amp;K1276&lt;=0.66,"Medium","Low"))</f>
        <v>High</v>
      </c>
      <c r="M1276" s="0" t="n">
        <v>-3.744</v>
      </c>
      <c r="N1276" s="3" t="n">
        <v>0.217</v>
      </c>
      <c r="O1276" s="3" t="n">
        <v>0.242</v>
      </c>
      <c r="P1276" s="4" t="n">
        <v>0</v>
      </c>
      <c r="Q1276" s="3" t="n">
        <v>0.158</v>
      </c>
      <c r="R1276" s="3" t="n">
        <v>0.486</v>
      </c>
      <c r="S1276" s="3" t="str">
        <f aca="false">IF(R1276 &gt;= 0.5, "Positive", "Negative")</f>
        <v>Negative</v>
      </c>
      <c r="T1276" s="2" t="n">
        <v>139.023</v>
      </c>
      <c r="U1276" s="0" t="s">
        <v>24</v>
      </c>
    </row>
    <row r="1277" customFormat="false" ht="14.25" hidden="false" customHeight="false" outlineLevel="0" collapsed="false">
      <c r="A1277" s="0" t="n">
        <v>745</v>
      </c>
      <c r="B1277" s="0" t="str">
        <f aca="false">_xlfn.xlookup(A1277, artists!A$2:A$836, artists!B$2:B$836)</f>
        <v>Cardi B</v>
      </c>
      <c r="C1277" s="1" t="s">
        <v>1310</v>
      </c>
      <c r="D1277" s="2" t="n">
        <v>200889</v>
      </c>
      <c r="E1277" s="2" t="n">
        <f aca="false">D1277/1000</f>
        <v>200.889</v>
      </c>
      <c r="F1277" s="10" t="b">
        <f aca="false">TRUE()</f>
        <v>1</v>
      </c>
      <c r="G1277" s="0" t="n">
        <v>22</v>
      </c>
      <c r="H1277" s="0" t="n">
        <f aca="false">_xlfn.xlookup(G1277, years!A$2:A$836, years!B$2:B$836)</f>
        <v>2019</v>
      </c>
      <c r="I1277" s="2" t="n">
        <v>73</v>
      </c>
      <c r="J1277" s="0" t="n">
        <v>0.747</v>
      </c>
      <c r="K1277" s="0" t="n">
        <v>0.57</v>
      </c>
      <c r="L1277" s="3" t="str">
        <f aca="false">IF(K1277&gt;0.66,"High",IF(K1277&gt;0.33&amp;K1277&lt;=0.66,"Medium","Low"))</f>
        <v>Low</v>
      </c>
      <c r="M1277" s="0" t="n">
        <v>-6.711</v>
      </c>
      <c r="N1277" s="3" t="n">
        <v>0.081</v>
      </c>
      <c r="O1277" s="3" t="n">
        <v>0.0642</v>
      </c>
      <c r="P1277" s="4" t="n">
        <v>0</v>
      </c>
      <c r="Q1277" s="3" t="n">
        <v>0.0832</v>
      </c>
      <c r="R1277" s="3" t="n">
        <v>0.65</v>
      </c>
      <c r="S1277" s="3" t="str">
        <f aca="false">IF(R1277 &gt;= 0.5, "Positive", "Negative")</f>
        <v>Positive</v>
      </c>
      <c r="T1277" s="2" t="n">
        <v>133.992</v>
      </c>
      <c r="U1277" s="0" t="s">
        <v>24</v>
      </c>
    </row>
    <row r="1278" customFormat="false" ht="14.25" hidden="false" customHeight="false" outlineLevel="0" collapsed="false">
      <c r="A1278" s="0" t="n">
        <v>763</v>
      </c>
      <c r="B1278" s="0" t="str">
        <f aca="false">_xlfn.xlookup(A1278, artists!A$2:A$836, artists!B$2:B$836)</f>
        <v>Rich The Kid</v>
      </c>
      <c r="C1278" s="1" t="s">
        <v>1311</v>
      </c>
      <c r="D1278" s="2" t="n">
        <v>175229</v>
      </c>
      <c r="E1278" s="2" t="n">
        <f aca="false">D1278/1000</f>
        <v>175.229</v>
      </c>
      <c r="F1278" s="10" t="b">
        <f aca="false">TRUE()</f>
        <v>1</v>
      </c>
      <c r="G1278" s="0" t="n">
        <v>21</v>
      </c>
      <c r="H1278" s="0" t="n">
        <f aca="false">_xlfn.xlookup(G1278, years!A$2:A$836, years!B$2:B$836)</f>
        <v>2018</v>
      </c>
      <c r="I1278" s="2" t="n">
        <v>72</v>
      </c>
      <c r="J1278" s="0" t="n">
        <v>0.876</v>
      </c>
      <c r="K1278" s="0" t="n">
        <v>0.519</v>
      </c>
      <c r="L1278" s="3" t="str">
        <f aca="false">IF(K1278&gt;0.66,"High",IF(K1278&gt;0.33&amp;K1278&lt;=0.66,"Medium","Low"))</f>
        <v>Low</v>
      </c>
      <c r="M1278" s="0" t="n">
        <v>-6.531</v>
      </c>
      <c r="N1278" s="3" t="n">
        <v>0.143</v>
      </c>
      <c r="O1278" s="3" t="n">
        <v>0.202</v>
      </c>
      <c r="P1278" s="4" t="n">
        <v>0</v>
      </c>
      <c r="Q1278" s="3" t="n">
        <v>0.108</v>
      </c>
      <c r="R1278" s="3" t="n">
        <v>0.158</v>
      </c>
      <c r="S1278" s="3" t="str">
        <f aca="false">IF(R1278 &gt;= 0.5, "Positive", "Negative")</f>
        <v>Negative</v>
      </c>
      <c r="T1278" s="2" t="n">
        <v>94.981</v>
      </c>
      <c r="U1278" s="0" t="s">
        <v>24</v>
      </c>
    </row>
    <row r="1279" customFormat="false" ht="14.25" hidden="false" customHeight="false" outlineLevel="0" collapsed="false">
      <c r="A1279" s="0" t="n">
        <v>351</v>
      </c>
      <c r="B1279" s="0" t="str">
        <f aca="false">_xlfn.xlookup(A1279, artists!A$2:A$836, artists!B$2:B$836)</f>
        <v>Natasha Bedingfield</v>
      </c>
      <c r="C1279" s="1" t="s">
        <v>1312</v>
      </c>
      <c r="D1279" s="2" t="n">
        <v>203440</v>
      </c>
      <c r="E1279" s="2" t="n">
        <f aca="false">D1279/1000</f>
        <v>203.44</v>
      </c>
      <c r="F1279" s="10" t="b">
        <f aca="false">FALSE()</f>
        <v>0</v>
      </c>
      <c r="G1279" s="0" t="n">
        <v>11</v>
      </c>
      <c r="H1279" s="0" t="n">
        <f aca="false">_xlfn.xlookup(G1279, years!A$2:A$836, years!B$2:B$836)</f>
        <v>2008</v>
      </c>
      <c r="I1279" s="2" t="n">
        <v>62</v>
      </c>
      <c r="J1279" s="0" t="n">
        <v>0.726</v>
      </c>
      <c r="K1279" s="0" t="n">
        <v>0.881</v>
      </c>
      <c r="L1279" s="3" t="str">
        <f aca="false">IF(K1279&gt;0.66,"High",IF(K1279&gt;0.33&amp;K1279&lt;=0.66,"Medium","Low"))</f>
        <v>High</v>
      </c>
      <c r="M1279" s="0" t="n">
        <v>-3.892</v>
      </c>
      <c r="N1279" s="3" t="n">
        <v>0.0391</v>
      </c>
      <c r="O1279" s="3" t="n">
        <v>0.203</v>
      </c>
      <c r="P1279" s="4" t="n">
        <v>0</v>
      </c>
      <c r="Q1279" s="3" t="n">
        <v>0.108</v>
      </c>
      <c r="R1279" s="3" t="n">
        <v>0.682</v>
      </c>
      <c r="S1279" s="3" t="str">
        <f aca="false">IF(R1279 &gt;= 0.5, "Positive", "Negative")</f>
        <v>Positive</v>
      </c>
      <c r="T1279" s="2" t="n">
        <v>110.019</v>
      </c>
      <c r="U1279" s="0" t="s">
        <v>39</v>
      </c>
    </row>
    <row r="1280" customFormat="false" ht="14.25" hidden="false" customHeight="false" outlineLevel="0" collapsed="false">
      <c r="A1280" s="0" t="n">
        <v>555</v>
      </c>
      <c r="B1280" s="0" t="str">
        <f aca="false">_xlfn.xlookup(A1280, artists!A$2:A$836, artists!B$2:B$836)</f>
        <v>Rita Ora</v>
      </c>
      <c r="C1280" s="1" t="s">
        <v>1313</v>
      </c>
      <c r="D1280" s="2" t="n">
        <v>215064</v>
      </c>
      <c r="E1280" s="2" t="n">
        <f aca="false">D1280/1000</f>
        <v>215.064</v>
      </c>
      <c r="F1280" s="10" t="b">
        <f aca="false">FALSE()</f>
        <v>0</v>
      </c>
      <c r="G1280" s="0" t="n">
        <v>20</v>
      </c>
      <c r="H1280" s="0" t="n">
        <f aca="false">_xlfn.xlookup(G1280, years!A$2:A$836, years!B$2:B$836)</f>
        <v>2017</v>
      </c>
      <c r="I1280" s="2" t="n">
        <v>63</v>
      </c>
      <c r="J1280" s="0" t="n">
        <v>0.628</v>
      </c>
      <c r="K1280" s="0" t="n">
        <v>0.797</v>
      </c>
      <c r="L1280" s="3" t="str">
        <f aca="false">IF(K1280&gt;0.66,"High",IF(K1280&gt;0.33&amp;K1280&lt;=0.66,"Medium","Low"))</f>
        <v>High</v>
      </c>
      <c r="M1280" s="0" t="n">
        <v>-3.953</v>
      </c>
      <c r="N1280" s="3" t="n">
        <v>0.0596</v>
      </c>
      <c r="O1280" s="3" t="n">
        <v>0.0364</v>
      </c>
      <c r="P1280" s="4" t="n">
        <v>0</v>
      </c>
      <c r="Q1280" s="3" t="n">
        <v>0.104</v>
      </c>
      <c r="R1280" s="3" t="n">
        <v>0.321</v>
      </c>
      <c r="S1280" s="3" t="str">
        <f aca="false">IF(R1280 &gt;= 0.5, "Positive", "Negative")</f>
        <v>Negative</v>
      </c>
      <c r="T1280" s="2" t="n">
        <v>106.93</v>
      </c>
      <c r="U1280" s="0" t="s">
        <v>53</v>
      </c>
    </row>
    <row r="1281" customFormat="false" ht="14.25" hidden="false" customHeight="false" outlineLevel="0" collapsed="false">
      <c r="A1281" s="0" t="n">
        <v>437</v>
      </c>
      <c r="B1281" s="0" t="str">
        <f aca="false">_xlfn.xlookup(A1281, artists!A$2:A$836, artists!B$2:B$836)</f>
        <v>Lady Gaga</v>
      </c>
      <c r="C1281" s="1" t="s">
        <v>1314</v>
      </c>
      <c r="D1281" s="2" t="n">
        <v>237200</v>
      </c>
      <c r="E1281" s="2" t="n">
        <f aca="false">D1281/1000</f>
        <v>237.2</v>
      </c>
      <c r="F1281" s="10" t="b">
        <f aca="false">FALSE()</f>
        <v>0</v>
      </c>
      <c r="G1281" s="0" t="n">
        <v>11</v>
      </c>
      <c r="H1281" s="0" t="n">
        <f aca="false">_xlfn.xlookup(G1281, years!A$2:A$836, years!B$2:B$836)</f>
        <v>2008</v>
      </c>
      <c r="I1281" s="2" t="n">
        <v>77</v>
      </c>
      <c r="J1281" s="0" t="n">
        <v>0.851</v>
      </c>
      <c r="K1281" s="0" t="n">
        <v>0.806</v>
      </c>
      <c r="L1281" s="3" t="str">
        <f aca="false">IF(K1281&gt;0.66,"High",IF(K1281&gt;0.33&amp;K1281&lt;=0.66,"Medium","Low"))</f>
        <v>High</v>
      </c>
      <c r="M1281" s="0" t="n">
        <v>-4.62</v>
      </c>
      <c r="N1281" s="3" t="n">
        <v>0.0787</v>
      </c>
      <c r="O1281" s="3" t="n">
        <v>0.118</v>
      </c>
      <c r="P1281" s="4" t="n">
        <v>1.64E-006</v>
      </c>
      <c r="Q1281" s="3" t="n">
        <v>0.121</v>
      </c>
      <c r="R1281" s="3" t="n">
        <v>0.787</v>
      </c>
      <c r="S1281" s="3" t="str">
        <f aca="false">IF(R1281 &gt;= 0.5, "Positive", "Negative")</f>
        <v>Positive</v>
      </c>
      <c r="T1281" s="2" t="n">
        <v>118.999</v>
      </c>
      <c r="U1281" s="0" t="s">
        <v>39</v>
      </c>
    </row>
    <row r="1282" customFormat="false" ht="14.25" hidden="false" customHeight="false" outlineLevel="0" collapsed="false">
      <c r="A1282" s="0" t="n">
        <v>492</v>
      </c>
      <c r="B1282" s="0" t="str">
        <f aca="false">_xlfn.xlookup(A1282, artists!A$2:A$836, artists!B$2:B$836)</f>
        <v>B.o.B</v>
      </c>
      <c r="C1282" s="1" t="s">
        <v>1315</v>
      </c>
      <c r="D1282" s="2" t="n">
        <v>196133</v>
      </c>
      <c r="E1282" s="2" t="n">
        <f aca="false">D1282/1000</f>
        <v>196.133</v>
      </c>
      <c r="F1282" s="10" t="b">
        <f aca="false">FALSE()</f>
        <v>0</v>
      </c>
      <c r="G1282" s="0" t="n">
        <v>13</v>
      </c>
      <c r="H1282" s="0" t="n">
        <f aca="false">_xlfn.xlookup(G1282, years!A$2:A$836, years!B$2:B$836)</f>
        <v>2010</v>
      </c>
      <c r="I1282" s="2" t="n">
        <v>65</v>
      </c>
      <c r="J1282" s="0" t="n">
        <v>0.549</v>
      </c>
      <c r="K1282" s="0" t="n">
        <v>0.932</v>
      </c>
      <c r="L1282" s="3" t="str">
        <f aca="false">IF(K1282&gt;0.66,"High",IF(K1282&gt;0.33&amp;K1282&lt;=0.66,"Medium","Low"))</f>
        <v>High</v>
      </c>
      <c r="M1282" s="0" t="n">
        <v>-4.11</v>
      </c>
      <c r="N1282" s="3" t="n">
        <v>0.343</v>
      </c>
      <c r="O1282" s="3" t="n">
        <v>0.0127</v>
      </c>
      <c r="P1282" s="4" t="n">
        <v>0</v>
      </c>
      <c r="Q1282" s="3" t="n">
        <v>0.347</v>
      </c>
      <c r="R1282" s="3" t="n">
        <v>0.787</v>
      </c>
      <c r="S1282" s="3" t="str">
        <f aca="false">IF(R1282 &gt;= 0.5, "Positive", "Negative")</f>
        <v>Positive</v>
      </c>
      <c r="T1282" s="2" t="n">
        <v>82.439</v>
      </c>
      <c r="U1282" s="0" t="s">
        <v>24</v>
      </c>
    </row>
    <row r="1283" customFormat="false" ht="14.25" hidden="false" customHeight="false" outlineLevel="0" collapsed="false">
      <c r="A1283" s="0" t="n">
        <v>283</v>
      </c>
      <c r="B1283" s="0" t="str">
        <f aca="false">_xlfn.xlookup(A1283, artists!A$2:A$836, artists!B$2:B$836)</f>
        <v>Rihanna</v>
      </c>
      <c r="C1283" s="1" t="s">
        <v>1316</v>
      </c>
      <c r="D1283" s="2" t="n">
        <v>246960</v>
      </c>
      <c r="E1283" s="2" t="n">
        <f aca="false">D1283/1000</f>
        <v>246.96</v>
      </c>
      <c r="F1283" s="10" t="b">
        <f aca="false">FALSE()</f>
        <v>0</v>
      </c>
      <c r="G1283" s="0" t="n">
        <v>8</v>
      </c>
      <c r="H1283" s="0" t="n">
        <f aca="false">_xlfn.xlookup(G1283, years!A$2:A$836, years!B$2:B$836)</f>
        <v>2005</v>
      </c>
      <c r="I1283" s="2" t="n">
        <v>77</v>
      </c>
      <c r="J1283" s="0" t="n">
        <v>0.779</v>
      </c>
      <c r="K1283" s="0" t="n">
        <v>0.64</v>
      </c>
      <c r="L1283" s="3" t="str">
        <f aca="false">IF(K1283&gt;0.66,"High",IF(K1283&gt;0.33&amp;K1283&lt;=0.66,"Medium","Low"))</f>
        <v>Low</v>
      </c>
      <c r="M1283" s="0" t="n">
        <v>-8.415</v>
      </c>
      <c r="N1283" s="3" t="n">
        <v>0.159</v>
      </c>
      <c r="O1283" s="3" t="n">
        <v>0.000155</v>
      </c>
      <c r="P1283" s="4" t="n">
        <v>0.00077</v>
      </c>
      <c r="Q1283" s="3" t="n">
        <v>0.101</v>
      </c>
      <c r="R1283" s="3" t="n">
        <v>0.498</v>
      </c>
      <c r="S1283" s="3" t="str">
        <f aca="false">IF(R1283 &gt;= 0.5, "Positive", "Negative")</f>
        <v>Negative</v>
      </c>
      <c r="T1283" s="2" t="n">
        <v>99.019</v>
      </c>
      <c r="U1283" s="0" t="s">
        <v>31</v>
      </c>
    </row>
    <row r="1284" customFormat="false" ht="14.25" hidden="false" customHeight="false" outlineLevel="0" collapsed="false">
      <c r="A1284" s="0" t="n">
        <v>810</v>
      </c>
      <c r="B1284" s="0" t="str">
        <f aca="false">_xlfn.xlookup(A1284, artists!A$2:A$836, artists!B$2:B$836)</f>
        <v>Polo G</v>
      </c>
      <c r="C1284" s="1" t="s">
        <v>1317</v>
      </c>
      <c r="D1284" s="2" t="n">
        <v>166560</v>
      </c>
      <c r="E1284" s="2" t="n">
        <f aca="false">D1284/1000</f>
        <v>166.56</v>
      </c>
      <c r="F1284" s="10" t="b">
        <f aca="false">TRUE()</f>
        <v>1</v>
      </c>
      <c r="G1284" s="0" t="n">
        <v>22</v>
      </c>
      <c r="H1284" s="0" t="n">
        <f aca="false">_xlfn.xlookup(G1284, years!A$2:A$836, years!B$2:B$836)</f>
        <v>2019</v>
      </c>
      <c r="I1284" s="2" t="n">
        <v>78</v>
      </c>
      <c r="J1284" s="0" t="n">
        <v>0.772</v>
      </c>
      <c r="K1284" s="0" t="n">
        <v>0.639</v>
      </c>
      <c r="L1284" s="3" t="str">
        <f aca="false">IF(K1284&gt;0.66,"High",IF(K1284&gt;0.33&amp;K1284&lt;=0.66,"Medium","Low"))</f>
        <v>Low</v>
      </c>
      <c r="M1284" s="0" t="n">
        <v>-7.119</v>
      </c>
      <c r="N1284" s="3" t="n">
        <v>0.467</v>
      </c>
      <c r="O1284" s="3" t="n">
        <v>0.15</v>
      </c>
      <c r="P1284" s="4" t="n">
        <v>0</v>
      </c>
      <c r="Q1284" s="3" t="n">
        <v>0.0698</v>
      </c>
      <c r="R1284" s="3" t="n">
        <v>0.261</v>
      </c>
      <c r="S1284" s="3" t="str">
        <f aca="false">IF(R1284 &gt;= 0.5, "Positive", "Negative")</f>
        <v>Negative</v>
      </c>
      <c r="T1284" s="2" t="n">
        <v>168.112</v>
      </c>
      <c r="U1284" s="0" t="s">
        <v>29</v>
      </c>
    </row>
    <row r="1285" customFormat="false" ht="14.25" hidden="false" customHeight="false" outlineLevel="0" collapsed="false">
      <c r="A1285" s="0" t="n">
        <v>455</v>
      </c>
      <c r="B1285" s="0" t="str">
        <f aca="false">_xlfn.xlookup(A1285, artists!A$2:A$836, artists!B$2:B$836)</f>
        <v>Drake</v>
      </c>
      <c r="C1285" s="1" t="s">
        <v>1318</v>
      </c>
      <c r="D1285" s="2" t="n">
        <v>212946</v>
      </c>
      <c r="E1285" s="2" t="n">
        <f aca="false">D1285/1000</f>
        <v>212.946</v>
      </c>
      <c r="F1285" s="10" t="b">
        <f aca="false">TRUE()</f>
        <v>1</v>
      </c>
      <c r="G1285" s="0" t="n">
        <v>19</v>
      </c>
      <c r="H1285" s="0" t="n">
        <f aca="false">_xlfn.xlookup(G1285, years!A$2:A$836, years!B$2:B$836)</f>
        <v>2016</v>
      </c>
      <c r="I1285" s="2" t="n">
        <v>63</v>
      </c>
      <c r="J1285" s="0" t="n">
        <v>0.713</v>
      </c>
      <c r="K1285" s="0" t="n">
        <v>0.462</v>
      </c>
      <c r="L1285" s="3" t="str">
        <f aca="false">IF(K1285&gt;0.66,"High",IF(K1285&gt;0.33&amp;K1285&lt;=0.66,"Medium","Low"))</f>
        <v>Low</v>
      </c>
      <c r="M1285" s="0" t="n">
        <v>-10.027</v>
      </c>
      <c r="N1285" s="3" t="n">
        <v>0.123</v>
      </c>
      <c r="O1285" s="3" t="n">
        <v>0.192</v>
      </c>
      <c r="P1285" s="4" t="n">
        <v>2.16E-006</v>
      </c>
      <c r="Q1285" s="3" t="n">
        <v>0.105</v>
      </c>
      <c r="R1285" s="3" t="n">
        <v>0.0594</v>
      </c>
      <c r="S1285" s="3" t="str">
        <f aca="false">IF(R1285 &gt;= 0.5, "Positive", "Negative")</f>
        <v>Negative</v>
      </c>
      <c r="T1285" s="2" t="n">
        <v>133.053</v>
      </c>
      <c r="U1285" s="0" t="s">
        <v>31</v>
      </c>
    </row>
    <row r="1286" customFormat="false" ht="14.25" hidden="false" customHeight="false" outlineLevel="0" collapsed="false">
      <c r="A1286" s="0" t="n">
        <v>687</v>
      </c>
      <c r="B1286" s="0" t="str">
        <f aca="false">_xlfn.xlookup(A1286, artists!A$2:A$836, artists!B$2:B$836)</f>
        <v>G-Eazy</v>
      </c>
      <c r="C1286" s="1" t="s">
        <v>1319</v>
      </c>
      <c r="D1286" s="2" t="n">
        <v>225520</v>
      </c>
      <c r="E1286" s="2" t="n">
        <f aca="false">D1286/1000</f>
        <v>225.52</v>
      </c>
      <c r="F1286" s="10" t="b">
        <f aca="false">FALSE()</f>
        <v>0</v>
      </c>
      <c r="G1286" s="0" t="n">
        <v>20</v>
      </c>
      <c r="H1286" s="0" t="n">
        <f aca="false">_xlfn.xlookup(G1286, years!A$2:A$836, years!B$2:B$836)</f>
        <v>2017</v>
      </c>
      <c r="I1286" s="2" t="n">
        <v>63</v>
      </c>
      <c r="J1286" s="0" t="n">
        <v>0.572</v>
      </c>
      <c r="K1286" s="0" t="n">
        <v>0.778</v>
      </c>
      <c r="L1286" s="3" t="str">
        <f aca="false">IF(K1286&gt;0.66,"High",IF(K1286&gt;0.33&amp;K1286&lt;=0.66,"Medium","Low"))</f>
        <v>High</v>
      </c>
      <c r="M1286" s="0" t="n">
        <v>-5.208</v>
      </c>
      <c r="N1286" s="3" t="n">
        <v>0.233</v>
      </c>
      <c r="O1286" s="3" t="n">
        <v>0.00638</v>
      </c>
      <c r="P1286" s="4" t="n">
        <v>0</v>
      </c>
      <c r="Q1286" s="3" t="n">
        <v>0.0563</v>
      </c>
      <c r="R1286" s="3" t="n">
        <v>0.54</v>
      </c>
      <c r="S1286" s="3" t="str">
        <f aca="false">IF(R1286 &gt;= 0.5, "Positive", "Negative")</f>
        <v>Positive</v>
      </c>
      <c r="T1286" s="2" t="n">
        <v>168.073</v>
      </c>
      <c r="U1286" s="0" t="s">
        <v>24</v>
      </c>
    </row>
    <row r="1287" customFormat="false" ht="14.25" hidden="false" customHeight="false" outlineLevel="0" collapsed="false">
      <c r="A1287" s="0" t="n">
        <v>382</v>
      </c>
      <c r="B1287" s="0" t="str">
        <f aca="false">_xlfn.xlookup(A1287, artists!A$2:A$836, artists!B$2:B$836)</f>
        <v>Huey</v>
      </c>
      <c r="C1287" s="1" t="s">
        <v>1320</v>
      </c>
      <c r="D1287" s="2" t="n">
        <v>261026</v>
      </c>
      <c r="E1287" s="2" t="n">
        <f aca="false">D1287/1000</f>
        <v>261.026</v>
      </c>
      <c r="F1287" s="10" t="b">
        <f aca="false">FALSE()</f>
        <v>0</v>
      </c>
      <c r="G1287" s="0" t="n">
        <v>9</v>
      </c>
      <c r="H1287" s="0" t="n">
        <f aca="false">_xlfn.xlookup(G1287, years!A$2:A$836, years!B$2:B$836)</f>
        <v>2006</v>
      </c>
      <c r="I1287" s="2" t="n">
        <v>52</v>
      </c>
      <c r="J1287" s="0" t="n">
        <v>0.723</v>
      </c>
      <c r="K1287" s="0" t="n">
        <v>0.644</v>
      </c>
      <c r="L1287" s="3" t="str">
        <f aca="false">IF(K1287&gt;0.66,"High",IF(K1287&gt;0.33&amp;K1287&lt;=0.66,"Medium","Low"))</f>
        <v>Low</v>
      </c>
      <c r="M1287" s="0" t="n">
        <v>-6.863</v>
      </c>
      <c r="N1287" s="3" t="n">
        <v>0.222</v>
      </c>
      <c r="O1287" s="3" t="n">
        <v>0.00308</v>
      </c>
      <c r="P1287" s="4" t="n">
        <v>0</v>
      </c>
      <c r="Q1287" s="3" t="n">
        <v>0.352</v>
      </c>
      <c r="R1287" s="3" t="n">
        <v>0.645</v>
      </c>
      <c r="S1287" s="3" t="str">
        <f aca="false">IF(R1287 &gt;= 0.5, "Positive", "Negative")</f>
        <v>Positive</v>
      </c>
      <c r="T1287" s="2" t="n">
        <v>144.09</v>
      </c>
      <c r="U1287" s="0" t="s">
        <v>24</v>
      </c>
    </row>
    <row r="1288" customFormat="false" ht="14.25" hidden="false" customHeight="false" outlineLevel="0" collapsed="false">
      <c r="A1288" s="0" t="n">
        <v>829</v>
      </c>
      <c r="B1288" s="0" t="str">
        <f aca="false">_xlfn.xlookup(A1288, artists!A$2:A$836, artists!B$2:B$836)</f>
        <v>Sam Feldt</v>
      </c>
      <c r="C1288" s="1" t="s">
        <v>1321</v>
      </c>
      <c r="D1288" s="2" t="n">
        <v>174444</v>
      </c>
      <c r="E1288" s="2" t="n">
        <f aca="false">D1288/1000</f>
        <v>174.444</v>
      </c>
      <c r="F1288" s="10" t="b">
        <f aca="false">FALSE()</f>
        <v>0</v>
      </c>
      <c r="G1288" s="0" t="n">
        <v>22</v>
      </c>
      <c r="H1288" s="0" t="n">
        <f aca="false">_xlfn.xlookup(G1288, years!A$2:A$836, years!B$2:B$836)</f>
        <v>2019</v>
      </c>
      <c r="I1288" s="2" t="n">
        <v>69</v>
      </c>
      <c r="J1288" s="0" t="n">
        <v>0.59</v>
      </c>
      <c r="K1288" s="0" t="n">
        <v>0.642</v>
      </c>
      <c r="L1288" s="3" t="str">
        <f aca="false">IF(K1288&gt;0.66,"High",IF(K1288&gt;0.33&amp;K1288&lt;=0.66,"Medium","Low"))</f>
        <v>Low</v>
      </c>
      <c r="M1288" s="0" t="n">
        <v>-3.87</v>
      </c>
      <c r="N1288" s="3" t="n">
        <v>0.122</v>
      </c>
      <c r="O1288" s="3" t="n">
        <v>0.0771</v>
      </c>
      <c r="P1288" s="4" t="n">
        <v>0</v>
      </c>
      <c r="Q1288" s="3" t="n">
        <v>0.105</v>
      </c>
      <c r="R1288" s="3" t="n">
        <v>0.651</v>
      </c>
      <c r="S1288" s="3" t="str">
        <f aca="false">IF(R1288 &gt;= 0.5, "Positive", "Negative")</f>
        <v>Positive</v>
      </c>
      <c r="T1288" s="2" t="n">
        <v>107.356</v>
      </c>
      <c r="U1288" s="0" t="s">
        <v>22</v>
      </c>
    </row>
    <row r="1289" customFormat="false" ht="14.25" hidden="false" customHeight="false" outlineLevel="0" collapsed="false">
      <c r="A1289" s="0" t="n">
        <v>377</v>
      </c>
      <c r="B1289" s="0" t="str">
        <f aca="false">_xlfn.xlookup(A1289, artists!A$2:A$836, artists!B$2:B$836)</f>
        <v>Omarion</v>
      </c>
      <c r="C1289" s="1" t="s">
        <v>1322</v>
      </c>
      <c r="D1289" s="2" t="n">
        <v>226580</v>
      </c>
      <c r="E1289" s="2" t="n">
        <f aca="false">D1289/1000</f>
        <v>226.58</v>
      </c>
      <c r="F1289" s="10" t="b">
        <f aca="false">TRUE()</f>
        <v>1</v>
      </c>
      <c r="G1289" s="0" t="n">
        <v>17</v>
      </c>
      <c r="H1289" s="0" t="n">
        <f aca="false">_xlfn.xlookup(G1289, years!A$2:A$836, years!B$2:B$836)</f>
        <v>2014</v>
      </c>
      <c r="I1289" s="2" t="n">
        <v>55</v>
      </c>
      <c r="J1289" s="0" t="n">
        <v>0.733</v>
      </c>
      <c r="K1289" s="0" t="n">
        <v>0.676</v>
      </c>
      <c r="L1289" s="3" t="str">
        <f aca="false">IF(K1289&gt;0.66,"High",IF(K1289&gt;0.33&amp;K1289&lt;=0.66,"Medium","Low"))</f>
        <v>High</v>
      </c>
      <c r="M1289" s="0" t="n">
        <v>-5.655</v>
      </c>
      <c r="N1289" s="3" t="n">
        <v>0.0432</v>
      </c>
      <c r="O1289" s="3" t="n">
        <v>0.0697</v>
      </c>
      <c r="P1289" s="4" t="n">
        <v>0</v>
      </c>
      <c r="Q1289" s="3" t="n">
        <v>0.208</v>
      </c>
      <c r="R1289" s="3" t="n">
        <v>0.701</v>
      </c>
      <c r="S1289" s="3" t="str">
        <f aca="false">IF(R1289 &gt;= 0.5, "Positive", "Negative")</f>
        <v>Positive</v>
      </c>
      <c r="T1289" s="2" t="n">
        <v>97.448</v>
      </c>
      <c r="U1289" s="0" t="s">
        <v>31</v>
      </c>
    </row>
    <row r="1290" customFormat="false" ht="14.25" hidden="false" customHeight="false" outlineLevel="0" collapsed="false">
      <c r="A1290" s="0" t="n">
        <v>526</v>
      </c>
      <c r="B1290" s="0" t="str">
        <f aca="false">_xlfn.xlookup(A1290, artists!A$2:A$836, artists!B$2:B$836)</f>
        <v>Nicki Minaj</v>
      </c>
      <c r="C1290" s="1" t="s">
        <v>1323</v>
      </c>
      <c r="D1290" s="2" t="n">
        <v>205640</v>
      </c>
      <c r="E1290" s="2" t="n">
        <f aca="false">D1290/1000</f>
        <v>205.64</v>
      </c>
      <c r="F1290" s="10" t="b">
        <f aca="false">TRUE()</f>
        <v>1</v>
      </c>
      <c r="G1290" s="0" t="n">
        <v>15</v>
      </c>
      <c r="H1290" s="0" t="n">
        <f aca="false">_xlfn.xlookup(G1290, years!A$2:A$836, years!B$2:B$836)</f>
        <v>2012</v>
      </c>
      <c r="I1290" s="2" t="n">
        <v>64</v>
      </c>
      <c r="J1290" s="0" t="n">
        <v>0.728</v>
      </c>
      <c r="K1290" s="0" t="n">
        <v>0.858</v>
      </c>
      <c r="L1290" s="3" t="str">
        <f aca="false">IF(K1290&gt;0.66,"High",IF(K1290&gt;0.33&amp;K1290&lt;=0.66,"Medium","Low"))</f>
        <v>High</v>
      </c>
      <c r="M1290" s="0" t="n">
        <v>-3.686</v>
      </c>
      <c r="N1290" s="3" t="n">
        <v>0.0609</v>
      </c>
      <c r="O1290" s="3" t="n">
        <v>0.0403</v>
      </c>
      <c r="P1290" s="4" t="n">
        <v>4.09E-006</v>
      </c>
      <c r="Q1290" s="3" t="n">
        <v>0.0241</v>
      </c>
      <c r="R1290" s="3" t="n">
        <v>0.591</v>
      </c>
      <c r="S1290" s="3" t="str">
        <f aca="false">IF(R1290 &gt;= 0.5, "Positive", "Negative")</f>
        <v>Positive</v>
      </c>
      <c r="T1290" s="2" t="n">
        <v>125.055</v>
      </c>
      <c r="U1290" s="0" t="s">
        <v>24</v>
      </c>
    </row>
    <row r="1291" customFormat="false" ht="14.25" hidden="false" customHeight="false" outlineLevel="0" collapsed="false">
      <c r="A1291" s="0" t="n">
        <v>597</v>
      </c>
      <c r="B1291" s="0" t="str">
        <f aca="false">_xlfn.xlookup(A1291, artists!A$2:A$836, artists!B$2:B$836)</f>
        <v>J. Cole</v>
      </c>
      <c r="C1291" s="1" t="s">
        <v>1324</v>
      </c>
      <c r="D1291" s="2" t="n">
        <v>241160</v>
      </c>
      <c r="E1291" s="2" t="n">
        <f aca="false">D1291/1000</f>
        <v>241.16</v>
      </c>
      <c r="F1291" s="10" t="b">
        <f aca="false">TRUE()</f>
        <v>1</v>
      </c>
      <c r="G1291" s="0" t="n">
        <v>16</v>
      </c>
      <c r="H1291" s="0" t="n">
        <f aca="false">_xlfn.xlookup(G1291, years!A$2:A$836, years!B$2:B$836)</f>
        <v>2013</v>
      </c>
      <c r="I1291" s="2" t="n">
        <v>0</v>
      </c>
      <c r="J1291" s="0" t="n">
        <v>0.667</v>
      </c>
      <c r="K1291" s="0" t="n">
        <v>0.61</v>
      </c>
      <c r="L1291" s="3" t="str">
        <f aca="false">IF(K1291&gt;0.66,"High",IF(K1291&gt;0.33&amp;K1291&lt;=0.66,"Medium","Low"))</f>
        <v>Low</v>
      </c>
      <c r="M1291" s="0" t="n">
        <v>-7.054</v>
      </c>
      <c r="N1291" s="3" t="n">
        <v>0.217</v>
      </c>
      <c r="O1291" s="3" t="n">
        <v>0.322</v>
      </c>
      <c r="P1291" s="4" t="n">
        <v>0.000203</v>
      </c>
      <c r="Q1291" s="3" t="n">
        <v>0.426</v>
      </c>
      <c r="R1291" s="3" t="n">
        <v>0.465</v>
      </c>
      <c r="S1291" s="3" t="str">
        <f aca="false">IF(R1291 &gt;= 0.5, "Positive", "Negative")</f>
        <v>Negative</v>
      </c>
      <c r="T1291" s="2" t="n">
        <v>99.991</v>
      </c>
      <c r="U1291" s="0" t="s">
        <v>29</v>
      </c>
    </row>
    <row r="1292" customFormat="false" ht="14.25" hidden="false" customHeight="false" outlineLevel="0" collapsed="false">
      <c r="A1292" s="0" t="n">
        <v>693</v>
      </c>
      <c r="B1292" s="0" t="str">
        <f aca="false">_xlfn.xlookup(A1292, artists!A$2:A$836, artists!B$2:B$836)</f>
        <v>Dua Lipa</v>
      </c>
      <c r="C1292" s="1" t="s">
        <v>1325</v>
      </c>
      <c r="D1292" s="2" t="n">
        <v>212000</v>
      </c>
      <c r="E1292" s="2" t="n">
        <f aca="false">D1292/1000</f>
        <v>212</v>
      </c>
      <c r="F1292" s="10" t="b">
        <f aca="false">FALSE()</f>
        <v>0</v>
      </c>
      <c r="G1292" s="0" t="n">
        <v>20</v>
      </c>
      <c r="H1292" s="0" t="n">
        <f aca="false">_xlfn.xlookup(G1292, years!A$2:A$836, years!B$2:B$836)</f>
        <v>2017</v>
      </c>
      <c r="I1292" s="2" t="n">
        <v>61</v>
      </c>
      <c r="J1292" s="0" t="n">
        <v>0.763</v>
      </c>
      <c r="K1292" s="0" t="n">
        <v>0.72</v>
      </c>
      <c r="L1292" s="3" t="str">
        <f aca="false">IF(K1292&gt;0.66,"High",IF(K1292&gt;0.33&amp;K1292&lt;=0.66,"Medium","Low"))</f>
        <v>High</v>
      </c>
      <c r="M1292" s="0" t="n">
        <v>-5.181</v>
      </c>
      <c r="N1292" s="3" t="n">
        <v>0.0691</v>
      </c>
      <c r="O1292" s="3" t="n">
        <v>0.00261</v>
      </c>
      <c r="P1292" s="4" t="n">
        <v>1.11E-005</v>
      </c>
      <c r="Q1292" s="3" t="n">
        <v>0.114</v>
      </c>
      <c r="R1292" s="3" t="n">
        <v>0.592</v>
      </c>
      <c r="S1292" s="3" t="str">
        <f aca="false">IF(R1292 &gt;= 0.5, "Positive", "Negative")</f>
        <v>Positive</v>
      </c>
      <c r="T1292" s="2" t="n">
        <v>116.01</v>
      </c>
      <c r="U1292" s="0" t="s">
        <v>39</v>
      </c>
    </row>
    <row r="1293" customFormat="false" ht="14.25" hidden="false" customHeight="false" outlineLevel="0" collapsed="false">
      <c r="A1293" s="0" t="n">
        <v>745</v>
      </c>
      <c r="B1293" s="0" t="str">
        <f aca="false">_xlfn.xlookup(A1293, artists!A$2:A$836, artists!B$2:B$836)</f>
        <v>Cardi B</v>
      </c>
      <c r="C1293" s="1" t="s">
        <v>1326</v>
      </c>
      <c r="D1293" s="2" t="n">
        <v>223962</v>
      </c>
      <c r="E1293" s="2" t="n">
        <f aca="false">D1293/1000</f>
        <v>223.962</v>
      </c>
      <c r="F1293" s="10" t="b">
        <f aca="false">TRUE()</f>
        <v>1</v>
      </c>
      <c r="G1293" s="0" t="n">
        <v>20</v>
      </c>
      <c r="H1293" s="0" t="n">
        <f aca="false">_xlfn.xlookup(G1293, years!A$2:A$836, years!B$2:B$836)</f>
        <v>2017</v>
      </c>
      <c r="I1293" s="2" t="n">
        <v>59</v>
      </c>
      <c r="J1293" s="0" t="n">
        <v>0.929</v>
      </c>
      <c r="K1293" s="0" t="n">
        <v>0.723</v>
      </c>
      <c r="L1293" s="3" t="str">
        <f aca="false">IF(K1293&gt;0.66,"High",IF(K1293&gt;0.33&amp;K1293&lt;=0.66,"Medium","Low"))</f>
        <v>High</v>
      </c>
      <c r="M1293" s="0" t="n">
        <v>-5.792</v>
      </c>
      <c r="N1293" s="3" t="n">
        <v>0.109</v>
      </c>
      <c r="O1293" s="3" t="n">
        <v>0.0672</v>
      </c>
      <c r="P1293" s="4" t="n">
        <v>0</v>
      </c>
      <c r="Q1293" s="3" t="n">
        <v>0.346</v>
      </c>
      <c r="R1293" s="3" t="n">
        <v>0.458</v>
      </c>
      <c r="S1293" s="3" t="str">
        <f aca="false">IF(R1293 &gt;= 0.5, "Positive", "Negative")</f>
        <v>Negative</v>
      </c>
      <c r="T1293" s="2" t="n">
        <v>125.022</v>
      </c>
      <c r="U1293" s="0" t="s">
        <v>24</v>
      </c>
    </row>
    <row r="1294" customFormat="false" ht="14.25" hidden="false" customHeight="false" outlineLevel="0" collapsed="false">
      <c r="A1294" s="0" t="n">
        <v>614</v>
      </c>
      <c r="B1294" s="0" t="str">
        <f aca="false">_xlfn.xlookup(A1294, artists!A$2:A$836, artists!B$2:B$836)</f>
        <v>Lilly Wood and The Prick</v>
      </c>
      <c r="C1294" s="1" t="s">
        <v>1327</v>
      </c>
      <c r="D1294" s="2" t="n">
        <v>189399</v>
      </c>
      <c r="E1294" s="2" t="n">
        <f aca="false">D1294/1000</f>
        <v>189.399</v>
      </c>
      <c r="F1294" s="10" t="b">
        <f aca="false">FALSE()</f>
        <v>0</v>
      </c>
      <c r="G1294" s="0" t="n">
        <v>17</v>
      </c>
      <c r="H1294" s="0" t="n">
        <f aca="false">_xlfn.xlookup(G1294, years!A$2:A$836, years!B$2:B$836)</f>
        <v>2014</v>
      </c>
      <c r="I1294" s="2" t="n">
        <v>66</v>
      </c>
      <c r="J1294" s="0" t="n">
        <v>0.76</v>
      </c>
      <c r="K1294" s="0" t="n">
        <v>0.886</v>
      </c>
      <c r="L1294" s="3" t="str">
        <f aca="false">IF(K1294&gt;0.66,"High",IF(K1294&gt;0.33&amp;K1294&lt;=0.66,"Medium","Low"))</f>
        <v>High</v>
      </c>
      <c r="M1294" s="0" t="n">
        <v>-5.356</v>
      </c>
      <c r="N1294" s="3" t="n">
        <v>0.0258</v>
      </c>
      <c r="O1294" s="3" t="n">
        <v>0.0219</v>
      </c>
      <c r="P1294" s="4" t="n">
        <v>7.43E-006</v>
      </c>
      <c r="Q1294" s="3" t="n">
        <v>0.623</v>
      </c>
      <c r="R1294" s="3" t="n">
        <v>0.78</v>
      </c>
      <c r="S1294" s="3" t="str">
        <f aca="false">IF(R1294 &gt;= 0.5, "Positive", "Negative")</f>
        <v>Positive</v>
      </c>
      <c r="T1294" s="2" t="n">
        <v>123.002</v>
      </c>
      <c r="U1294" s="0" t="s">
        <v>210</v>
      </c>
    </row>
    <row r="1295" customFormat="false" ht="14.25" hidden="false" customHeight="false" outlineLevel="0" collapsed="false">
      <c r="A1295" s="0" t="n">
        <v>748</v>
      </c>
      <c r="B1295" s="0" t="str">
        <f aca="false">_xlfn.xlookup(A1295, artists!A$2:A$836, artists!B$2:B$836)</f>
        <v>Maggie Lindemann</v>
      </c>
      <c r="C1295" s="1" t="s">
        <v>1328</v>
      </c>
      <c r="D1295" s="2" t="n">
        <v>193613</v>
      </c>
      <c r="E1295" s="2" t="n">
        <f aca="false">D1295/1000</f>
        <v>193.613</v>
      </c>
      <c r="F1295" s="10" t="b">
        <f aca="false">TRUE()</f>
        <v>1</v>
      </c>
      <c r="G1295" s="0" t="n">
        <v>20</v>
      </c>
      <c r="H1295" s="0" t="n">
        <f aca="false">_xlfn.xlookup(G1295, years!A$2:A$836, years!B$2:B$836)</f>
        <v>2017</v>
      </c>
      <c r="I1295" s="2" t="n">
        <v>61</v>
      </c>
      <c r="J1295" s="0" t="n">
        <v>0.703</v>
      </c>
      <c r="K1295" s="0" t="n">
        <v>0.868</v>
      </c>
      <c r="L1295" s="3" t="str">
        <f aca="false">IF(K1295&gt;0.66,"High",IF(K1295&gt;0.33&amp;K1295&lt;=0.66,"Medium","Low"))</f>
        <v>High</v>
      </c>
      <c r="M1295" s="0" t="n">
        <v>-4.661</v>
      </c>
      <c r="N1295" s="3" t="n">
        <v>0.0291</v>
      </c>
      <c r="O1295" s="3" t="n">
        <v>0.15</v>
      </c>
      <c r="P1295" s="4" t="n">
        <v>0.132</v>
      </c>
      <c r="Q1295" s="3" t="n">
        <v>0.104</v>
      </c>
      <c r="R1295" s="3" t="n">
        <v>0.733</v>
      </c>
      <c r="S1295" s="3" t="str">
        <f aca="false">IF(R1295 &gt;= 0.5, "Positive", "Negative")</f>
        <v>Positive</v>
      </c>
      <c r="T1295" s="2" t="n">
        <v>121.03</v>
      </c>
      <c r="U1295" s="0" t="s">
        <v>35</v>
      </c>
    </row>
    <row r="1296" customFormat="false" ht="14.25" hidden="false" customHeight="false" outlineLevel="0" collapsed="false">
      <c r="A1296" s="0" t="n">
        <v>448</v>
      </c>
      <c r="B1296" s="0" t="str">
        <f aca="false">_xlfn.xlookup(A1296, artists!A$2:A$836, artists!B$2:B$836)</f>
        <v>Keri Hilson</v>
      </c>
      <c r="C1296" s="1" t="s">
        <v>1329</v>
      </c>
      <c r="D1296" s="2" t="n">
        <v>243920</v>
      </c>
      <c r="E1296" s="2" t="n">
        <f aca="false">D1296/1000</f>
        <v>243.92</v>
      </c>
      <c r="F1296" s="10" t="b">
        <f aca="false">FALSE()</f>
        <v>0</v>
      </c>
      <c r="G1296" s="0" t="n">
        <v>13</v>
      </c>
      <c r="H1296" s="0" t="n">
        <f aca="false">_xlfn.xlookup(G1296, years!A$2:A$836, years!B$2:B$836)</f>
        <v>2010</v>
      </c>
      <c r="I1296" s="2" t="n">
        <v>67</v>
      </c>
      <c r="J1296" s="0" t="n">
        <v>0.666</v>
      </c>
      <c r="K1296" s="0" t="n">
        <v>0.87</v>
      </c>
      <c r="L1296" s="3" t="str">
        <f aca="false">IF(K1296&gt;0.66,"High",IF(K1296&gt;0.33&amp;K1296&lt;=0.66,"Medium","Low"))</f>
        <v>High</v>
      </c>
      <c r="M1296" s="0" t="n">
        <v>-5.004</v>
      </c>
      <c r="N1296" s="3" t="n">
        <v>0.246</v>
      </c>
      <c r="O1296" s="3" t="n">
        <v>0.203</v>
      </c>
      <c r="P1296" s="4" t="n">
        <v>0</v>
      </c>
      <c r="Q1296" s="3" t="n">
        <v>0.0851</v>
      </c>
      <c r="R1296" s="3" t="n">
        <v>0.9</v>
      </c>
      <c r="S1296" s="3" t="str">
        <f aca="false">IF(R1296 &gt;= 0.5, "Positive", "Negative")</f>
        <v>Positive</v>
      </c>
      <c r="T1296" s="2" t="n">
        <v>160.014</v>
      </c>
      <c r="U1296" s="0" t="s">
        <v>33</v>
      </c>
    </row>
    <row r="1297" customFormat="false" ht="14.25" hidden="false" customHeight="false" outlineLevel="0" collapsed="false">
      <c r="A1297" s="0" t="n">
        <v>214</v>
      </c>
      <c r="B1297" s="0" t="str">
        <f aca="false">_xlfn.xlookup(A1297, artists!A$2:A$836, artists!B$2:B$836)</f>
        <v>Ultrabeat</v>
      </c>
      <c r="C1297" s="1" t="s">
        <v>1330</v>
      </c>
      <c r="D1297" s="2" t="n">
        <v>201920</v>
      </c>
      <c r="E1297" s="2" t="n">
        <f aca="false">D1297/1000</f>
        <v>201.92</v>
      </c>
      <c r="F1297" s="10" t="b">
        <f aca="false">FALSE()</f>
        <v>0</v>
      </c>
      <c r="G1297" s="0" t="n">
        <v>6</v>
      </c>
      <c r="H1297" s="0" t="n">
        <f aca="false">_xlfn.xlookup(G1297, years!A$2:A$836, years!B$2:B$836)</f>
        <v>2003</v>
      </c>
      <c r="I1297" s="2" t="n">
        <v>59</v>
      </c>
      <c r="J1297" s="0" t="n">
        <v>0.553</v>
      </c>
      <c r="K1297" s="0" t="n">
        <v>0.775</v>
      </c>
      <c r="L1297" s="3" t="str">
        <f aca="false">IF(K1297&gt;0.66,"High",IF(K1297&gt;0.33&amp;K1297&lt;=0.66,"Medium","Low"))</f>
        <v>High</v>
      </c>
      <c r="M1297" s="0" t="n">
        <v>-10.284</v>
      </c>
      <c r="N1297" s="3" t="n">
        <v>0.043</v>
      </c>
      <c r="O1297" s="3" t="n">
        <v>0.212</v>
      </c>
      <c r="P1297" s="4" t="n">
        <v>0</v>
      </c>
      <c r="Q1297" s="3" t="n">
        <v>0.0728</v>
      </c>
      <c r="R1297" s="3" t="n">
        <v>0.51</v>
      </c>
      <c r="S1297" s="3" t="str">
        <f aca="false">IF(R1297 &gt;= 0.5, "Positive", "Negative")</f>
        <v>Positive</v>
      </c>
      <c r="T1297" s="2" t="n">
        <v>139.993</v>
      </c>
      <c r="U1297" s="0" t="s">
        <v>22</v>
      </c>
    </row>
    <row r="1298" customFormat="false" ht="14.25" hidden="false" customHeight="false" outlineLevel="0" collapsed="false">
      <c r="A1298" s="0" t="n">
        <v>515</v>
      </c>
      <c r="B1298" s="0" t="str">
        <f aca="false">_xlfn.xlookup(A1298, artists!A$2:A$836, artists!B$2:B$836)</f>
        <v>Jessie J</v>
      </c>
      <c r="C1298" s="1" t="s">
        <v>1331</v>
      </c>
      <c r="D1298" s="2" t="n">
        <v>223053</v>
      </c>
      <c r="E1298" s="2" t="n">
        <f aca="false">D1298/1000</f>
        <v>223.053</v>
      </c>
      <c r="F1298" s="10" t="b">
        <f aca="false">FALSE()</f>
        <v>0</v>
      </c>
      <c r="G1298" s="0" t="n">
        <v>14</v>
      </c>
      <c r="H1298" s="0" t="n">
        <f aca="false">_xlfn.xlookup(G1298, years!A$2:A$836, years!B$2:B$836)</f>
        <v>2011</v>
      </c>
      <c r="I1298" s="2" t="n">
        <v>73</v>
      </c>
      <c r="J1298" s="0" t="n">
        <v>0.636</v>
      </c>
      <c r="K1298" s="0" t="n">
        <v>0.831</v>
      </c>
      <c r="L1298" s="3" t="str">
        <f aca="false">IF(K1298&gt;0.66,"High",IF(K1298&gt;0.33&amp;K1298&lt;=0.66,"Medium","Low"))</f>
        <v>High</v>
      </c>
      <c r="M1298" s="0" t="n">
        <v>-3.945</v>
      </c>
      <c r="N1298" s="3" t="n">
        <v>0.182</v>
      </c>
      <c r="O1298" s="3" t="n">
        <v>0.0294</v>
      </c>
      <c r="P1298" s="4" t="n">
        <v>3.85E-006</v>
      </c>
      <c r="Q1298" s="3" t="n">
        <v>0.272</v>
      </c>
      <c r="R1298" s="3" t="n">
        <v>0.668</v>
      </c>
      <c r="S1298" s="3" t="str">
        <f aca="false">IF(R1298 &gt;= 0.5, "Positive", "Negative")</f>
        <v>Positive</v>
      </c>
      <c r="T1298" s="2" t="n">
        <v>175.015</v>
      </c>
      <c r="U1298" s="0" t="s">
        <v>24</v>
      </c>
    </row>
    <row r="1299" customFormat="false" ht="14.25" hidden="false" customHeight="false" outlineLevel="0" collapsed="false">
      <c r="A1299" s="0" t="n">
        <v>540</v>
      </c>
      <c r="B1299" s="0" t="str">
        <f aca="false">_xlfn.xlookup(A1299, artists!A$2:A$836, artists!B$2:B$836)</f>
        <v>MARINA</v>
      </c>
      <c r="C1299" s="1" t="s">
        <v>1332</v>
      </c>
      <c r="D1299" s="2" t="n">
        <v>221075</v>
      </c>
      <c r="E1299" s="2" t="n">
        <f aca="false">D1299/1000</f>
        <v>221.075</v>
      </c>
      <c r="F1299" s="10" t="b">
        <f aca="false">FALSE()</f>
        <v>0</v>
      </c>
      <c r="G1299" s="0" t="n">
        <v>15</v>
      </c>
      <c r="H1299" s="0" t="n">
        <f aca="false">_xlfn.xlookup(G1299, years!A$2:A$836, years!B$2:B$836)</f>
        <v>2012</v>
      </c>
      <c r="I1299" s="2" t="n">
        <v>78</v>
      </c>
      <c r="J1299" s="0" t="n">
        <v>0.66</v>
      </c>
      <c r="K1299" s="0" t="n">
        <v>0.689</v>
      </c>
      <c r="L1299" s="3" t="str">
        <f aca="false">IF(K1299&gt;0.66,"High",IF(K1299&gt;0.33&amp;K1299&lt;=0.66,"Medium","Low"))</f>
        <v>High</v>
      </c>
      <c r="M1299" s="0" t="n">
        <v>-2.671</v>
      </c>
      <c r="N1299" s="3" t="n">
        <v>0.0337</v>
      </c>
      <c r="O1299" s="3" t="n">
        <v>0.0884</v>
      </c>
      <c r="P1299" s="4" t="n">
        <v>0</v>
      </c>
      <c r="Q1299" s="3" t="n">
        <v>0.0922</v>
      </c>
      <c r="R1299" s="3" t="n">
        <v>0.427</v>
      </c>
      <c r="S1299" s="3" t="str">
        <f aca="false">IF(R1299 &gt;= 0.5, "Positive", "Negative")</f>
        <v>Negative</v>
      </c>
      <c r="T1299" s="2" t="n">
        <v>127.98</v>
      </c>
      <c r="U1299" s="0" t="s">
        <v>22</v>
      </c>
    </row>
    <row r="1300" customFormat="false" ht="14.25" hidden="false" customHeight="false" outlineLevel="0" collapsed="false">
      <c r="A1300" s="0" t="n">
        <v>180</v>
      </c>
      <c r="B1300" s="0" t="str">
        <f aca="false">_xlfn.xlookup(A1300, artists!A$2:A$836, artists!B$2:B$836)</f>
        <v>Coldplay</v>
      </c>
      <c r="C1300" s="1" t="s">
        <v>1333</v>
      </c>
      <c r="D1300" s="2" t="n">
        <v>239215</v>
      </c>
      <c r="E1300" s="2" t="n">
        <f aca="false">D1300/1000</f>
        <v>239.215</v>
      </c>
      <c r="F1300" s="10" t="b">
        <f aca="false">FALSE()</f>
        <v>0</v>
      </c>
      <c r="G1300" s="0" t="n">
        <v>14</v>
      </c>
      <c r="H1300" s="0" t="n">
        <f aca="false">_xlfn.xlookup(G1300, years!A$2:A$836, years!B$2:B$836)</f>
        <v>2011</v>
      </c>
      <c r="I1300" s="2" t="n">
        <v>66</v>
      </c>
      <c r="J1300" s="0" t="n">
        <v>0.42</v>
      </c>
      <c r="K1300" s="0" t="n">
        <v>0.69</v>
      </c>
      <c r="L1300" s="3" t="str">
        <f aca="false">IF(K1300&gt;0.66,"High",IF(K1300&gt;0.33&amp;K1300&lt;=0.66,"Medium","Low"))</f>
        <v>High</v>
      </c>
      <c r="M1300" s="0" t="n">
        <v>-6.221</v>
      </c>
      <c r="N1300" s="3" t="n">
        <v>0.0347</v>
      </c>
      <c r="O1300" s="3" t="n">
        <v>0.00385</v>
      </c>
      <c r="P1300" s="4" t="n">
        <v>0.015</v>
      </c>
      <c r="Q1300" s="3" t="n">
        <v>0.287</v>
      </c>
      <c r="R1300" s="3" t="n">
        <v>0.237</v>
      </c>
      <c r="S1300" s="3" t="str">
        <f aca="false">IF(R1300 &gt;= 0.5, "Positive", "Negative")</f>
        <v>Negative</v>
      </c>
      <c r="T1300" s="2" t="n">
        <v>85.014</v>
      </c>
      <c r="U1300" s="0" t="s">
        <v>35</v>
      </c>
    </row>
    <row r="1301" customFormat="false" ht="14.25" hidden="false" customHeight="false" outlineLevel="0" collapsed="false">
      <c r="A1301" s="0" t="n">
        <v>600</v>
      </c>
      <c r="B1301" s="0" t="str">
        <f aca="false">_xlfn.xlookup(A1301, artists!A$2:A$836, artists!B$2:B$836)</f>
        <v>Ariana Grande</v>
      </c>
      <c r="C1301" s="1" t="s">
        <v>1334</v>
      </c>
      <c r="D1301" s="2" t="n">
        <v>193920</v>
      </c>
      <c r="E1301" s="2" t="n">
        <f aca="false">D1301/1000</f>
        <v>193.92</v>
      </c>
      <c r="F1301" s="10" t="b">
        <f aca="false">FALSE()</f>
        <v>0</v>
      </c>
      <c r="G1301" s="0" t="n">
        <v>17</v>
      </c>
      <c r="H1301" s="0" t="n">
        <f aca="false">_xlfn.xlookup(G1301, years!A$2:A$836, years!B$2:B$836)</f>
        <v>2014</v>
      </c>
      <c r="I1301" s="2" t="n">
        <v>73</v>
      </c>
      <c r="J1301" s="0" t="n">
        <v>0.66</v>
      </c>
      <c r="K1301" s="0" t="n">
        <v>0.805</v>
      </c>
      <c r="L1301" s="3" t="str">
        <f aca="false">IF(K1301&gt;0.66,"High",IF(K1301&gt;0.33&amp;K1301&lt;=0.66,"Medium","Low"))</f>
        <v>High</v>
      </c>
      <c r="M1301" s="0" t="n">
        <v>-5.352</v>
      </c>
      <c r="N1301" s="3" t="n">
        <v>0.153</v>
      </c>
      <c r="O1301" s="3" t="n">
        <v>0.0192</v>
      </c>
      <c r="P1301" s="4" t="n">
        <v>8.83E-006</v>
      </c>
      <c r="Q1301" s="3" t="n">
        <v>0.159</v>
      </c>
      <c r="R1301" s="3" t="n">
        <v>0.625</v>
      </c>
      <c r="S1301" s="3" t="str">
        <f aca="false">IF(R1301 &gt;= 0.5, "Positive", "Negative")</f>
        <v>Positive</v>
      </c>
      <c r="T1301" s="2" t="n">
        <v>103.008</v>
      </c>
      <c r="U1301" s="0" t="s">
        <v>39</v>
      </c>
    </row>
    <row r="1302" customFormat="false" ht="14.25" hidden="false" customHeight="false" outlineLevel="0" collapsed="false">
      <c r="A1302" s="0" t="n">
        <v>83</v>
      </c>
      <c r="B1302" s="0" t="str">
        <f aca="false">_xlfn.xlookup(A1302, artists!A$2:A$836, artists!B$2:B$836)</f>
        <v>Nelly Furtado</v>
      </c>
      <c r="C1302" s="1" t="s">
        <v>1335</v>
      </c>
      <c r="D1302" s="2" t="n">
        <v>242293</v>
      </c>
      <c r="E1302" s="2" t="n">
        <f aca="false">D1302/1000</f>
        <v>242.293</v>
      </c>
      <c r="F1302" s="10" t="b">
        <f aca="false">FALSE()</f>
        <v>0</v>
      </c>
      <c r="G1302" s="0" t="n">
        <v>9</v>
      </c>
      <c r="H1302" s="0" t="n">
        <f aca="false">_xlfn.xlookup(G1302, years!A$2:A$836, years!B$2:B$836)</f>
        <v>2006</v>
      </c>
      <c r="I1302" s="2" t="n">
        <v>82</v>
      </c>
      <c r="J1302" s="0" t="n">
        <v>0.808</v>
      </c>
      <c r="K1302" s="0" t="n">
        <v>0.97</v>
      </c>
      <c r="L1302" s="3" t="str">
        <f aca="false">IF(K1302&gt;0.66,"High",IF(K1302&gt;0.33&amp;K1302&lt;=0.66,"Medium","Low"))</f>
        <v>High</v>
      </c>
      <c r="M1302" s="0" t="n">
        <v>-6.098</v>
      </c>
      <c r="N1302" s="3" t="n">
        <v>0.0506</v>
      </c>
      <c r="O1302" s="3" t="n">
        <v>0.0569</v>
      </c>
      <c r="P1302" s="4" t="n">
        <v>6.13E-005</v>
      </c>
      <c r="Q1302" s="3" t="n">
        <v>0.154</v>
      </c>
      <c r="R1302" s="3" t="n">
        <v>0.868</v>
      </c>
      <c r="S1302" s="3" t="str">
        <f aca="false">IF(R1302 &gt;= 0.5, "Positive", "Negative")</f>
        <v>Positive</v>
      </c>
      <c r="T1302" s="2" t="n">
        <v>114.328</v>
      </c>
      <c r="U1302" s="0" t="s">
        <v>483</v>
      </c>
    </row>
    <row r="1303" customFormat="false" ht="14.25" hidden="false" customHeight="false" outlineLevel="0" collapsed="false">
      <c r="A1303" s="0" t="n">
        <v>49</v>
      </c>
      <c r="B1303" s="0" t="str">
        <f aca="false">_xlfn.xlookup(A1303, artists!A$2:A$836, artists!B$2:B$836)</f>
        <v>Jagged Edge</v>
      </c>
      <c r="C1303" s="1" t="s">
        <v>1336</v>
      </c>
      <c r="D1303" s="2" t="n">
        <v>246720</v>
      </c>
      <c r="E1303" s="2" t="n">
        <f aca="false">D1303/1000</f>
        <v>246.72</v>
      </c>
      <c r="F1303" s="10" t="b">
        <f aca="false">FALSE()</f>
        <v>0</v>
      </c>
      <c r="G1303" s="0" t="n">
        <v>3</v>
      </c>
      <c r="H1303" s="0" t="n">
        <f aca="false">_xlfn.xlookup(G1303, years!A$2:A$836, years!B$2:B$836)</f>
        <v>2000</v>
      </c>
      <c r="I1303" s="2" t="n">
        <v>56</v>
      </c>
      <c r="J1303" s="0" t="n">
        <v>0.751</v>
      </c>
      <c r="K1303" s="0" t="n">
        <v>0.568</v>
      </c>
      <c r="L1303" s="3" t="str">
        <f aca="false">IF(K1303&gt;0.66,"High",IF(K1303&gt;0.33&amp;K1303&lt;=0.66,"Medium","Low"))</f>
        <v>Low</v>
      </c>
      <c r="M1303" s="0" t="n">
        <v>-5.431</v>
      </c>
      <c r="N1303" s="3" t="n">
        <v>0.0872</v>
      </c>
      <c r="O1303" s="3" t="n">
        <v>0.136</v>
      </c>
      <c r="P1303" s="4" t="n">
        <v>0</v>
      </c>
      <c r="Q1303" s="3" t="n">
        <v>0.0288</v>
      </c>
      <c r="R1303" s="3" t="n">
        <v>0.646</v>
      </c>
      <c r="S1303" s="3" t="str">
        <f aca="false">IF(R1303 &gt;= 0.5, "Positive", "Negative")</f>
        <v>Positive</v>
      </c>
      <c r="T1303" s="2" t="n">
        <v>128.002</v>
      </c>
      <c r="U1303" s="0" t="s">
        <v>31</v>
      </c>
    </row>
    <row r="1304" customFormat="false" ht="14.25" hidden="false" customHeight="false" outlineLevel="0" collapsed="false">
      <c r="A1304" s="0" t="n">
        <v>249</v>
      </c>
      <c r="B1304" s="0" t="str">
        <f aca="false">_xlfn.xlookup(A1304, artists!A$2:A$836, artists!B$2:B$836)</f>
        <v>Ciara</v>
      </c>
      <c r="C1304" s="1" t="s">
        <v>1336</v>
      </c>
      <c r="D1304" s="2" t="n">
        <v>267413</v>
      </c>
      <c r="E1304" s="2" t="n">
        <f aca="false">D1304/1000</f>
        <v>267.413</v>
      </c>
      <c r="F1304" s="10" t="b">
        <f aca="false">FALSE()</f>
        <v>0</v>
      </c>
      <c r="G1304" s="0" t="n">
        <v>9</v>
      </c>
      <c r="H1304" s="0" t="n">
        <f aca="false">_xlfn.xlookup(G1304, years!A$2:A$836, years!B$2:B$836)</f>
        <v>2006</v>
      </c>
      <c r="I1304" s="2" t="n">
        <v>56</v>
      </c>
      <c r="J1304" s="0" t="n">
        <v>0.697</v>
      </c>
      <c r="K1304" s="0" t="n">
        <v>0.629</v>
      </c>
      <c r="L1304" s="3" t="str">
        <f aca="false">IF(K1304&gt;0.66,"High",IF(K1304&gt;0.33&amp;K1304&lt;=0.66,"Medium","Low"))</f>
        <v>Low</v>
      </c>
      <c r="M1304" s="0" t="n">
        <v>-5.757</v>
      </c>
      <c r="N1304" s="3" t="n">
        <v>0.0425</v>
      </c>
      <c r="O1304" s="3" t="n">
        <v>0.409</v>
      </c>
      <c r="P1304" s="4" t="n">
        <v>3.8E-006</v>
      </c>
      <c r="Q1304" s="3" t="n">
        <v>0.0819</v>
      </c>
      <c r="R1304" s="3" t="n">
        <v>0.439</v>
      </c>
      <c r="S1304" s="3" t="str">
        <f aca="false">IF(R1304 &gt;= 0.5, "Positive", "Negative")</f>
        <v>Negative</v>
      </c>
      <c r="T1304" s="2" t="n">
        <v>123.279</v>
      </c>
      <c r="U1304" s="0" t="s">
        <v>33</v>
      </c>
    </row>
    <row r="1305" customFormat="false" ht="14.25" hidden="false" customHeight="false" outlineLevel="0" collapsed="false">
      <c r="A1305" s="0" t="n">
        <v>414</v>
      </c>
      <c r="B1305" s="0" t="str">
        <f aca="false">_xlfn.xlookup(A1305, artists!A$2:A$836, artists!B$2:B$836)</f>
        <v>Pendulum</v>
      </c>
      <c r="C1305" s="1" t="s">
        <v>1337</v>
      </c>
      <c r="D1305" s="2" t="n">
        <v>313346</v>
      </c>
      <c r="E1305" s="2" t="n">
        <f aca="false">D1305/1000</f>
        <v>313.346</v>
      </c>
      <c r="F1305" s="10" t="b">
        <f aca="false">FALSE()</f>
        <v>0</v>
      </c>
      <c r="G1305" s="0" t="n">
        <v>11</v>
      </c>
      <c r="H1305" s="0" t="n">
        <f aca="false">_xlfn.xlookup(G1305, years!A$2:A$836, years!B$2:B$836)</f>
        <v>2008</v>
      </c>
      <c r="I1305" s="2" t="n">
        <v>57</v>
      </c>
      <c r="J1305" s="0" t="n">
        <v>0.356</v>
      </c>
      <c r="K1305" s="0" t="n">
        <v>0.966</v>
      </c>
      <c r="L1305" s="3" t="str">
        <f aca="false">IF(K1305&gt;0.66,"High",IF(K1305&gt;0.33&amp;K1305&lt;=0.66,"Medium","Low"))</f>
        <v>High</v>
      </c>
      <c r="M1305" s="0" t="n">
        <v>-4.13</v>
      </c>
      <c r="N1305" s="3" t="n">
        <v>0.0825</v>
      </c>
      <c r="O1305" s="3" t="n">
        <v>0.000262</v>
      </c>
      <c r="P1305" s="4" t="n">
        <v>0.148</v>
      </c>
      <c r="Q1305" s="3" t="n">
        <v>0.192</v>
      </c>
      <c r="R1305" s="3" t="n">
        <v>0.215</v>
      </c>
      <c r="S1305" s="3" t="str">
        <f aca="false">IF(R1305 &gt;= 0.5, "Positive", "Negative")</f>
        <v>Negative</v>
      </c>
      <c r="T1305" s="2" t="n">
        <v>173.992</v>
      </c>
      <c r="U1305" s="0" t="s">
        <v>48</v>
      </c>
    </row>
    <row r="1306" customFormat="false" ht="14.25" hidden="false" customHeight="false" outlineLevel="0" collapsed="false">
      <c r="A1306" s="0" t="n">
        <v>248</v>
      </c>
      <c r="B1306" s="0" t="str">
        <f aca="false">_xlfn.xlookup(A1306, artists!A$2:A$836, artists!B$2:B$836)</f>
        <v>Eric Prydz</v>
      </c>
      <c r="C1306" s="1" t="s">
        <v>1338</v>
      </c>
      <c r="D1306" s="2" t="n">
        <v>198567</v>
      </c>
      <c r="E1306" s="2" t="n">
        <f aca="false">D1306/1000</f>
        <v>198.567</v>
      </c>
      <c r="F1306" s="10" t="b">
        <f aca="false">FALSE()</f>
        <v>0</v>
      </c>
      <c r="G1306" s="0" t="n">
        <v>10</v>
      </c>
      <c r="H1306" s="0" t="n">
        <f aca="false">_xlfn.xlookup(G1306, years!A$2:A$836, years!B$2:B$836)</f>
        <v>2007</v>
      </c>
      <c r="I1306" s="2" t="n">
        <v>0</v>
      </c>
      <c r="J1306" s="0" t="n">
        <v>0.537</v>
      </c>
      <c r="K1306" s="0" t="n">
        <v>0.937</v>
      </c>
      <c r="L1306" s="3" t="str">
        <f aca="false">IF(K1306&gt;0.66,"High",IF(K1306&gt;0.33&amp;K1306&lt;=0.66,"Medium","Low"))</f>
        <v>High</v>
      </c>
      <c r="M1306" s="0" t="n">
        <v>-4.543</v>
      </c>
      <c r="N1306" s="3" t="n">
        <v>0.0523</v>
      </c>
      <c r="O1306" s="3" t="n">
        <v>0.00102</v>
      </c>
      <c r="P1306" s="4" t="n">
        <v>0.035</v>
      </c>
      <c r="Q1306" s="3" t="n">
        <v>0.0917</v>
      </c>
      <c r="R1306" s="3" t="n">
        <v>0.324</v>
      </c>
      <c r="S1306" s="3" t="str">
        <f aca="false">IF(R1306 &gt;= 0.5, "Positive", "Negative")</f>
        <v>Negative</v>
      </c>
      <c r="T1306" s="2" t="n">
        <v>124.938</v>
      </c>
      <c r="U1306" s="0" t="s">
        <v>22</v>
      </c>
    </row>
    <row r="1307" customFormat="false" ht="14.25" hidden="false" customHeight="false" outlineLevel="0" collapsed="false">
      <c r="A1307" s="0" t="n">
        <v>746</v>
      </c>
      <c r="B1307" s="0" t="str">
        <f aca="false">_xlfn.xlookup(A1307, artists!A$2:A$836, artists!B$2:B$836)</f>
        <v>Post Malone</v>
      </c>
      <c r="C1307" s="1" t="s">
        <v>1339</v>
      </c>
      <c r="D1307" s="2" t="n">
        <v>221440</v>
      </c>
      <c r="E1307" s="2" t="n">
        <f aca="false">D1307/1000</f>
        <v>221.44</v>
      </c>
      <c r="F1307" s="10" t="b">
        <f aca="false">TRUE()</f>
        <v>1</v>
      </c>
      <c r="G1307" s="0" t="n">
        <v>21</v>
      </c>
      <c r="H1307" s="0" t="n">
        <f aca="false">_xlfn.xlookup(G1307, years!A$2:A$836, years!B$2:B$836)</f>
        <v>2018</v>
      </c>
      <c r="I1307" s="2" t="n">
        <v>77</v>
      </c>
      <c r="J1307" s="0" t="n">
        <v>0.75</v>
      </c>
      <c r="K1307" s="0" t="n">
        <v>0.56</v>
      </c>
      <c r="L1307" s="3" t="str">
        <f aca="false">IF(K1307&gt;0.66,"High",IF(K1307&gt;0.33&amp;K1307&lt;=0.66,"Medium","Low"))</f>
        <v>Low</v>
      </c>
      <c r="M1307" s="0" t="n">
        <v>-8.094</v>
      </c>
      <c r="N1307" s="3" t="n">
        <v>0.105</v>
      </c>
      <c r="O1307" s="3" t="n">
        <v>0.546</v>
      </c>
      <c r="P1307" s="4" t="n">
        <v>0</v>
      </c>
      <c r="Q1307" s="3" t="n">
        <v>0.111</v>
      </c>
      <c r="R1307" s="3" t="n">
        <v>0.459</v>
      </c>
      <c r="S1307" s="3" t="str">
        <f aca="false">IF(R1307 &gt;= 0.5, "Positive", "Negative")</f>
        <v>Negative</v>
      </c>
      <c r="T1307" s="2" t="n">
        <v>140.06</v>
      </c>
      <c r="U1307" s="0" t="s">
        <v>29</v>
      </c>
    </row>
    <row r="1308" customFormat="false" ht="14.25" hidden="false" customHeight="false" outlineLevel="0" collapsed="false">
      <c r="A1308" s="0" t="n">
        <v>213</v>
      </c>
      <c r="B1308" s="0" t="str">
        <f aca="false">_xlfn.xlookup(A1308, artists!A$2:A$836, artists!B$2:B$836)</f>
        <v>Chingy</v>
      </c>
      <c r="C1308" s="1" t="s">
        <v>1340</v>
      </c>
      <c r="D1308" s="2" t="n">
        <v>234133</v>
      </c>
      <c r="E1308" s="2" t="n">
        <f aca="false">D1308/1000</f>
        <v>234.133</v>
      </c>
      <c r="F1308" s="10" t="b">
        <f aca="false">TRUE()</f>
        <v>1</v>
      </c>
      <c r="G1308" s="0" t="n">
        <v>9</v>
      </c>
      <c r="H1308" s="0" t="n">
        <f aca="false">_xlfn.xlookup(G1308, years!A$2:A$836, years!B$2:B$836)</f>
        <v>2006</v>
      </c>
      <c r="I1308" s="2" t="n">
        <v>62</v>
      </c>
      <c r="J1308" s="0" t="n">
        <v>0.786</v>
      </c>
      <c r="K1308" s="0" t="n">
        <v>0.511</v>
      </c>
      <c r="L1308" s="3" t="str">
        <f aca="false">IF(K1308&gt;0.66,"High",IF(K1308&gt;0.33&amp;K1308&lt;=0.66,"Medium","Low"))</f>
        <v>Low</v>
      </c>
      <c r="M1308" s="0" t="n">
        <v>-6.66</v>
      </c>
      <c r="N1308" s="3" t="n">
        <v>0.286</v>
      </c>
      <c r="O1308" s="3" t="n">
        <v>0.0825</v>
      </c>
      <c r="P1308" s="4" t="n">
        <v>0</v>
      </c>
      <c r="Q1308" s="3" t="n">
        <v>0.12</v>
      </c>
      <c r="R1308" s="3" t="n">
        <v>0.587</v>
      </c>
      <c r="S1308" s="3" t="str">
        <f aca="false">IF(R1308 &gt;= 0.5, "Positive", "Negative")</f>
        <v>Positive</v>
      </c>
      <c r="T1308" s="2" t="n">
        <v>80</v>
      </c>
      <c r="U1308" s="0" t="s">
        <v>31</v>
      </c>
    </row>
    <row r="1309" customFormat="false" ht="14.25" hidden="false" customHeight="false" outlineLevel="0" collapsed="false">
      <c r="A1309" s="0" t="n">
        <v>734</v>
      </c>
      <c r="B1309" s="0" t="str">
        <f aca="false">_xlfn.xlookup(A1309, artists!A$2:A$836, artists!B$2:B$836)</f>
        <v>Big Shaq</v>
      </c>
      <c r="C1309" s="1" t="s">
        <v>1341</v>
      </c>
      <c r="D1309" s="2" t="n">
        <v>186026</v>
      </c>
      <c r="E1309" s="2" t="n">
        <f aca="false">D1309/1000</f>
        <v>186.026</v>
      </c>
      <c r="F1309" s="10" t="b">
        <f aca="false">FALSE()</f>
        <v>0</v>
      </c>
      <c r="G1309" s="0" t="n">
        <v>20</v>
      </c>
      <c r="H1309" s="0" t="n">
        <f aca="false">_xlfn.xlookup(G1309, years!A$2:A$836, years!B$2:B$836)</f>
        <v>2017</v>
      </c>
      <c r="I1309" s="2" t="n">
        <v>62</v>
      </c>
      <c r="J1309" s="0" t="n">
        <v>0.905</v>
      </c>
      <c r="K1309" s="0" t="n">
        <v>0.884</v>
      </c>
      <c r="L1309" s="3" t="str">
        <f aca="false">IF(K1309&gt;0.66,"High",IF(K1309&gt;0.33&amp;K1309&lt;=0.66,"Medium","Low"))</f>
        <v>High</v>
      </c>
      <c r="M1309" s="0" t="n">
        <v>-4.076</v>
      </c>
      <c r="N1309" s="3" t="n">
        <v>0.236</v>
      </c>
      <c r="O1309" s="3" t="n">
        <v>0.111</v>
      </c>
      <c r="P1309" s="4" t="n">
        <v>8.31E-005</v>
      </c>
      <c r="Q1309" s="3" t="n">
        <v>0.107</v>
      </c>
      <c r="R1309" s="3" t="n">
        <v>0.588</v>
      </c>
      <c r="S1309" s="3" t="str">
        <f aca="false">IF(R1309 &gt;= 0.5, "Positive", "Negative")</f>
        <v>Positive</v>
      </c>
      <c r="T1309" s="2" t="n">
        <v>135.048</v>
      </c>
      <c r="U1309" s="0" t="s">
        <v>22</v>
      </c>
    </row>
    <row r="1310" customFormat="false" ht="14.25" hidden="false" customHeight="false" outlineLevel="0" collapsed="false">
      <c r="A1310" s="0" t="n">
        <v>528</v>
      </c>
      <c r="B1310" s="0" t="str">
        <f aca="false">_xlfn.xlookup(A1310, artists!A$2:A$836, artists!B$2:B$836)</f>
        <v>Foster The People</v>
      </c>
      <c r="C1310" s="1" t="s">
        <v>1342</v>
      </c>
      <c r="D1310" s="2" t="n">
        <v>239600</v>
      </c>
      <c r="E1310" s="2" t="n">
        <f aca="false">D1310/1000</f>
        <v>239.6</v>
      </c>
      <c r="F1310" s="10" t="b">
        <f aca="false">FALSE()</f>
        <v>0</v>
      </c>
      <c r="G1310" s="0" t="n">
        <v>14</v>
      </c>
      <c r="H1310" s="0" t="n">
        <f aca="false">_xlfn.xlookup(G1310, years!A$2:A$836, years!B$2:B$836)</f>
        <v>2011</v>
      </c>
      <c r="I1310" s="2" t="n">
        <v>82</v>
      </c>
      <c r="J1310" s="0" t="n">
        <v>0.733</v>
      </c>
      <c r="K1310" s="0" t="n">
        <v>0.71</v>
      </c>
      <c r="L1310" s="3" t="str">
        <f aca="false">IF(K1310&gt;0.66,"High",IF(K1310&gt;0.33&amp;K1310&lt;=0.66,"Medium","Low"))</f>
        <v>High</v>
      </c>
      <c r="M1310" s="0" t="n">
        <v>-5.849</v>
      </c>
      <c r="N1310" s="3" t="n">
        <v>0.0292</v>
      </c>
      <c r="O1310" s="3" t="n">
        <v>0.145</v>
      </c>
      <c r="P1310" s="4" t="n">
        <v>0.115</v>
      </c>
      <c r="Q1310" s="3" t="n">
        <v>0.0956</v>
      </c>
      <c r="R1310" s="3" t="n">
        <v>0.965</v>
      </c>
      <c r="S1310" s="3" t="str">
        <f aca="false">IF(R1310 &gt;= 0.5, "Positive", "Negative")</f>
        <v>Positive</v>
      </c>
      <c r="T1310" s="2" t="n">
        <v>127.975</v>
      </c>
      <c r="U1310" s="0" t="s">
        <v>35</v>
      </c>
    </row>
    <row r="1311" customFormat="false" ht="14.25" hidden="false" customHeight="false" outlineLevel="0" collapsed="false">
      <c r="A1311" s="0" t="n">
        <v>72</v>
      </c>
      <c r="B1311" s="0" t="str">
        <f aca="false">_xlfn.xlookup(A1311, artists!A$2:A$836, artists!B$2:B$836)</f>
        <v>All Saints</v>
      </c>
      <c r="C1311" s="1" t="s">
        <v>1343</v>
      </c>
      <c r="D1311" s="2" t="n">
        <v>268746</v>
      </c>
      <c r="E1311" s="2" t="n">
        <f aca="false">D1311/1000</f>
        <v>268.746</v>
      </c>
      <c r="F1311" s="10" t="b">
        <f aca="false">FALSE()</f>
        <v>0</v>
      </c>
      <c r="G1311" s="0" t="n">
        <v>3</v>
      </c>
      <c r="H1311" s="0" t="n">
        <f aca="false">_xlfn.xlookup(G1311, years!A$2:A$836, years!B$2:B$836)</f>
        <v>2000</v>
      </c>
      <c r="I1311" s="2" t="n">
        <v>62</v>
      </c>
      <c r="J1311" s="0" t="n">
        <v>0.631</v>
      </c>
      <c r="K1311" s="0" t="n">
        <v>0.664</v>
      </c>
      <c r="L1311" s="3" t="str">
        <f aca="false">IF(K1311&gt;0.66,"High",IF(K1311&gt;0.33&amp;K1311&lt;=0.66,"Medium","Low"))</f>
        <v>High</v>
      </c>
      <c r="M1311" s="0" t="n">
        <v>-9.197</v>
      </c>
      <c r="N1311" s="3" t="n">
        <v>0.0242</v>
      </c>
      <c r="O1311" s="3" t="n">
        <v>0.0498</v>
      </c>
      <c r="P1311" s="4" t="n">
        <v>0.00042</v>
      </c>
      <c r="Q1311" s="3" t="n">
        <v>0.0696</v>
      </c>
      <c r="R1311" s="3" t="n">
        <v>0.407</v>
      </c>
      <c r="S1311" s="3" t="str">
        <f aca="false">IF(R1311 &gt;= 0.5, "Positive", "Negative")</f>
        <v>Negative</v>
      </c>
      <c r="T1311" s="2" t="n">
        <v>100.618</v>
      </c>
      <c r="U1311" s="0" t="s">
        <v>39</v>
      </c>
    </row>
    <row r="1312" customFormat="false" ht="14.25" hidden="false" customHeight="false" outlineLevel="0" collapsed="false">
      <c r="A1312" s="0" t="n">
        <v>797</v>
      </c>
      <c r="B1312" s="0" t="str">
        <f aca="false">_xlfn.xlookup(A1312, artists!A$2:A$836, artists!B$2:B$836)</f>
        <v>Mustard</v>
      </c>
      <c r="C1312" s="1" t="s">
        <v>1344</v>
      </c>
      <c r="D1312" s="2" t="n">
        <v>192470</v>
      </c>
      <c r="E1312" s="2" t="n">
        <f aca="false">D1312/1000</f>
        <v>192.47</v>
      </c>
      <c r="F1312" s="10" t="b">
        <f aca="false">TRUE()</f>
        <v>1</v>
      </c>
      <c r="G1312" s="0" t="n">
        <v>22</v>
      </c>
      <c r="H1312" s="0" t="n">
        <f aca="false">_xlfn.xlookup(G1312, years!A$2:A$836, years!B$2:B$836)</f>
        <v>2019</v>
      </c>
      <c r="I1312" s="2" t="n">
        <v>75</v>
      </c>
      <c r="J1312" s="0" t="n">
        <v>0.682</v>
      </c>
      <c r="K1312" s="0" t="n">
        <v>0.559</v>
      </c>
      <c r="L1312" s="3" t="str">
        <f aca="false">IF(K1312&gt;0.66,"High",IF(K1312&gt;0.33&amp;K1312&lt;=0.66,"Medium","Low"))</f>
        <v>Low</v>
      </c>
      <c r="M1312" s="0" t="n">
        <v>-5.545</v>
      </c>
      <c r="N1312" s="3" t="n">
        <v>0.127</v>
      </c>
      <c r="O1312" s="3" t="n">
        <v>0.174</v>
      </c>
      <c r="P1312" s="4" t="n">
        <v>0</v>
      </c>
      <c r="Q1312" s="3" t="n">
        <v>0.344</v>
      </c>
      <c r="R1312" s="3" t="n">
        <v>0.137</v>
      </c>
      <c r="S1312" s="3" t="str">
        <f aca="false">IF(R1312 &gt;= 0.5, "Positive", "Negative")</f>
        <v>Negative</v>
      </c>
      <c r="T1312" s="2" t="n">
        <v>202.015</v>
      </c>
      <c r="U1312" s="0" t="s">
        <v>24</v>
      </c>
    </row>
    <row r="1313" customFormat="false" ht="14.25" hidden="false" customHeight="false" outlineLevel="0" collapsed="false">
      <c r="A1313" s="0" t="n">
        <v>119</v>
      </c>
      <c r="B1313" s="0" t="str">
        <f aca="false">_xlfn.xlookup(A1313, artists!A$2:A$836, artists!B$2:B$836)</f>
        <v>D12</v>
      </c>
      <c r="C1313" s="1" t="s">
        <v>1345</v>
      </c>
      <c r="D1313" s="2" t="n">
        <v>304506</v>
      </c>
      <c r="E1313" s="2" t="n">
        <f aca="false">D1313/1000</f>
        <v>304.506</v>
      </c>
      <c r="F1313" s="10" t="b">
        <f aca="false">TRUE()</f>
        <v>1</v>
      </c>
      <c r="G1313" s="0" t="n">
        <v>4</v>
      </c>
      <c r="H1313" s="0" t="n">
        <f aca="false">_xlfn.xlookup(G1313, years!A$2:A$836, years!B$2:B$836)</f>
        <v>2001</v>
      </c>
      <c r="I1313" s="2" t="n">
        <v>68</v>
      </c>
      <c r="J1313" s="0" t="n">
        <v>0.78</v>
      </c>
      <c r="K1313" s="0" t="n">
        <v>0.634</v>
      </c>
      <c r="L1313" s="3" t="str">
        <f aca="false">IF(K1313&gt;0.66,"High",IF(K1313&gt;0.33&amp;K1313&lt;=0.66,"Medium","Low"))</f>
        <v>Low</v>
      </c>
      <c r="M1313" s="0" t="n">
        <v>-5.941</v>
      </c>
      <c r="N1313" s="3" t="n">
        <v>0.16</v>
      </c>
      <c r="O1313" s="3" t="n">
        <v>0.0199</v>
      </c>
      <c r="P1313" s="4" t="n">
        <v>2.98E-005</v>
      </c>
      <c r="Q1313" s="3" t="n">
        <v>0.29</v>
      </c>
      <c r="R1313" s="3" t="n">
        <v>0.754</v>
      </c>
      <c r="S1313" s="3" t="str">
        <f aca="false">IF(R1313 &gt;= 0.5, "Positive", "Negative")</f>
        <v>Positive</v>
      </c>
      <c r="T1313" s="2" t="n">
        <v>125.25</v>
      </c>
      <c r="U1313" s="0" t="s">
        <v>493</v>
      </c>
    </row>
    <row r="1314" customFormat="false" ht="14.25" hidden="false" customHeight="false" outlineLevel="0" collapsed="false">
      <c r="A1314" s="0" t="n">
        <v>156</v>
      </c>
      <c r="B1314" s="0" t="str">
        <f aca="false">_xlfn.xlookup(A1314, artists!A$2:A$836, artists!B$2:B$836)</f>
        <v>Sugababes</v>
      </c>
      <c r="C1314" s="1" t="s">
        <v>1346</v>
      </c>
      <c r="D1314" s="2" t="n">
        <v>218093</v>
      </c>
      <c r="E1314" s="2" t="n">
        <f aca="false">D1314/1000</f>
        <v>218.093</v>
      </c>
      <c r="F1314" s="10" t="b">
        <f aca="false">FALSE()</f>
        <v>0</v>
      </c>
      <c r="G1314" s="0" t="n">
        <v>8</v>
      </c>
      <c r="H1314" s="0" t="n">
        <f aca="false">_xlfn.xlookup(G1314, years!A$2:A$836, years!B$2:B$836)</f>
        <v>2005</v>
      </c>
      <c r="I1314" s="2" t="n">
        <v>64</v>
      </c>
      <c r="J1314" s="0" t="n">
        <v>0.962</v>
      </c>
      <c r="K1314" s="0" t="n">
        <v>0.66</v>
      </c>
      <c r="L1314" s="3" t="str">
        <f aca="false">IF(K1314&gt;0.66,"High",IF(K1314&gt;0.33&amp;K1314&lt;=0.66,"Medium","Low"))</f>
        <v>Low</v>
      </c>
      <c r="M1314" s="0" t="n">
        <v>-5.096</v>
      </c>
      <c r="N1314" s="3" t="n">
        <v>0.061</v>
      </c>
      <c r="O1314" s="3" t="n">
        <v>0.0485</v>
      </c>
      <c r="P1314" s="4" t="n">
        <v>0</v>
      </c>
      <c r="Q1314" s="3" t="n">
        <v>0.076</v>
      </c>
      <c r="R1314" s="3" t="n">
        <v>0.814</v>
      </c>
      <c r="S1314" s="3" t="str">
        <f aca="false">IF(R1314 &gt;= 0.5, "Positive", "Negative")</f>
        <v>Positive</v>
      </c>
      <c r="T1314" s="2" t="n">
        <v>126.016</v>
      </c>
      <c r="U1314" s="0" t="s">
        <v>33</v>
      </c>
    </row>
    <row r="1315" customFormat="false" ht="14.25" hidden="false" customHeight="false" outlineLevel="0" collapsed="false">
      <c r="A1315" s="0" t="n">
        <v>293</v>
      </c>
      <c r="B1315" s="0" t="str">
        <f aca="false">_xlfn.xlookup(A1315, artists!A$2:A$836, artists!B$2:B$836)</f>
        <v>Jeezy</v>
      </c>
      <c r="C1315" s="1" t="s">
        <v>1347</v>
      </c>
      <c r="D1315" s="2" t="n">
        <v>321293</v>
      </c>
      <c r="E1315" s="2" t="n">
        <f aca="false">D1315/1000</f>
        <v>321.293</v>
      </c>
      <c r="F1315" s="10" t="b">
        <f aca="false">TRUE()</f>
        <v>1</v>
      </c>
      <c r="G1315" s="0" t="n">
        <v>11</v>
      </c>
      <c r="H1315" s="0" t="n">
        <f aca="false">_xlfn.xlookup(G1315, years!A$2:A$836, years!B$2:B$836)</f>
        <v>2008</v>
      </c>
      <c r="I1315" s="2" t="n">
        <v>69</v>
      </c>
      <c r="J1315" s="0" t="n">
        <v>0.654</v>
      </c>
      <c r="K1315" s="0" t="n">
        <v>0.77</v>
      </c>
      <c r="L1315" s="3" t="str">
        <f aca="false">IF(K1315&gt;0.66,"High",IF(K1315&gt;0.33&amp;K1315&lt;=0.66,"Medium","Low"))</f>
        <v>High</v>
      </c>
      <c r="M1315" s="0" t="n">
        <v>-6.091</v>
      </c>
      <c r="N1315" s="3" t="n">
        <v>0.0353</v>
      </c>
      <c r="O1315" s="3" t="n">
        <v>0.00342</v>
      </c>
      <c r="P1315" s="4" t="n">
        <v>0</v>
      </c>
      <c r="Q1315" s="3" t="n">
        <v>0.0887</v>
      </c>
      <c r="R1315" s="3" t="n">
        <v>0.272</v>
      </c>
      <c r="S1315" s="3" t="str">
        <f aca="false">IF(R1315 &gt;= 0.5, "Positive", "Negative")</f>
        <v>Negative</v>
      </c>
      <c r="T1315" s="2" t="n">
        <v>137.616</v>
      </c>
      <c r="U1315" s="0" t="s">
        <v>24</v>
      </c>
    </row>
    <row r="1316" customFormat="false" ht="14.25" hidden="false" customHeight="false" outlineLevel="0" collapsed="false">
      <c r="A1316" s="0" t="n">
        <v>226</v>
      </c>
      <c r="B1316" s="0" t="str">
        <f aca="false">_xlfn.xlookup(A1316, artists!A$2:A$836, artists!B$2:B$836)</f>
        <v>Jaheim</v>
      </c>
      <c r="C1316" s="1" t="s">
        <v>1348</v>
      </c>
      <c r="D1316" s="2" t="n">
        <v>245773</v>
      </c>
      <c r="E1316" s="2" t="n">
        <f aca="false">D1316/1000</f>
        <v>245.773</v>
      </c>
      <c r="F1316" s="10" t="b">
        <f aca="false">TRUE()</f>
        <v>1</v>
      </c>
      <c r="G1316" s="0" t="n">
        <v>5</v>
      </c>
      <c r="H1316" s="0" t="n">
        <f aca="false">_xlfn.xlookup(G1316, years!A$2:A$836, years!B$2:B$836)</f>
        <v>2002</v>
      </c>
      <c r="I1316" s="2" t="n">
        <v>55</v>
      </c>
      <c r="J1316" s="0" t="n">
        <v>0.649</v>
      </c>
      <c r="K1316" s="0" t="n">
        <v>0.536</v>
      </c>
      <c r="L1316" s="3" t="str">
        <f aca="false">IF(K1316&gt;0.66,"High",IF(K1316&gt;0.33&amp;K1316&lt;=0.66,"Medium","Low"))</f>
        <v>Low</v>
      </c>
      <c r="M1316" s="0" t="n">
        <v>-8.804</v>
      </c>
      <c r="N1316" s="3" t="n">
        <v>0.132</v>
      </c>
      <c r="O1316" s="3" t="n">
        <v>0.492</v>
      </c>
      <c r="P1316" s="4" t="n">
        <v>0</v>
      </c>
      <c r="Q1316" s="3" t="n">
        <v>0.184</v>
      </c>
      <c r="R1316" s="3" t="n">
        <v>0.513</v>
      </c>
      <c r="S1316" s="3" t="str">
        <f aca="false">IF(R1316 &gt;= 0.5, "Positive", "Negative")</f>
        <v>Positive</v>
      </c>
      <c r="T1316" s="2" t="n">
        <v>78.935</v>
      </c>
      <c r="U1316" s="0" t="s">
        <v>33</v>
      </c>
    </row>
    <row r="1317" customFormat="false" ht="14.25" hidden="false" customHeight="false" outlineLevel="0" collapsed="false">
      <c r="A1317" s="0" t="n">
        <v>321</v>
      </c>
      <c r="B1317" s="0" t="str">
        <f aca="false">_xlfn.xlookup(A1317, artists!A$2:A$836, artists!B$2:B$836)</f>
        <v>Fedde Le Grand</v>
      </c>
      <c r="C1317" s="1" t="s">
        <v>1349</v>
      </c>
      <c r="D1317" s="2" t="n">
        <v>150533</v>
      </c>
      <c r="E1317" s="2" t="n">
        <f aca="false">D1317/1000</f>
        <v>150.533</v>
      </c>
      <c r="F1317" s="10" t="b">
        <f aca="false">FALSE()</f>
        <v>0</v>
      </c>
      <c r="G1317" s="0" t="n">
        <v>18</v>
      </c>
      <c r="H1317" s="0" t="n">
        <f aca="false">_xlfn.xlookup(G1317, years!A$2:A$836, years!B$2:B$836)</f>
        <v>2015</v>
      </c>
      <c r="I1317" s="2" t="n">
        <v>39</v>
      </c>
      <c r="J1317" s="0" t="n">
        <v>0.814</v>
      </c>
      <c r="K1317" s="0" t="n">
        <v>0.923</v>
      </c>
      <c r="L1317" s="3" t="str">
        <f aca="false">IF(K1317&gt;0.66,"High",IF(K1317&gt;0.33&amp;K1317&lt;=0.66,"Medium","Low"))</f>
        <v>High</v>
      </c>
      <c r="M1317" s="0" t="n">
        <v>-4.525</v>
      </c>
      <c r="N1317" s="3" t="n">
        <v>0.229</v>
      </c>
      <c r="O1317" s="3" t="n">
        <v>0.0154</v>
      </c>
      <c r="P1317" s="4" t="n">
        <v>0.154</v>
      </c>
      <c r="Q1317" s="3" t="n">
        <v>0.0862</v>
      </c>
      <c r="R1317" s="3" t="n">
        <v>0.518</v>
      </c>
      <c r="S1317" s="3" t="str">
        <f aca="false">IF(R1317 &gt;= 0.5, "Positive", "Negative")</f>
        <v>Positive</v>
      </c>
      <c r="T1317" s="2" t="n">
        <v>127.919</v>
      </c>
      <c r="U1317" s="0" t="s">
        <v>22</v>
      </c>
    </row>
    <row r="1318" customFormat="false" ht="14.25" hidden="false" customHeight="false" outlineLevel="0" collapsed="false">
      <c r="A1318" s="0" t="n">
        <v>321</v>
      </c>
      <c r="B1318" s="0" t="str">
        <f aca="false">_xlfn.xlookup(A1318, artists!A$2:A$836, artists!B$2:B$836)</f>
        <v>Fedde Le Grand</v>
      </c>
      <c r="C1318" s="1" t="s">
        <v>1350</v>
      </c>
      <c r="D1318" s="2" t="n">
        <v>150533</v>
      </c>
      <c r="E1318" s="2" t="n">
        <f aca="false">D1318/1000</f>
        <v>150.533</v>
      </c>
      <c r="F1318" s="10" t="b">
        <f aca="false">FALSE()</f>
        <v>0</v>
      </c>
      <c r="G1318" s="0" t="n">
        <v>18</v>
      </c>
      <c r="H1318" s="0" t="n">
        <f aca="false">_xlfn.xlookup(G1318, years!A$2:A$836, years!B$2:B$836)</f>
        <v>2015</v>
      </c>
      <c r="I1318" s="2" t="n">
        <v>0</v>
      </c>
      <c r="J1318" s="0" t="n">
        <v>0.827</v>
      </c>
      <c r="K1318" s="0" t="n">
        <v>0.931</v>
      </c>
      <c r="L1318" s="3" t="str">
        <f aca="false">IF(K1318&gt;0.66,"High",IF(K1318&gt;0.33&amp;K1318&lt;=0.66,"Medium","Low"))</f>
        <v>High</v>
      </c>
      <c r="M1318" s="0" t="n">
        <v>-4.474</v>
      </c>
      <c r="N1318" s="3" t="n">
        <v>0.202</v>
      </c>
      <c r="O1318" s="3" t="n">
        <v>0.0153</v>
      </c>
      <c r="P1318" s="4" t="n">
        <v>0.21</v>
      </c>
      <c r="Q1318" s="3" t="n">
        <v>0.0992</v>
      </c>
      <c r="R1318" s="3" t="n">
        <v>0.491</v>
      </c>
      <c r="S1318" s="3" t="str">
        <f aca="false">IF(R1318 &gt;= 0.5, "Positive", "Negative")</f>
        <v>Negative</v>
      </c>
      <c r="T1318" s="2" t="n">
        <v>127.995</v>
      </c>
      <c r="U1318" s="0" t="s">
        <v>22</v>
      </c>
    </row>
    <row r="1319" customFormat="false" ht="14.25" hidden="false" customHeight="false" outlineLevel="0" collapsed="false">
      <c r="A1319" s="0" t="n">
        <v>555</v>
      </c>
      <c r="B1319" s="0" t="str">
        <f aca="false">_xlfn.xlookup(A1319, artists!A$2:A$836, artists!B$2:B$836)</f>
        <v>Rita Ora</v>
      </c>
      <c r="C1319" s="1" t="s">
        <v>1351</v>
      </c>
      <c r="D1319" s="2" t="n">
        <v>228026</v>
      </c>
      <c r="E1319" s="2" t="n">
        <f aca="false">D1319/1000</f>
        <v>228.026</v>
      </c>
      <c r="F1319" s="10" t="b">
        <f aca="false">FALSE()</f>
        <v>0</v>
      </c>
      <c r="G1319" s="0" t="n">
        <v>15</v>
      </c>
      <c r="H1319" s="0" t="n">
        <f aca="false">_xlfn.xlookup(G1319, years!A$2:A$836, years!B$2:B$836)</f>
        <v>2012</v>
      </c>
      <c r="I1319" s="2" t="n">
        <v>46</v>
      </c>
      <c r="J1319" s="0" t="n">
        <v>0.603</v>
      </c>
      <c r="K1319" s="0" t="n">
        <v>0.831</v>
      </c>
      <c r="L1319" s="3" t="str">
        <f aca="false">IF(K1319&gt;0.66,"High",IF(K1319&gt;0.33&amp;K1319&lt;=0.66,"Medium","Low"))</f>
        <v>High</v>
      </c>
      <c r="M1319" s="0" t="n">
        <v>-3.443</v>
      </c>
      <c r="N1319" s="3" t="n">
        <v>0.0479</v>
      </c>
      <c r="O1319" s="3" t="n">
        <v>0.027</v>
      </c>
      <c r="P1319" s="4" t="n">
        <v>0</v>
      </c>
      <c r="Q1319" s="3" t="n">
        <v>0.652</v>
      </c>
      <c r="R1319" s="3" t="n">
        <v>0.358</v>
      </c>
      <c r="S1319" s="3" t="str">
        <f aca="false">IF(R1319 &gt;= 0.5, "Positive", "Negative")</f>
        <v>Negative</v>
      </c>
      <c r="T1319" s="2" t="n">
        <v>72.022</v>
      </c>
      <c r="U1319" s="0" t="s">
        <v>53</v>
      </c>
    </row>
    <row r="1320" customFormat="false" ht="14.25" hidden="false" customHeight="false" outlineLevel="0" collapsed="false">
      <c r="A1320" s="0" t="n">
        <v>550</v>
      </c>
      <c r="B1320" s="0" t="str">
        <f aca="false">_xlfn.xlookup(A1320, artists!A$2:A$836, artists!B$2:B$836)</f>
        <v>Tyga</v>
      </c>
      <c r="C1320" s="1" t="s">
        <v>1352</v>
      </c>
      <c r="D1320" s="2" t="n">
        <v>203200</v>
      </c>
      <c r="E1320" s="2" t="n">
        <f aca="false">D1320/1000</f>
        <v>203.2</v>
      </c>
      <c r="F1320" s="10" t="b">
        <f aca="false">TRUE()</f>
        <v>1</v>
      </c>
      <c r="G1320" s="0" t="n">
        <v>15</v>
      </c>
      <c r="H1320" s="0" t="n">
        <f aca="false">_xlfn.xlookup(G1320, years!A$2:A$836, years!B$2:B$836)</f>
        <v>2012</v>
      </c>
      <c r="I1320" s="2" t="n">
        <v>61</v>
      </c>
      <c r="J1320" s="0" t="n">
        <v>0.929</v>
      </c>
      <c r="K1320" s="0" t="n">
        <v>0.339</v>
      </c>
      <c r="L1320" s="3" t="str">
        <f aca="false">IF(K1320&gt;0.66,"High",IF(K1320&gt;0.33&amp;K1320&lt;=0.66,"Medium","Low"))</f>
        <v>Low</v>
      </c>
      <c r="M1320" s="0" t="n">
        <v>-10.881</v>
      </c>
      <c r="N1320" s="3" t="n">
        <v>0.371</v>
      </c>
      <c r="O1320" s="3" t="n">
        <v>0.0373</v>
      </c>
      <c r="P1320" s="4" t="n">
        <v>1.96E-005</v>
      </c>
      <c r="Q1320" s="3" t="n">
        <v>0.187</v>
      </c>
      <c r="R1320" s="3" t="n">
        <v>0.273</v>
      </c>
      <c r="S1320" s="3" t="str">
        <f aca="false">IF(R1320 &gt;= 0.5, "Positive", "Negative")</f>
        <v>Negative</v>
      </c>
      <c r="T1320" s="2" t="n">
        <v>98.986</v>
      </c>
      <c r="U1320" s="0" t="s">
        <v>24</v>
      </c>
    </row>
    <row r="1321" customFormat="false" ht="14.25" hidden="false" customHeight="false" outlineLevel="0" collapsed="false">
      <c r="A1321" s="0" t="n">
        <v>8</v>
      </c>
      <c r="B1321" s="0" t="str">
        <f aca="false">_xlfn.xlookup(A1321, artists!A$2:A$836, artists!B$2:B$836)</f>
        <v>Robbie Williams</v>
      </c>
      <c r="C1321" s="1" t="s">
        <v>1353</v>
      </c>
      <c r="D1321" s="2" t="n">
        <v>233600</v>
      </c>
      <c r="E1321" s="2" t="n">
        <f aca="false">D1321/1000</f>
        <v>233.6</v>
      </c>
      <c r="F1321" s="10" t="b">
        <f aca="false">FALSE()</f>
        <v>0</v>
      </c>
      <c r="G1321" s="0" t="n">
        <v>7</v>
      </c>
      <c r="H1321" s="0" t="n">
        <f aca="false">_xlfn.xlookup(G1321, years!A$2:A$836, years!B$2:B$836)</f>
        <v>2004</v>
      </c>
      <c r="I1321" s="2" t="n">
        <v>33</v>
      </c>
      <c r="J1321" s="0" t="n">
        <v>0.607</v>
      </c>
      <c r="K1321" s="0" t="n">
        <v>0.874</v>
      </c>
      <c r="L1321" s="3" t="str">
        <f aca="false">IF(K1321&gt;0.66,"High",IF(K1321&gt;0.33&amp;K1321&lt;=0.66,"Medium","Low"))</f>
        <v>High</v>
      </c>
      <c r="M1321" s="0" t="n">
        <v>-5.409</v>
      </c>
      <c r="N1321" s="3" t="n">
        <v>0.0349</v>
      </c>
      <c r="O1321" s="3" t="n">
        <v>0.00331</v>
      </c>
      <c r="P1321" s="4" t="n">
        <v>0.0494</v>
      </c>
      <c r="Q1321" s="3" t="n">
        <v>0.26</v>
      </c>
      <c r="R1321" s="3" t="n">
        <v>0.846</v>
      </c>
      <c r="S1321" s="3" t="str">
        <f aca="false">IF(R1321 &gt;= 0.5, "Positive", "Negative")</f>
        <v>Positive</v>
      </c>
      <c r="T1321" s="2" t="n">
        <v>130.015</v>
      </c>
      <c r="U1321" s="0" t="s">
        <v>210</v>
      </c>
    </row>
    <row r="1322" customFormat="false" ht="14.25" hidden="false" customHeight="false" outlineLevel="0" collapsed="false">
      <c r="A1322" s="0" t="n">
        <v>571</v>
      </c>
      <c r="B1322" s="0" t="str">
        <f aca="false">_xlfn.xlookup(A1322, artists!A$2:A$836, artists!B$2:B$836)</f>
        <v>Imagine Dragons</v>
      </c>
      <c r="C1322" s="1" t="s">
        <v>1354</v>
      </c>
      <c r="D1322" s="2" t="n">
        <v>186813</v>
      </c>
      <c r="E1322" s="2" t="n">
        <f aca="false">D1322/1000</f>
        <v>186.813</v>
      </c>
      <c r="F1322" s="10" t="b">
        <f aca="false">FALSE()</f>
        <v>0</v>
      </c>
      <c r="G1322" s="0" t="n">
        <v>15</v>
      </c>
      <c r="H1322" s="0" t="n">
        <f aca="false">_xlfn.xlookup(G1322, years!A$2:A$836, years!B$2:B$836)</f>
        <v>2012</v>
      </c>
      <c r="I1322" s="2" t="n">
        <v>77</v>
      </c>
      <c r="J1322" s="0" t="n">
        <v>0.448</v>
      </c>
      <c r="K1322" s="0" t="n">
        <v>0.784</v>
      </c>
      <c r="L1322" s="3" t="str">
        <f aca="false">IF(K1322&gt;0.66,"High",IF(K1322&gt;0.33&amp;K1322&lt;=0.66,"Medium","Low"))</f>
        <v>High</v>
      </c>
      <c r="M1322" s="0" t="n">
        <v>-3.686</v>
      </c>
      <c r="N1322" s="3" t="n">
        <v>0.0627</v>
      </c>
      <c r="O1322" s="3" t="n">
        <v>0.106</v>
      </c>
      <c r="P1322" s="4" t="n">
        <v>0.000108</v>
      </c>
      <c r="Q1322" s="3" t="n">
        <v>0.668</v>
      </c>
      <c r="R1322" s="3" t="n">
        <v>0.236</v>
      </c>
      <c r="S1322" s="3" t="str">
        <f aca="false">IF(R1322 &gt;= 0.5, "Positive", "Negative")</f>
        <v>Negative</v>
      </c>
      <c r="T1322" s="2" t="n">
        <v>136.245</v>
      </c>
      <c r="U1322" s="0" t="s">
        <v>43</v>
      </c>
    </row>
    <row r="1323" customFormat="false" ht="14.25" hidden="false" customHeight="false" outlineLevel="0" collapsed="false">
      <c r="A1323" s="0" t="n">
        <v>174</v>
      </c>
      <c r="B1323" s="0" t="str">
        <f aca="false">_xlfn.xlookup(A1323, artists!A$2:A$836, artists!B$2:B$836)</f>
        <v>Ashanti</v>
      </c>
      <c r="C1323" s="1" t="s">
        <v>1355</v>
      </c>
      <c r="D1323" s="2" t="n">
        <v>297960</v>
      </c>
      <c r="E1323" s="2" t="n">
        <f aca="false">D1323/1000</f>
        <v>297.96</v>
      </c>
      <c r="F1323" s="10" t="b">
        <f aca="false">FALSE()</f>
        <v>0</v>
      </c>
      <c r="G1323" s="0" t="n">
        <v>6</v>
      </c>
      <c r="H1323" s="0" t="n">
        <f aca="false">_xlfn.xlookup(G1323, years!A$2:A$836, years!B$2:B$836)</f>
        <v>2003</v>
      </c>
      <c r="I1323" s="2" t="n">
        <v>50</v>
      </c>
      <c r="J1323" s="0" t="n">
        <v>0.606</v>
      </c>
      <c r="K1323" s="0" t="n">
        <v>0.699</v>
      </c>
      <c r="L1323" s="3" t="str">
        <f aca="false">IF(K1323&gt;0.66,"High",IF(K1323&gt;0.33&amp;K1323&lt;=0.66,"Medium","Low"))</f>
        <v>High</v>
      </c>
      <c r="M1323" s="0" t="n">
        <v>-3.103</v>
      </c>
      <c r="N1323" s="3" t="n">
        <v>0.0337</v>
      </c>
      <c r="O1323" s="3" t="n">
        <v>0.343</v>
      </c>
      <c r="P1323" s="4" t="n">
        <v>1.89E-006</v>
      </c>
      <c r="Q1323" s="3" t="n">
        <v>0.0757</v>
      </c>
      <c r="R1323" s="3" t="n">
        <v>0.509</v>
      </c>
      <c r="S1323" s="3" t="str">
        <f aca="false">IF(R1323 &gt;= 0.5, "Positive", "Negative")</f>
        <v>Positive</v>
      </c>
      <c r="T1323" s="2" t="n">
        <v>83.701</v>
      </c>
      <c r="U1323" s="0" t="s">
        <v>31</v>
      </c>
    </row>
    <row r="1324" customFormat="false" ht="14.25" hidden="false" customHeight="false" outlineLevel="0" collapsed="false">
      <c r="A1324" s="0" t="n">
        <v>89</v>
      </c>
      <c r="B1324" s="0" t="str">
        <f aca="false">_xlfn.xlookup(A1324, artists!A$2:A$836, artists!B$2:B$836)</f>
        <v>Mary J. Blige</v>
      </c>
      <c r="C1324" s="1" t="s">
        <v>1356</v>
      </c>
      <c r="D1324" s="2" t="n">
        <v>276373</v>
      </c>
      <c r="E1324" s="2" t="n">
        <f aca="false">D1324/1000</f>
        <v>276.373</v>
      </c>
      <c r="F1324" s="10" t="b">
        <f aca="false">FALSE()</f>
        <v>0</v>
      </c>
      <c r="G1324" s="0" t="n">
        <v>4</v>
      </c>
      <c r="H1324" s="0" t="n">
        <f aca="false">_xlfn.xlookup(G1324, years!A$2:A$836, years!B$2:B$836)</f>
        <v>2001</v>
      </c>
      <c r="I1324" s="2" t="n">
        <v>32</v>
      </c>
      <c r="J1324" s="0" t="n">
        <v>0.412</v>
      </c>
      <c r="K1324" s="0" t="n">
        <v>0.667</v>
      </c>
      <c r="L1324" s="3" t="str">
        <f aca="false">IF(K1324&gt;0.66,"High",IF(K1324&gt;0.33&amp;K1324&lt;=0.66,"Medium","Low"))</f>
        <v>High</v>
      </c>
      <c r="M1324" s="0" t="n">
        <v>-6.997</v>
      </c>
      <c r="N1324" s="3" t="n">
        <v>0.229</v>
      </c>
      <c r="O1324" s="3" t="n">
        <v>0.195</v>
      </c>
      <c r="P1324" s="4" t="n">
        <v>0</v>
      </c>
      <c r="Q1324" s="3" t="n">
        <v>0.305</v>
      </c>
      <c r="R1324" s="3" t="n">
        <v>0.533</v>
      </c>
      <c r="S1324" s="3" t="str">
        <f aca="false">IF(R1324 &gt;= 0.5, "Positive", "Negative")</f>
        <v>Positive</v>
      </c>
      <c r="T1324" s="2" t="n">
        <v>68.942</v>
      </c>
      <c r="U1324" s="0" t="s">
        <v>33</v>
      </c>
    </row>
    <row r="1325" customFormat="false" ht="14.25" hidden="false" customHeight="false" outlineLevel="0" collapsed="false">
      <c r="A1325" s="0" t="n">
        <v>55</v>
      </c>
      <c r="B1325" s="0" t="str">
        <f aca="false">_xlfn.xlookup(A1325, artists!A$2:A$836, artists!B$2:B$836)</f>
        <v>P!nk</v>
      </c>
      <c r="C1325" s="1" t="s">
        <v>1357</v>
      </c>
      <c r="D1325" s="2" t="n">
        <v>202960</v>
      </c>
      <c r="E1325" s="2" t="n">
        <f aca="false">D1325/1000</f>
        <v>202.96</v>
      </c>
      <c r="F1325" s="10" t="b">
        <f aca="false">TRUE()</f>
        <v>1</v>
      </c>
      <c r="G1325" s="0" t="n">
        <v>13</v>
      </c>
      <c r="H1325" s="0" t="n">
        <f aca="false">_xlfn.xlookup(G1325, years!A$2:A$836, years!B$2:B$836)</f>
        <v>2010</v>
      </c>
      <c r="I1325" s="2" t="n">
        <v>76</v>
      </c>
      <c r="J1325" s="0" t="n">
        <v>0.7</v>
      </c>
      <c r="K1325" s="0" t="n">
        <v>0.709</v>
      </c>
      <c r="L1325" s="3" t="str">
        <f aca="false">IF(K1325&gt;0.66,"High",IF(K1325&gt;0.33&amp;K1325&lt;=0.66,"Medium","Low"))</f>
        <v>High</v>
      </c>
      <c r="M1325" s="0" t="n">
        <v>-5.006</v>
      </c>
      <c r="N1325" s="3" t="n">
        <v>0.0838</v>
      </c>
      <c r="O1325" s="3" t="n">
        <v>0.0048</v>
      </c>
      <c r="P1325" s="4" t="n">
        <v>0</v>
      </c>
      <c r="Q1325" s="3" t="n">
        <v>0.029</v>
      </c>
      <c r="R1325" s="3" t="n">
        <v>0.624</v>
      </c>
      <c r="S1325" s="3" t="str">
        <f aca="false">IF(R1325 &gt;= 0.5, "Positive", "Negative")</f>
        <v>Positive</v>
      </c>
      <c r="T1325" s="2" t="n">
        <v>122.019</v>
      </c>
      <c r="U1325" s="0" t="s">
        <v>39</v>
      </c>
    </row>
    <row r="1326" customFormat="false" ht="14.25" hidden="false" customHeight="false" outlineLevel="0" collapsed="false">
      <c r="A1326" s="0" t="n">
        <v>742</v>
      </c>
      <c r="B1326" s="0" t="str">
        <f aca="false">_xlfn.xlookup(A1326, artists!A$2:A$836, artists!B$2:B$836)</f>
        <v>Yo Gotti</v>
      </c>
      <c r="C1326" s="1" t="s">
        <v>1358</v>
      </c>
      <c r="D1326" s="2" t="n">
        <v>276333</v>
      </c>
      <c r="E1326" s="2" t="n">
        <f aca="false">D1326/1000</f>
        <v>276.333</v>
      </c>
      <c r="F1326" s="10" t="b">
        <f aca="false">TRUE()</f>
        <v>1</v>
      </c>
      <c r="G1326" s="0" t="n">
        <v>20</v>
      </c>
      <c r="H1326" s="0" t="n">
        <f aca="false">_xlfn.xlookup(G1326, years!A$2:A$836, years!B$2:B$836)</f>
        <v>2017</v>
      </c>
      <c r="I1326" s="2" t="n">
        <v>67</v>
      </c>
      <c r="J1326" s="0" t="n">
        <v>0.91</v>
      </c>
      <c r="K1326" s="0" t="n">
        <v>0.444</v>
      </c>
      <c r="L1326" s="3" t="str">
        <f aca="false">IF(K1326&gt;0.66,"High",IF(K1326&gt;0.33&amp;K1326&lt;=0.66,"Medium","Low"))</f>
        <v>Low</v>
      </c>
      <c r="M1326" s="0" t="n">
        <v>-8.126</v>
      </c>
      <c r="N1326" s="3" t="n">
        <v>0.344</v>
      </c>
      <c r="O1326" s="3" t="n">
        <v>0.022</v>
      </c>
      <c r="P1326" s="4" t="n">
        <v>0</v>
      </c>
      <c r="Q1326" s="3" t="n">
        <v>0.137</v>
      </c>
      <c r="R1326" s="3" t="n">
        <v>0.53</v>
      </c>
      <c r="S1326" s="3" t="str">
        <f aca="false">IF(R1326 &gt;= 0.5, "Positive", "Negative")</f>
        <v>Positive</v>
      </c>
      <c r="T1326" s="2" t="n">
        <v>149.953</v>
      </c>
      <c r="U1326" s="0" t="s">
        <v>24</v>
      </c>
    </row>
    <row r="1327" customFormat="false" ht="14.25" hidden="false" customHeight="false" outlineLevel="0" collapsed="false">
      <c r="A1327" s="0" t="n">
        <v>804</v>
      </c>
      <c r="B1327" s="0" t="str">
        <f aca="false">_xlfn.xlookup(A1327, artists!A$2:A$836, artists!B$2:B$836)</f>
        <v>Lil Tecca</v>
      </c>
      <c r="C1327" s="1" t="s">
        <v>1359</v>
      </c>
      <c r="D1327" s="2" t="n">
        <v>131240</v>
      </c>
      <c r="E1327" s="2" t="n">
        <f aca="false">D1327/1000</f>
        <v>131.24</v>
      </c>
      <c r="F1327" s="10" t="b">
        <f aca="false">TRUE()</f>
        <v>1</v>
      </c>
      <c r="G1327" s="0" t="n">
        <v>22</v>
      </c>
      <c r="H1327" s="0" t="n">
        <f aca="false">_xlfn.xlookup(G1327, years!A$2:A$836, years!B$2:B$836)</f>
        <v>2019</v>
      </c>
      <c r="I1327" s="2" t="n">
        <v>78</v>
      </c>
      <c r="J1327" s="0" t="n">
        <v>0.745</v>
      </c>
      <c r="K1327" s="0" t="n">
        <v>0.642</v>
      </c>
      <c r="L1327" s="3" t="str">
        <f aca="false">IF(K1327&gt;0.66,"High",IF(K1327&gt;0.33&amp;K1327&lt;=0.66,"Medium","Low"))</f>
        <v>Low</v>
      </c>
      <c r="M1327" s="0" t="n">
        <v>-6.257</v>
      </c>
      <c r="N1327" s="3" t="n">
        <v>0.287</v>
      </c>
      <c r="O1327" s="3" t="n">
        <v>0.0204</v>
      </c>
      <c r="P1327" s="4" t="n">
        <v>0</v>
      </c>
      <c r="Q1327" s="3" t="n">
        <v>0.0658</v>
      </c>
      <c r="R1327" s="3" t="n">
        <v>0.226</v>
      </c>
      <c r="S1327" s="3" t="str">
        <f aca="false">IF(R1327 &gt;= 0.5, "Positive", "Negative")</f>
        <v>Negative</v>
      </c>
      <c r="T1327" s="2" t="n">
        <v>179.974</v>
      </c>
      <c r="U1327" s="0" t="s">
        <v>29</v>
      </c>
    </row>
    <row r="1328" customFormat="false" ht="14.25" hidden="false" customHeight="false" outlineLevel="0" collapsed="false">
      <c r="A1328" s="0" t="n">
        <v>92</v>
      </c>
      <c r="B1328" s="0" t="str">
        <f aca="false">_xlfn.xlookup(A1328, artists!A$2:A$836, artists!B$2:B$836)</f>
        <v>iio</v>
      </c>
      <c r="C1328" s="1" t="s">
        <v>1360</v>
      </c>
      <c r="D1328" s="2" t="n">
        <v>253586</v>
      </c>
      <c r="E1328" s="2" t="n">
        <f aca="false">D1328/1000</f>
        <v>253.586</v>
      </c>
      <c r="F1328" s="10" t="b">
        <f aca="false">FALSE()</f>
        <v>0</v>
      </c>
      <c r="G1328" s="0" t="n">
        <v>9</v>
      </c>
      <c r="H1328" s="0" t="n">
        <f aca="false">_xlfn.xlookup(G1328, years!A$2:A$836, years!B$2:B$836)</f>
        <v>2006</v>
      </c>
      <c r="I1328" s="2" t="n">
        <v>54</v>
      </c>
      <c r="J1328" s="0" t="n">
        <v>0.661</v>
      </c>
      <c r="K1328" s="0" t="n">
        <v>0.855</v>
      </c>
      <c r="L1328" s="3" t="str">
        <f aca="false">IF(K1328&gt;0.66,"High",IF(K1328&gt;0.33&amp;K1328&lt;=0.66,"Medium","Low"))</f>
        <v>High</v>
      </c>
      <c r="M1328" s="0" t="n">
        <v>-8.403</v>
      </c>
      <c r="N1328" s="3" t="n">
        <v>0.0377</v>
      </c>
      <c r="O1328" s="3" t="n">
        <v>0.0722</v>
      </c>
      <c r="P1328" s="4" t="n">
        <v>0.0185</v>
      </c>
      <c r="Q1328" s="3" t="n">
        <v>0.199</v>
      </c>
      <c r="R1328" s="3" t="n">
        <v>0.601</v>
      </c>
      <c r="S1328" s="3" t="str">
        <f aca="false">IF(R1328 &gt;= 0.5, "Positive", "Negative")</f>
        <v>Positive</v>
      </c>
      <c r="T1328" s="2" t="n">
        <v>123.943</v>
      </c>
      <c r="U1328" s="0" t="s">
        <v>48</v>
      </c>
    </row>
    <row r="1329" customFormat="false" ht="14.25" hidden="false" customHeight="false" outlineLevel="0" collapsed="false">
      <c r="A1329" s="0" t="n">
        <v>635</v>
      </c>
      <c r="B1329" s="0" t="str">
        <f aca="false">_xlfn.xlookup(A1329, artists!A$2:A$836, artists!B$2:B$836)</f>
        <v>Clean Bandit</v>
      </c>
      <c r="C1329" s="1" t="s">
        <v>1361</v>
      </c>
      <c r="D1329" s="2" t="n">
        <v>227833</v>
      </c>
      <c r="E1329" s="2" t="n">
        <f aca="false">D1329/1000</f>
        <v>227.833</v>
      </c>
      <c r="F1329" s="10" t="b">
        <f aca="false">FALSE()</f>
        <v>0</v>
      </c>
      <c r="G1329" s="0" t="n">
        <v>17</v>
      </c>
      <c r="H1329" s="0" t="n">
        <f aca="false">_xlfn.xlookup(G1329, years!A$2:A$836, years!B$2:B$836)</f>
        <v>2014</v>
      </c>
      <c r="I1329" s="2" t="n">
        <v>72</v>
      </c>
      <c r="J1329" s="0" t="n">
        <v>0.799</v>
      </c>
      <c r="K1329" s="0" t="n">
        <v>0.586</v>
      </c>
      <c r="L1329" s="3" t="str">
        <f aca="false">IF(K1329&gt;0.66,"High",IF(K1329&gt;0.33&amp;K1329&lt;=0.66,"Medium","Low"))</f>
        <v>Low</v>
      </c>
      <c r="M1329" s="0" t="n">
        <v>-6.735</v>
      </c>
      <c r="N1329" s="3" t="n">
        <v>0.0377</v>
      </c>
      <c r="O1329" s="3" t="n">
        <v>0.162</v>
      </c>
      <c r="P1329" s="4" t="n">
        <v>2.03E-006</v>
      </c>
      <c r="Q1329" s="3" t="n">
        <v>0.193</v>
      </c>
      <c r="R1329" s="3" t="n">
        <v>0.549</v>
      </c>
      <c r="S1329" s="3" t="str">
        <f aca="false">IF(R1329 &gt;= 0.5, "Positive", "Negative")</f>
        <v>Positive</v>
      </c>
      <c r="T1329" s="2" t="n">
        <v>120.97</v>
      </c>
      <c r="U1329" s="0" t="s">
        <v>22</v>
      </c>
    </row>
    <row r="1330" customFormat="false" ht="14.25" hidden="false" customHeight="false" outlineLevel="0" collapsed="false">
      <c r="A1330" s="0" t="n">
        <v>522</v>
      </c>
      <c r="B1330" s="0" t="str">
        <f aca="false">_xlfn.xlookup(A1330, artists!A$2:A$836, artists!B$2:B$836)</f>
        <v>Professor Green</v>
      </c>
      <c r="C1330" s="1" t="s">
        <v>1362</v>
      </c>
      <c r="D1330" s="2" t="n">
        <v>235735</v>
      </c>
      <c r="E1330" s="2" t="n">
        <f aca="false">D1330/1000</f>
        <v>235.735</v>
      </c>
      <c r="F1330" s="10" t="b">
        <f aca="false">TRUE()</f>
        <v>1</v>
      </c>
      <c r="G1330" s="0" t="n">
        <v>14</v>
      </c>
      <c r="H1330" s="0" t="n">
        <f aca="false">_xlfn.xlookup(G1330, years!A$2:A$836, years!B$2:B$836)</f>
        <v>2011</v>
      </c>
      <c r="I1330" s="2" t="n">
        <v>39</v>
      </c>
      <c r="J1330" s="0" t="n">
        <v>0.656</v>
      </c>
      <c r="K1330" s="0" t="n">
        <v>0.752</v>
      </c>
      <c r="L1330" s="3" t="str">
        <f aca="false">IF(K1330&gt;0.66,"High",IF(K1330&gt;0.33&amp;K1330&lt;=0.66,"Medium","Low"))</f>
        <v>High</v>
      </c>
      <c r="M1330" s="0" t="n">
        <v>-5.522</v>
      </c>
      <c r="N1330" s="3" t="n">
        <v>0.0434</v>
      </c>
      <c r="O1330" s="3" t="n">
        <v>0.336</v>
      </c>
      <c r="P1330" s="4" t="n">
        <v>0</v>
      </c>
      <c r="Q1330" s="3" t="n">
        <v>0.223</v>
      </c>
      <c r="R1330" s="3" t="n">
        <v>0.445</v>
      </c>
      <c r="S1330" s="3" t="str">
        <f aca="false">IF(R1330 &gt;= 0.5, "Positive", "Negative")</f>
        <v>Negative</v>
      </c>
      <c r="T1330" s="2" t="n">
        <v>100.963</v>
      </c>
      <c r="U1330" s="0" t="s">
        <v>48</v>
      </c>
    </row>
    <row r="1331" customFormat="false" ht="14.25" hidden="false" customHeight="false" outlineLevel="0" collapsed="false">
      <c r="A1331" s="0" t="n">
        <v>562</v>
      </c>
      <c r="B1331" s="0" t="str">
        <f aca="false">_xlfn.xlookup(A1331, artists!A$2:A$836, artists!B$2:B$836)</f>
        <v>Emeli Sandé</v>
      </c>
      <c r="C1331" s="1" t="s">
        <v>1363</v>
      </c>
      <c r="D1331" s="2" t="n">
        <v>283706</v>
      </c>
      <c r="E1331" s="2" t="n">
        <f aca="false">D1331/1000</f>
        <v>283.706</v>
      </c>
      <c r="F1331" s="10" t="b">
        <f aca="false">FALSE()</f>
        <v>0</v>
      </c>
      <c r="G1331" s="0" t="n">
        <v>15</v>
      </c>
      <c r="H1331" s="0" t="n">
        <f aca="false">_xlfn.xlookup(G1331, years!A$2:A$836, years!B$2:B$836)</f>
        <v>2012</v>
      </c>
      <c r="I1331" s="2" t="n">
        <v>65</v>
      </c>
      <c r="J1331" s="0" t="n">
        <v>0.63</v>
      </c>
      <c r="K1331" s="0" t="n">
        <v>0.44</v>
      </c>
      <c r="L1331" s="3" t="str">
        <f aca="false">IF(K1331&gt;0.66,"High",IF(K1331&gt;0.33&amp;K1331&lt;=0.66,"Medium","Low"))</f>
        <v>Low</v>
      </c>
      <c r="M1331" s="0" t="n">
        <v>-7.186</v>
      </c>
      <c r="N1331" s="3" t="n">
        <v>0.0249</v>
      </c>
      <c r="O1331" s="3" t="n">
        <v>0.822</v>
      </c>
      <c r="P1331" s="4" t="n">
        <v>3.87E-006</v>
      </c>
      <c r="Q1331" s="3" t="n">
        <v>0.0926</v>
      </c>
      <c r="R1331" s="3" t="n">
        <v>0.343</v>
      </c>
      <c r="S1331" s="3" t="str">
        <f aca="false">IF(R1331 &gt;= 0.5, "Positive", "Negative")</f>
        <v>Negative</v>
      </c>
      <c r="T1331" s="2" t="n">
        <v>98.082</v>
      </c>
      <c r="U1331" s="0" t="s">
        <v>33</v>
      </c>
    </row>
    <row r="1332" customFormat="false" ht="14.25" hidden="false" customHeight="false" outlineLevel="0" collapsed="false">
      <c r="A1332" s="0" t="n">
        <v>37</v>
      </c>
      <c r="B1332" s="0" t="str">
        <f aca="false">_xlfn.xlookup(A1332, artists!A$2:A$836, artists!B$2:B$836)</f>
        <v>Avant</v>
      </c>
      <c r="C1332" s="1" t="s">
        <v>1364</v>
      </c>
      <c r="D1332" s="2" t="n">
        <v>263506</v>
      </c>
      <c r="E1332" s="2" t="n">
        <f aca="false">D1332/1000</f>
        <v>263.506</v>
      </c>
      <c r="F1332" s="10" t="b">
        <f aca="false">FALSE()</f>
        <v>0</v>
      </c>
      <c r="G1332" s="0" t="n">
        <v>6</v>
      </c>
      <c r="H1332" s="0" t="n">
        <f aca="false">_xlfn.xlookup(G1332, years!A$2:A$836, years!B$2:B$836)</f>
        <v>2003</v>
      </c>
      <c r="I1332" s="2" t="n">
        <v>56</v>
      </c>
      <c r="J1332" s="0" t="n">
        <v>0.755</v>
      </c>
      <c r="K1332" s="0" t="n">
        <v>0.381</v>
      </c>
      <c r="L1332" s="3" t="str">
        <f aca="false">IF(K1332&gt;0.66,"High",IF(K1332&gt;0.33&amp;K1332&lt;=0.66,"Medium","Low"))</f>
        <v>Low</v>
      </c>
      <c r="M1332" s="0" t="n">
        <v>-6.696</v>
      </c>
      <c r="N1332" s="3" t="n">
        <v>0.0711</v>
      </c>
      <c r="O1332" s="3" t="n">
        <v>0.291</v>
      </c>
      <c r="P1332" s="4" t="n">
        <v>5.13E-006</v>
      </c>
      <c r="Q1332" s="3" t="n">
        <v>0.0974</v>
      </c>
      <c r="R1332" s="3" t="n">
        <v>0.695</v>
      </c>
      <c r="S1332" s="3" t="str">
        <f aca="false">IF(R1332 &gt;= 0.5, "Positive", "Negative")</f>
        <v>Positive</v>
      </c>
      <c r="T1332" s="2" t="n">
        <v>73.108</v>
      </c>
      <c r="U1332" s="0" t="s">
        <v>33</v>
      </c>
    </row>
    <row r="1333" customFormat="false" ht="14.25" hidden="false" customHeight="false" outlineLevel="0" collapsed="false">
      <c r="A1333" s="0" t="n">
        <v>629</v>
      </c>
      <c r="B1333" s="0" t="str">
        <f aca="false">_xlfn.xlookup(A1333, artists!A$2:A$836, artists!B$2:B$836)</f>
        <v>Gorgon City</v>
      </c>
      <c r="C1333" s="1" t="s">
        <v>1365</v>
      </c>
      <c r="D1333" s="2" t="n">
        <v>198880</v>
      </c>
      <c r="E1333" s="2" t="n">
        <f aca="false">D1333/1000</f>
        <v>198.88</v>
      </c>
      <c r="F1333" s="10" t="b">
        <f aca="false">FALSE()</f>
        <v>0</v>
      </c>
      <c r="G1333" s="0" t="n">
        <v>17</v>
      </c>
      <c r="H1333" s="0" t="n">
        <f aca="false">_xlfn.xlookup(G1333, years!A$2:A$836, years!B$2:B$836)</f>
        <v>2014</v>
      </c>
      <c r="I1333" s="2" t="n">
        <v>61</v>
      </c>
      <c r="J1333" s="0" t="n">
        <v>0.677</v>
      </c>
      <c r="K1333" s="0" t="n">
        <v>0.753</v>
      </c>
      <c r="L1333" s="3" t="str">
        <f aca="false">IF(K1333&gt;0.66,"High",IF(K1333&gt;0.33&amp;K1333&lt;=0.66,"Medium","Low"))</f>
        <v>High</v>
      </c>
      <c r="M1333" s="0" t="n">
        <v>-7.038</v>
      </c>
      <c r="N1333" s="3" t="n">
        <v>0.154</v>
      </c>
      <c r="O1333" s="3" t="n">
        <v>0.0531</v>
      </c>
      <c r="P1333" s="4" t="n">
        <v>0.0128</v>
      </c>
      <c r="Q1333" s="3" t="n">
        <v>0.333</v>
      </c>
      <c r="R1333" s="3" t="n">
        <v>0.471</v>
      </c>
      <c r="S1333" s="3" t="str">
        <f aca="false">IF(R1333 &gt;= 0.5, "Positive", "Negative")</f>
        <v>Negative</v>
      </c>
      <c r="T1333" s="2" t="n">
        <v>121.939</v>
      </c>
      <c r="U1333" s="0" t="s">
        <v>22</v>
      </c>
    </row>
    <row r="1334" customFormat="false" ht="14.25" hidden="false" customHeight="false" outlineLevel="0" collapsed="false">
      <c r="A1334" s="0" t="n">
        <v>95</v>
      </c>
      <c r="B1334" s="0" t="str">
        <f aca="false">_xlfn.xlookup(A1334, artists!A$2:A$836, artists!B$2:B$836)</f>
        <v>Blue</v>
      </c>
      <c r="C1334" s="1" t="s">
        <v>1366</v>
      </c>
      <c r="D1334" s="2" t="n">
        <v>207186</v>
      </c>
      <c r="E1334" s="2" t="n">
        <f aca="false">D1334/1000</f>
        <v>207.186</v>
      </c>
      <c r="F1334" s="10" t="b">
        <f aca="false">FALSE()</f>
        <v>0</v>
      </c>
      <c r="G1334" s="0" t="n">
        <v>5</v>
      </c>
      <c r="H1334" s="0" t="n">
        <f aca="false">_xlfn.xlookup(G1334, years!A$2:A$836, years!B$2:B$836)</f>
        <v>2002</v>
      </c>
      <c r="I1334" s="2" t="n">
        <v>60</v>
      </c>
      <c r="J1334" s="0" t="n">
        <v>0.683</v>
      </c>
      <c r="K1334" s="0" t="n">
        <v>0.722</v>
      </c>
      <c r="L1334" s="3" t="str">
        <f aca="false">IF(K1334&gt;0.66,"High",IF(K1334&gt;0.33&amp;K1334&lt;=0.66,"Medium","Low"))</f>
        <v>High</v>
      </c>
      <c r="M1334" s="0" t="n">
        <v>-4.039</v>
      </c>
      <c r="N1334" s="3" t="n">
        <v>0.0358</v>
      </c>
      <c r="O1334" s="3" t="n">
        <v>0.0243</v>
      </c>
      <c r="P1334" s="4" t="n">
        <v>4.2E-005</v>
      </c>
      <c r="Q1334" s="3" t="n">
        <v>0.35</v>
      </c>
      <c r="R1334" s="3" t="n">
        <v>0.854</v>
      </c>
      <c r="S1334" s="3" t="str">
        <f aca="false">IF(R1334 &gt;= 0.5, "Positive", "Negative")</f>
        <v>Positive</v>
      </c>
      <c r="T1334" s="2" t="n">
        <v>95.012</v>
      </c>
      <c r="U1334" s="0" t="s">
        <v>39</v>
      </c>
    </row>
    <row r="1335" customFormat="false" ht="14.25" hidden="false" customHeight="false" outlineLevel="0" collapsed="false">
      <c r="A1335" s="0" t="n">
        <v>632</v>
      </c>
      <c r="B1335" s="0" t="str">
        <f aca="false">_xlfn.xlookup(A1335, artists!A$2:A$836, artists!B$2:B$836)</f>
        <v>Tiësto</v>
      </c>
      <c r="C1335" s="1" t="s">
        <v>1367</v>
      </c>
      <c r="D1335" s="2" t="n">
        <v>263890</v>
      </c>
      <c r="E1335" s="2" t="n">
        <f aca="false">D1335/1000</f>
        <v>263.89</v>
      </c>
      <c r="F1335" s="10" t="b">
        <f aca="false">FALSE()</f>
        <v>0</v>
      </c>
      <c r="G1335" s="0" t="n">
        <v>16</v>
      </c>
      <c r="H1335" s="0" t="n">
        <f aca="false">_xlfn.xlookup(G1335, years!A$2:A$836, years!B$2:B$836)</f>
        <v>2013</v>
      </c>
      <c r="I1335" s="2" t="n">
        <v>0</v>
      </c>
      <c r="J1335" s="0" t="n">
        <v>0.653</v>
      </c>
      <c r="K1335" s="0" t="n">
        <v>0.829</v>
      </c>
      <c r="L1335" s="3" t="str">
        <f aca="false">IF(K1335&gt;0.66,"High",IF(K1335&gt;0.33&amp;K1335&lt;=0.66,"Medium","Low"))</f>
        <v>High</v>
      </c>
      <c r="M1335" s="0" t="n">
        <v>-4.783</v>
      </c>
      <c r="N1335" s="3" t="n">
        <v>0.0377</v>
      </c>
      <c r="O1335" s="3" t="n">
        <v>0.000739</v>
      </c>
      <c r="P1335" s="4" t="n">
        <v>1.5E-006</v>
      </c>
      <c r="Q1335" s="3" t="n">
        <v>0.225</v>
      </c>
      <c r="R1335" s="3" t="n">
        <v>0.545</v>
      </c>
      <c r="S1335" s="3" t="str">
        <f aca="false">IF(R1335 &gt;= 0.5, "Positive", "Negative")</f>
        <v>Positive</v>
      </c>
      <c r="T1335" s="2" t="n">
        <v>124.989</v>
      </c>
      <c r="U1335" s="0" t="s">
        <v>22</v>
      </c>
    </row>
    <row r="1336" customFormat="false" ht="14.25" hidden="false" customHeight="false" outlineLevel="0" collapsed="false">
      <c r="A1336" s="0" t="n">
        <v>754</v>
      </c>
      <c r="B1336" s="0" t="str">
        <f aca="false">_xlfn.xlookup(A1336, artists!A$2:A$836, artists!B$2:B$836)</f>
        <v>CNCO</v>
      </c>
      <c r="C1336" s="1" t="s">
        <v>1368</v>
      </c>
      <c r="D1336" s="2" t="n">
        <v>188786</v>
      </c>
      <c r="E1336" s="2" t="n">
        <f aca="false">D1336/1000</f>
        <v>188.786</v>
      </c>
      <c r="F1336" s="10" t="b">
        <f aca="false">FALSE()</f>
        <v>0</v>
      </c>
      <c r="G1336" s="0" t="n">
        <v>20</v>
      </c>
      <c r="H1336" s="0" t="n">
        <f aca="false">_xlfn.xlookup(G1336, years!A$2:A$836, years!B$2:B$836)</f>
        <v>2017</v>
      </c>
      <c r="I1336" s="2" t="n">
        <v>0</v>
      </c>
      <c r="J1336" s="0" t="n">
        <v>0.623</v>
      </c>
      <c r="K1336" s="0" t="n">
        <v>0.909</v>
      </c>
      <c r="L1336" s="3" t="str">
        <f aca="false">IF(K1336&gt;0.66,"High",IF(K1336&gt;0.33&amp;K1336&lt;=0.66,"Medium","Low"))</f>
        <v>High</v>
      </c>
      <c r="M1336" s="0" t="n">
        <v>-3.079</v>
      </c>
      <c r="N1336" s="3" t="n">
        <v>0.0758</v>
      </c>
      <c r="O1336" s="3" t="n">
        <v>0.158</v>
      </c>
      <c r="P1336" s="4" t="n">
        <v>0</v>
      </c>
      <c r="Q1336" s="3" t="n">
        <v>0.0972</v>
      </c>
      <c r="R1336" s="3" t="n">
        <v>0.651</v>
      </c>
      <c r="S1336" s="3" t="str">
        <f aca="false">IF(R1336 &gt;= 0.5, "Positive", "Negative")</f>
        <v>Positive</v>
      </c>
      <c r="T1336" s="2" t="n">
        <v>93.984</v>
      </c>
      <c r="U1336" s="0" t="s">
        <v>75</v>
      </c>
    </row>
    <row r="1337" customFormat="false" ht="14.25" hidden="false" customHeight="false" outlineLevel="0" collapsed="false">
      <c r="A1337" s="0" t="n">
        <v>317</v>
      </c>
      <c r="B1337" s="0" t="str">
        <f aca="false">_xlfn.xlookup(A1337, artists!A$2:A$836, artists!B$2:B$836)</f>
        <v>Amy Winehouse</v>
      </c>
      <c r="C1337" s="1" t="s">
        <v>1369</v>
      </c>
      <c r="D1337" s="2" t="n">
        <v>214946</v>
      </c>
      <c r="E1337" s="2" t="n">
        <f aca="false">D1337/1000</f>
        <v>214.946</v>
      </c>
      <c r="F1337" s="10" t="b">
        <f aca="false">FALSE()</f>
        <v>0</v>
      </c>
      <c r="G1337" s="0" t="n">
        <v>9</v>
      </c>
      <c r="H1337" s="0" t="n">
        <f aca="false">_xlfn.xlookup(G1337, years!A$2:A$836, years!B$2:B$836)</f>
        <v>2006</v>
      </c>
      <c r="I1337" s="2" t="n">
        <v>71</v>
      </c>
      <c r="J1337" s="0" t="n">
        <v>0.407</v>
      </c>
      <c r="K1337" s="0" t="n">
        <v>0.558</v>
      </c>
      <c r="L1337" s="3" t="str">
        <f aca="false">IF(K1337&gt;0.66,"High",IF(K1337&gt;0.33&amp;K1337&lt;=0.66,"Medium","Low"))</f>
        <v>Low</v>
      </c>
      <c r="M1337" s="0" t="n">
        <v>-13.609</v>
      </c>
      <c r="N1337" s="3" t="n">
        <v>0.0552</v>
      </c>
      <c r="O1337" s="3" t="n">
        <v>0.0541</v>
      </c>
      <c r="P1337" s="4" t="n">
        <v>1.51E-006</v>
      </c>
      <c r="Q1337" s="3" t="n">
        <v>0.34</v>
      </c>
      <c r="R1337" s="3" t="n">
        <v>0.777</v>
      </c>
      <c r="S1337" s="3" t="str">
        <f aca="false">IF(R1337 &gt;= 0.5, "Positive", "Negative")</f>
        <v>Positive</v>
      </c>
      <c r="T1337" s="2" t="n">
        <v>71.815</v>
      </c>
      <c r="U1337" s="0" t="s">
        <v>128</v>
      </c>
    </row>
    <row r="1338" customFormat="false" ht="14.25" hidden="false" customHeight="false" outlineLevel="0" collapsed="false">
      <c r="A1338" s="0" t="n">
        <v>444</v>
      </c>
      <c r="B1338" s="0" t="str">
        <f aca="false">_xlfn.xlookup(A1338, artists!A$2:A$836, artists!B$2:B$836)</f>
        <v>Agnes</v>
      </c>
      <c r="C1338" s="1" t="s">
        <v>1370</v>
      </c>
      <c r="D1338" s="2" t="n">
        <v>256213</v>
      </c>
      <c r="E1338" s="2" t="n">
        <f aca="false">D1338/1000</f>
        <v>256.213</v>
      </c>
      <c r="F1338" s="10" t="b">
        <f aca="false">FALSE()</f>
        <v>0</v>
      </c>
      <c r="G1338" s="0" t="n">
        <v>12</v>
      </c>
      <c r="H1338" s="0" t="n">
        <f aca="false">_xlfn.xlookup(G1338, years!A$2:A$836, years!B$2:B$836)</f>
        <v>2009</v>
      </c>
      <c r="I1338" s="2" t="n">
        <v>65</v>
      </c>
      <c r="J1338" s="0" t="n">
        <v>0.621</v>
      </c>
      <c r="K1338" s="0" t="n">
        <v>0.923</v>
      </c>
      <c r="L1338" s="3" t="str">
        <f aca="false">IF(K1338&gt;0.66,"High",IF(K1338&gt;0.33&amp;K1338&lt;=0.66,"Medium","Low"))</f>
        <v>High</v>
      </c>
      <c r="M1338" s="0" t="n">
        <v>-3.124</v>
      </c>
      <c r="N1338" s="3" t="n">
        <v>0.0321</v>
      </c>
      <c r="O1338" s="3" t="n">
        <v>0.00645</v>
      </c>
      <c r="P1338" s="4" t="n">
        <v>7.28E-005</v>
      </c>
      <c r="Q1338" s="3" t="n">
        <v>0.108</v>
      </c>
      <c r="R1338" s="3" t="n">
        <v>0.716</v>
      </c>
      <c r="S1338" s="3" t="str">
        <f aca="false">IF(R1338 &gt;= 0.5, "Positive", "Negative")</f>
        <v>Positive</v>
      </c>
      <c r="T1338" s="2" t="n">
        <v>127.973</v>
      </c>
      <c r="U1338" s="0" t="s">
        <v>22</v>
      </c>
    </row>
    <row r="1339" customFormat="false" ht="14.25" hidden="false" customHeight="false" outlineLevel="0" collapsed="false">
      <c r="A1339" s="0" t="n">
        <v>580</v>
      </c>
      <c r="B1339" s="0" t="str">
        <f aca="false">_xlfn.xlookup(A1339, artists!A$2:A$836, artists!B$2:B$836)</f>
        <v>Sebastian Ingrosso</v>
      </c>
      <c r="C1339" s="1" t="s">
        <v>1371</v>
      </c>
      <c r="D1339" s="2" t="n">
        <v>221272</v>
      </c>
      <c r="E1339" s="2" t="n">
        <f aca="false">D1339/1000</f>
        <v>221.272</v>
      </c>
      <c r="F1339" s="10" t="b">
        <f aca="false">FALSE()</f>
        <v>0</v>
      </c>
      <c r="G1339" s="0" t="n">
        <v>16</v>
      </c>
      <c r="H1339" s="0" t="n">
        <f aca="false">_xlfn.xlookup(G1339, years!A$2:A$836, years!B$2:B$836)</f>
        <v>2013</v>
      </c>
      <c r="I1339" s="2" t="n">
        <v>68</v>
      </c>
      <c r="J1339" s="0" t="n">
        <v>0.485</v>
      </c>
      <c r="K1339" s="0" t="n">
        <v>0.724</v>
      </c>
      <c r="L1339" s="3" t="str">
        <f aca="false">IF(K1339&gt;0.66,"High",IF(K1339&gt;0.33&amp;K1339&lt;=0.66,"Medium","Low"))</f>
        <v>High</v>
      </c>
      <c r="M1339" s="0" t="n">
        <v>-4.633</v>
      </c>
      <c r="N1339" s="3" t="n">
        <v>0.0521</v>
      </c>
      <c r="O1339" s="3" t="n">
        <v>0.0736</v>
      </c>
      <c r="P1339" s="4" t="n">
        <v>0</v>
      </c>
      <c r="Q1339" s="3" t="n">
        <v>0.0631</v>
      </c>
      <c r="R1339" s="3" t="n">
        <v>0.433</v>
      </c>
      <c r="S1339" s="3" t="str">
        <f aca="false">IF(R1339 &gt;= 0.5, "Positive", "Negative")</f>
        <v>Negative</v>
      </c>
      <c r="T1339" s="2" t="n">
        <v>128.045</v>
      </c>
      <c r="U1339" s="0" t="s">
        <v>22</v>
      </c>
    </row>
    <row r="1340" customFormat="false" ht="14.25" hidden="false" customHeight="false" outlineLevel="0" collapsed="false">
      <c r="A1340" s="0" t="n">
        <v>289</v>
      </c>
      <c r="B1340" s="0" t="str">
        <f aca="false">_xlfn.xlookup(A1340, artists!A$2:A$836, artists!B$2:B$836)</f>
        <v>Fort Minor</v>
      </c>
      <c r="C1340" s="1" t="s">
        <v>1372</v>
      </c>
      <c r="D1340" s="2" t="n">
        <v>230493</v>
      </c>
      <c r="E1340" s="2" t="n">
        <f aca="false">D1340/1000</f>
        <v>230.493</v>
      </c>
      <c r="F1340" s="10" t="b">
        <f aca="false">TRUE()</f>
        <v>1</v>
      </c>
      <c r="G1340" s="0" t="n">
        <v>8</v>
      </c>
      <c r="H1340" s="0" t="n">
        <f aca="false">_xlfn.xlookup(G1340, years!A$2:A$836, years!B$2:B$836)</f>
        <v>2005</v>
      </c>
      <c r="I1340" s="2" t="n">
        <v>73</v>
      </c>
      <c r="J1340" s="0" t="n">
        <v>0.688</v>
      </c>
      <c r="K1340" s="0" t="n">
        <v>0.835</v>
      </c>
      <c r="L1340" s="3" t="str">
        <f aca="false">IF(K1340&gt;0.66,"High",IF(K1340&gt;0.33&amp;K1340&lt;=0.66,"Medium","Low"))</f>
        <v>High</v>
      </c>
      <c r="M1340" s="0" t="n">
        <v>-4.162</v>
      </c>
      <c r="N1340" s="3" t="n">
        <v>0.0911</v>
      </c>
      <c r="O1340" s="3" t="n">
        <v>0.0583</v>
      </c>
      <c r="P1340" s="4" t="n">
        <v>2.87E-006</v>
      </c>
      <c r="Q1340" s="3" t="n">
        <v>0.0795</v>
      </c>
      <c r="R1340" s="3" t="n">
        <v>0.88</v>
      </c>
      <c r="S1340" s="3" t="str">
        <f aca="false">IF(R1340 &gt;= 0.5, "Positive", "Negative")</f>
        <v>Positive</v>
      </c>
      <c r="T1340" s="2" t="n">
        <v>84.858</v>
      </c>
      <c r="U1340" s="0" t="s">
        <v>493</v>
      </c>
    </row>
    <row r="1341" customFormat="false" ht="14.25" hidden="false" customHeight="false" outlineLevel="0" collapsed="false">
      <c r="A1341" s="0" t="n">
        <v>666</v>
      </c>
      <c r="B1341" s="0" t="str">
        <f aca="false">_xlfn.xlookup(A1341, artists!A$2:A$836, artists!B$2:B$836)</f>
        <v>X Ambassadors</v>
      </c>
      <c r="C1341" s="1" t="s">
        <v>1373</v>
      </c>
      <c r="D1341" s="2" t="n">
        <v>195200</v>
      </c>
      <c r="E1341" s="2" t="n">
        <f aca="false">D1341/1000</f>
        <v>195.2</v>
      </c>
      <c r="F1341" s="10" t="b">
        <f aca="false">FALSE()</f>
        <v>0</v>
      </c>
      <c r="G1341" s="0" t="n">
        <v>18</v>
      </c>
      <c r="H1341" s="0" t="n">
        <f aca="false">_xlfn.xlookup(G1341, years!A$2:A$836, years!B$2:B$836)</f>
        <v>2015</v>
      </c>
      <c r="I1341" s="2" t="n">
        <v>75</v>
      </c>
      <c r="J1341" s="0" t="n">
        <v>0.526</v>
      </c>
      <c r="K1341" s="0" t="n">
        <v>0.862</v>
      </c>
      <c r="L1341" s="3" t="str">
        <f aca="false">IF(K1341&gt;0.66,"High",IF(K1341&gt;0.33&amp;K1341&lt;=0.66,"Medium","Low"))</f>
        <v>High</v>
      </c>
      <c r="M1341" s="0" t="n">
        <v>-6.003</v>
      </c>
      <c r="N1341" s="3" t="n">
        <v>0.0905</v>
      </c>
      <c r="O1341" s="3" t="n">
        <v>0.0144</v>
      </c>
      <c r="P1341" s="4" t="n">
        <v>0.0597</v>
      </c>
      <c r="Q1341" s="3" t="n">
        <v>0.229</v>
      </c>
      <c r="R1341" s="3" t="n">
        <v>0.528</v>
      </c>
      <c r="S1341" s="3" t="str">
        <f aca="false">IF(R1341 &gt;= 0.5, "Positive", "Negative")</f>
        <v>Positive</v>
      </c>
      <c r="T1341" s="2" t="n">
        <v>90.052</v>
      </c>
      <c r="U1341" s="0" t="s">
        <v>1374</v>
      </c>
    </row>
    <row r="1342" customFormat="false" ht="14.25" hidden="false" customHeight="false" outlineLevel="0" collapsed="false">
      <c r="A1342" s="0" t="n">
        <v>481</v>
      </c>
      <c r="B1342" s="0" t="str">
        <f aca="false">_xlfn.xlookup(A1342, artists!A$2:A$836, artists!B$2:B$836)</f>
        <v>Iyaz</v>
      </c>
      <c r="C1342" s="1" t="s">
        <v>1375</v>
      </c>
      <c r="D1342" s="2" t="n">
        <v>182306</v>
      </c>
      <c r="E1342" s="2" t="n">
        <f aca="false">D1342/1000</f>
        <v>182.306</v>
      </c>
      <c r="F1342" s="10" t="b">
        <f aca="false">FALSE()</f>
        <v>0</v>
      </c>
      <c r="G1342" s="0" t="n">
        <v>12</v>
      </c>
      <c r="H1342" s="0" t="n">
        <f aca="false">_xlfn.xlookup(G1342, years!A$2:A$836, years!B$2:B$836)</f>
        <v>2009</v>
      </c>
      <c r="I1342" s="2" t="n">
        <v>75</v>
      </c>
      <c r="J1342" s="0" t="n">
        <v>0.706</v>
      </c>
      <c r="K1342" s="0" t="n">
        <v>0.751</v>
      </c>
      <c r="L1342" s="3" t="str">
        <f aca="false">IF(K1342&gt;0.66,"High",IF(K1342&gt;0.33&amp;K1342&lt;=0.66,"Medium","Low"))</f>
        <v>High</v>
      </c>
      <c r="M1342" s="0" t="n">
        <v>-6.323</v>
      </c>
      <c r="N1342" s="3" t="n">
        <v>0.0708</v>
      </c>
      <c r="O1342" s="3" t="n">
        <v>0.173</v>
      </c>
      <c r="P1342" s="4" t="n">
        <v>0</v>
      </c>
      <c r="Q1342" s="3" t="n">
        <v>0.168</v>
      </c>
      <c r="R1342" s="3" t="n">
        <v>0.195</v>
      </c>
      <c r="S1342" s="3" t="str">
        <f aca="false">IF(R1342 &gt;= 0.5, "Positive", "Negative")</f>
        <v>Negative</v>
      </c>
      <c r="T1342" s="2" t="n">
        <v>91.031</v>
      </c>
      <c r="U1342" s="0" t="s">
        <v>24</v>
      </c>
    </row>
    <row r="1343" customFormat="false" ht="14.25" hidden="false" customHeight="false" outlineLevel="0" collapsed="false">
      <c r="A1343" s="0" t="n">
        <v>234</v>
      </c>
      <c r="B1343" s="0" t="str">
        <f aca="false">_xlfn.xlookup(A1343, artists!A$2:A$836, artists!B$2:B$836)</f>
        <v>The Strokes</v>
      </c>
      <c r="C1343" s="1" t="s">
        <v>1376</v>
      </c>
      <c r="D1343" s="2" t="n">
        <v>219826</v>
      </c>
      <c r="E1343" s="2" t="n">
        <f aca="false">D1343/1000</f>
        <v>219.826</v>
      </c>
      <c r="F1343" s="10" t="b">
        <f aca="false">FALSE()</f>
        <v>0</v>
      </c>
      <c r="G1343" s="0" t="n">
        <v>6</v>
      </c>
      <c r="H1343" s="0" t="n">
        <f aca="false">_xlfn.xlookup(G1343, years!A$2:A$836, years!B$2:B$836)</f>
        <v>2003</v>
      </c>
      <c r="I1343" s="2" t="n">
        <v>74</v>
      </c>
      <c r="J1343" s="0" t="n">
        <v>0.489</v>
      </c>
      <c r="K1343" s="0" t="n">
        <v>0.649</v>
      </c>
      <c r="L1343" s="3" t="str">
        <f aca="false">IF(K1343&gt;0.66,"High",IF(K1343&gt;0.33&amp;K1343&lt;=0.66,"Medium","Low"))</f>
        <v>Low</v>
      </c>
      <c r="M1343" s="0" t="n">
        <v>-5.11</v>
      </c>
      <c r="N1343" s="3" t="n">
        <v>0.0336</v>
      </c>
      <c r="O1343" s="3" t="n">
        <v>0.000603</v>
      </c>
      <c r="P1343" s="4" t="n">
        <v>0.713</v>
      </c>
      <c r="Q1343" s="3" t="n">
        <v>0.101</v>
      </c>
      <c r="R1343" s="3" t="n">
        <v>0.77</v>
      </c>
      <c r="S1343" s="3" t="str">
        <f aca="false">IF(R1343 &gt;= 0.5, "Positive", "Negative")</f>
        <v>Positive</v>
      </c>
      <c r="T1343" s="2" t="n">
        <v>158.009</v>
      </c>
      <c r="U1343" s="0" t="s">
        <v>43</v>
      </c>
    </row>
    <row r="1344" customFormat="false" ht="14.25" hidden="false" customHeight="false" outlineLevel="0" collapsed="false">
      <c r="A1344" s="0" t="n">
        <v>755</v>
      </c>
      <c r="B1344" s="0" t="str">
        <f aca="false">_xlfn.xlookup(A1344, artists!A$2:A$836, artists!B$2:B$836)</f>
        <v>Offset</v>
      </c>
      <c r="C1344" s="1" t="s">
        <v>1377</v>
      </c>
      <c r="D1344" s="2" t="n">
        <v>172800</v>
      </c>
      <c r="E1344" s="2" t="n">
        <f aca="false">D1344/1000</f>
        <v>172.8</v>
      </c>
      <c r="F1344" s="10" t="b">
        <f aca="false">TRUE()</f>
        <v>1</v>
      </c>
      <c r="G1344" s="0" t="n">
        <v>20</v>
      </c>
      <c r="H1344" s="0" t="n">
        <f aca="false">_xlfn.xlookup(G1344, years!A$2:A$836, years!B$2:B$836)</f>
        <v>2017</v>
      </c>
      <c r="I1344" s="2" t="n">
        <v>80</v>
      </c>
      <c r="J1344" s="0" t="n">
        <v>0.88</v>
      </c>
      <c r="K1344" s="0" t="n">
        <v>0.428</v>
      </c>
      <c r="L1344" s="3" t="str">
        <f aca="false">IF(K1344&gt;0.66,"High",IF(K1344&gt;0.33&amp;K1344&lt;=0.66,"Medium","Low"))</f>
        <v>Low</v>
      </c>
      <c r="M1344" s="0" t="n">
        <v>-8.28</v>
      </c>
      <c r="N1344" s="3" t="n">
        <v>0.206</v>
      </c>
      <c r="O1344" s="3" t="n">
        <v>0.149</v>
      </c>
      <c r="P1344" s="4" t="n">
        <v>5.05E-005</v>
      </c>
      <c r="Q1344" s="3" t="n">
        <v>0.114</v>
      </c>
      <c r="R1344" s="3" t="n">
        <v>0.333</v>
      </c>
      <c r="S1344" s="3" t="str">
        <f aca="false">IF(R1344 &gt;= 0.5, "Positive", "Negative")</f>
        <v>Negative</v>
      </c>
      <c r="T1344" s="2" t="n">
        <v>100.007</v>
      </c>
      <c r="U1344" s="0" t="s">
        <v>24</v>
      </c>
    </row>
    <row r="1345" customFormat="false" ht="14.25" hidden="false" customHeight="false" outlineLevel="0" collapsed="false">
      <c r="A1345" s="0" t="n">
        <v>241</v>
      </c>
      <c r="B1345" s="0" t="str">
        <f aca="false">_xlfn.xlookup(A1345, artists!A$2:A$836, artists!B$2:B$836)</f>
        <v>Gwen Stefani</v>
      </c>
      <c r="C1345" s="1" t="s">
        <v>1378</v>
      </c>
      <c r="D1345" s="2" t="n">
        <v>236213</v>
      </c>
      <c r="E1345" s="2" t="n">
        <f aca="false">D1345/1000</f>
        <v>236.213</v>
      </c>
      <c r="F1345" s="10" t="b">
        <f aca="false">FALSE()</f>
        <v>0</v>
      </c>
      <c r="G1345" s="0" t="n">
        <v>7</v>
      </c>
      <c r="H1345" s="0" t="n">
        <f aca="false">_xlfn.xlookup(G1345, years!A$2:A$836, years!B$2:B$836)</f>
        <v>2004</v>
      </c>
      <c r="I1345" s="2" t="n">
        <v>68</v>
      </c>
      <c r="J1345" s="0" t="n">
        <v>0.856</v>
      </c>
      <c r="K1345" s="0" t="n">
        <v>0.754</v>
      </c>
      <c r="L1345" s="3" t="str">
        <f aca="false">IF(K1345&gt;0.66,"High",IF(K1345&gt;0.33&amp;K1345&lt;=0.66,"Medium","Low"))</f>
        <v>High</v>
      </c>
      <c r="M1345" s="0" t="n">
        <v>-2.728</v>
      </c>
      <c r="N1345" s="3" t="n">
        <v>0.0416</v>
      </c>
      <c r="O1345" s="3" t="n">
        <v>0.0294</v>
      </c>
      <c r="P1345" s="4" t="n">
        <v>1.49E-005</v>
      </c>
      <c r="Q1345" s="3" t="n">
        <v>0.206</v>
      </c>
      <c r="R1345" s="3" t="n">
        <v>0.722</v>
      </c>
      <c r="S1345" s="3" t="str">
        <f aca="false">IF(R1345 &gt;= 0.5, "Positive", "Negative")</f>
        <v>Positive</v>
      </c>
      <c r="T1345" s="2" t="n">
        <v>98.018</v>
      </c>
      <c r="U1345" s="0" t="s">
        <v>33</v>
      </c>
    </row>
    <row r="1346" customFormat="false" ht="14.25" hidden="false" customHeight="false" outlineLevel="0" collapsed="false">
      <c r="A1346" s="0" t="n">
        <v>660</v>
      </c>
      <c r="B1346" s="0" t="str">
        <f aca="false">_xlfn.xlookup(A1346, artists!A$2:A$836, artists!B$2:B$836)</f>
        <v>Lemaitre</v>
      </c>
      <c r="C1346" s="1" t="s">
        <v>358</v>
      </c>
      <c r="D1346" s="2" t="n">
        <v>270589</v>
      </c>
      <c r="E1346" s="2" t="n">
        <f aca="false">D1346/1000</f>
        <v>270.589</v>
      </c>
      <c r="F1346" s="10" t="b">
        <f aca="false">FALSE()</f>
        <v>0</v>
      </c>
      <c r="G1346" s="0" t="n">
        <v>20</v>
      </c>
      <c r="H1346" s="0" t="n">
        <f aca="false">_xlfn.xlookup(G1346, years!A$2:A$836, years!B$2:B$836)</f>
        <v>2017</v>
      </c>
      <c r="I1346" s="2" t="n">
        <v>59</v>
      </c>
      <c r="J1346" s="0" t="n">
        <v>0.583</v>
      </c>
      <c r="K1346" s="0" t="n">
        <v>0.785</v>
      </c>
      <c r="L1346" s="3" t="str">
        <f aca="false">IF(K1346&gt;0.66,"High",IF(K1346&gt;0.33&amp;K1346&lt;=0.66,"Medium","Low"))</f>
        <v>High</v>
      </c>
      <c r="M1346" s="0" t="n">
        <v>-3.991</v>
      </c>
      <c r="N1346" s="3" t="n">
        <v>0.0337</v>
      </c>
      <c r="O1346" s="3" t="n">
        <v>0.0012</v>
      </c>
      <c r="P1346" s="4" t="n">
        <v>0.0127</v>
      </c>
      <c r="Q1346" s="3" t="n">
        <v>0.124</v>
      </c>
      <c r="R1346" s="3" t="n">
        <v>0.355</v>
      </c>
      <c r="S1346" s="3" t="str">
        <f aca="false">IF(R1346 &gt;= 0.5, "Positive", "Negative")</f>
        <v>Negative</v>
      </c>
      <c r="T1346" s="2" t="n">
        <v>91.977</v>
      </c>
      <c r="U1346" s="0" t="s">
        <v>39</v>
      </c>
    </row>
    <row r="1347" customFormat="false" ht="14.25" hidden="false" customHeight="false" outlineLevel="0" collapsed="false">
      <c r="A1347" s="0" t="n">
        <v>561</v>
      </c>
      <c r="B1347" s="0" t="str">
        <f aca="false">_xlfn.xlookup(A1347, artists!A$2:A$836, artists!B$2:B$836)</f>
        <v>Lana Del Rey</v>
      </c>
      <c r="C1347" s="1" t="s">
        <v>51</v>
      </c>
      <c r="D1347" s="2" t="n">
        <v>289080</v>
      </c>
      <c r="E1347" s="2" t="n">
        <f aca="false">D1347/1000</f>
        <v>289.08</v>
      </c>
      <c r="F1347" s="10" t="b">
        <f aca="false">TRUE()</f>
        <v>1</v>
      </c>
      <c r="G1347" s="0" t="n">
        <v>15</v>
      </c>
      <c r="H1347" s="0" t="n">
        <f aca="false">_xlfn.xlookup(G1347, years!A$2:A$836, years!B$2:B$836)</f>
        <v>2012</v>
      </c>
      <c r="I1347" s="2" t="n">
        <v>66</v>
      </c>
      <c r="J1347" s="0" t="n">
        <v>0.373</v>
      </c>
      <c r="K1347" s="0" t="n">
        <v>0.686</v>
      </c>
      <c r="L1347" s="3" t="str">
        <f aca="false">IF(K1347&gt;0.66,"High",IF(K1347&gt;0.33&amp;K1347&lt;=0.66,"Medium","Low"))</f>
        <v>High</v>
      </c>
      <c r="M1347" s="0" t="n">
        <v>-5.52</v>
      </c>
      <c r="N1347" s="3" t="n">
        <v>0.034</v>
      </c>
      <c r="O1347" s="3" t="n">
        <v>0.128</v>
      </c>
      <c r="P1347" s="4" t="n">
        <v>1.96E-006</v>
      </c>
      <c r="Q1347" s="3" t="n">
        <v>0.383</v>
      </c>
      <c r="R1347" s="3" t="n">
        <v>0.189</v>
      </c>
      <c r="S1347" s="3" t="str">
        <f aca="false">IF(R1347 &gt;= 0.5, "Positive", "Negative")</f>
        <v>Negative</v>
      </c>
      <c r="T1347" s="2" t="n">
        <v>93.763</v>
      </c>
      <c r="U1347" s="0" t="s">
        <v>39</v>
      </c>
    </row>
    <row r="1348" customFormat="false" ht="14.25" hidden="false" customHeight="false" outlineLevel="0" collapsed="false">
      <c r="A1348" s="0" t="n">
        <v>728</v>
      </c>
      <c r="B1348" s="0" t="str">
        <f aca="false">_xlfn.xlookup(A1348, artists!A$2:A$836, artists!B$2:B$836)</f>
        <v>Jax Jones</v>
      </c>
      <c r="C1348" s="1" t="s">
        <v>281</v>
      </c>
      <c r="D1348" s="2" t="n">
        <v>207629</v>
      </c>
      <c r="E1348" s="2" t="n">
        <f aca="false">D1348/1000</f>
        <v>207.629</v>
      </c>
      <c r="F1348" s="10" t="b">
        <f aca="false">FALSE()</f>
        <v>0</v>
      </c>
      <c r="G1348" s="0" t="n">
        <v>20</v>
      </c>
      <c r="H1348" s="0" t="n">
        <f aca="false">_xlfn.xlookup(G1348, years!A$2:A$836, years!B$2:B$836)</f>
        <v>2017</v>
      </c>
      <c r="I1348" s="2" t="n">
        <v>58</v>
      </c>
      <c r="J1348" s="0" t="n">
        <v>0.722</v>
      </c>
      <c r="K1348" s="0" t="n">
        <v>0.744</v>
      </c>
      <c r="L1348" s="3" t="str">
        <f aca="false">IF(K1348&gt;0.66,"High",IF(K1348&gt;0.33&amp;K1348&lt;=0.66,"Medium","Low"))</f>
        <v>High</v>
      </c>
      <c r="M1348" s="0" t="n">
        <v>-5.52</v>
      </c>
      <c r="N1348" s="3" t="n">
        <v>0.0363</v>
      </c>
      <c r="O1348" s="3" t="n">
        <v>0.0234</v>
      </c>
      <c r="P1348" s="4" t="n">
        <v>0.000157</v>
      </c>
      <c r="Q1348" s="3" t="n">
        <v>0.143</v>
      </c>
      <c r="R1348" s="3" t="n">
        <v>0.686</v>
      </c>
      <c r="S1348" s="3" t="str">
        <f aca="false">IF(R1348 &gt;= 0.5, "Positive", "Negative")</f>
        <v>Positive</v>
      </c>
      <c r="T1348" s="2" t="n">
        <v>125.985</v>
      </c>
      <c r="U1348" s="0" t="s">
        <v>53</v>
      </c>
    </row>
    <row r="1349" customFormat="false" ht="14.25" hidden="false" customHeight="false" outlineLevel="0" collapsed="false">
      <c r="A1349" s="0" t="n">
        <v>795</v>
      </c>
      <c r="B1349" s="0" t="str">
        <f aca="false">_xlfn.xlookup(A1349, artists!A$2:A$836, artists!B$2:B$836)</f>
        <v>Regard</v>
      </c>
      <c r="C1349" s="1" t="s">
        <v>1379</v>
      </c>
      <c r="D1349" s="2" t="n">
        <v>157605</v>
      </c>
      <c r="E1349" s="2" t="n">
        <f aca="false">D1349/1000</f>
        <v>157.605</v>
      </c>
      <c r="F1349" s="10" t="b">
        <f aca="false">FALSE()</f>
        <v>0</v>
      </c>
      <c r="G1349" s="0" t="n">
        <v>22</v>
      </c>
      <c r="H1349" s="0" t="n">
        <f aca="false">_xlfn.xlookup(G1349, years!A$2:A$836, years!B$2:B$836)</f>
        <v>2019</v>
      </c>
      <c r="I1349" s="2" t="n">
        <v>81</v>
      </c>
      <c r="J1349" s="0" t="n">
        <v>0.88</v>
      </c>
      <c r="K1349" s="0" t="n">
        <v>0.751</v>
      </c>
      <c r="L1349" s="3" t="str">
        <f aca="false">IF(K1349&gt;0.66,"High",IF(K1349&gt;0.33&amp;K1349&lt;=0.66,"Medium","Low"))</f>
        <v>High</v>
      </c>
      <c r="M1349" s="0" t="n">
        <v>-4.258</v>
      </c>
      <c r="N1349" s="3" t="n">
        <v>0.0874</v>
      </c>
      <c r="O1349" s="3" t="n">
        <v>0.177</v>
      </c>
      <c r="P1349" s="4" t="n">
        <v>6.43E-005</v>
      </c>
      <c r="Q1349" s="3" t="n">
        <v>0.106</v>
      </c>
      <c r="R1349" s="3" t="n">
        <v>0.884</v>
      </c>
      <c r="S1349" s="3" t="str">
        <f aca="false">IF(R1349 &gt;= 0.5, "Positive", "Negative")</f>
        <v>Positive</v>
      </c>
      <c r="T1349" s="2" t="n">
        <v>117.948</v>
      </c>
      <c r="U1349" s="0" t="s">
        <v>22</v>
      </c>
    </row>
    <row r="1350" customFormat="false" ht="14.25" hidden="false" customHeight="false" outlineLevel="0" collapsed="false">
      <c r="A1350" s="0" t="n">
        <v>81</v>
      </c>
      <c r="B1350" s="0" t="str">
        <f aca="false">_xlfn.xlookup(A1350, artists!A$2:A$836, artists!B$2:B$836)</f>
        <v>Nelly</v>
      </c>
      <c r="C1350" s="1" t="s">
        <v>1380</v>
      </c>
      <c r="D1350" s="2" t="n">
        <v>291781</v>
      </c>
      <c r="E1350" s="2" t="n">
        <f aca="false">D1350/1000</f>
        <v>291.781</v>
      </c>
      <c r="F1350" s="10" t="b">
        <f aca="false">TRUE()</f>
        <v>1</v>
      </c>
      <c r="G1350" s="0" t="n">
        <v>3</v>
      </c>
      <c r="H1350" s="0" t="n">
        <f aca="false">_xlfn.xlookup(G1350, years!A$2:A$836, years!B$2:B$836)</f>
        <v>2000</v>
      </c>
      <c r="I1350" s="2" t="n">
        <v>75</v>
      </c>
      <c r="J1350" s="0" t="n">
        <v>0.85</v>
      </c>
      <c r="K1350" s="0" t="n">
        <v>0.7</v>
      </c>
      <c r="L1350" s="3" t="str">
        <f aca="false">IF(K1350&gt;0.66,"High",IF(K1350&gt;0.33&amp;K1350&lt;=0.66,"Medium","Low"))</f>
        <v>High</v>
      </c>
      <c r="M1350" s="0" t="n">
        <v>-6.49</v>
      </c>
      <c r="N1350" s="3" t="n">
        <v>0.0478</v>
      </c>
      <c r="O1350" s="3" t="n">
        <v>0.0616</v>
      </c>
      <c r="P1350" s="4" t="n">
        <v>1.8E-006</v>
      </c>
      <c r="Q1350" s="3" t="n">
        <v>0.244</v>
      </c>
      <c r="R1350" s="3" t="n">
        <v>0.722</v>
      </c>
      <c r="S1350" s="3" t="str">
        <f aca="false">IF(R1350 &gt;= 0.5, "Positive", "Negative")</f>
        <v>Positive</v>
      </c>
      <c r="T1350" s="2" t="n">
        <v>101.875</v>
      </c>
      <c r="U1350" s="0" t="s">
        <v>31</v>
      </c>
    </row>
    <row r="1351" customFormat="false" ht="14.25" hidden="false" customHeight="false" outlineLevel="0" collapsed="false">
      <c r="A1351" s="0" t="n">
        <v>320</v>
      </c>
      <c r="B1351" s="0" t="str">
        <f aca="false">_xlfn.xlookup(A1351, artists!A$2:A$836, artists!B$2:B$836)</f>
        <v>Chamillionaire</v>
      </c>
      <c r="C1351" s="1" t="s">
        <v>1381</v>
      </c>
      <c r="D1351" s="2" t="n">
        <v>303053</v>
      </c>
      <c r="E1351" s="2" t="n">
        <f aca="false">D1351/1000</f>
        <v>303.053</v>
      </c>
      <c r="F1351" s="10" t="b">
        <f aca="false">TRUE()</f>
        <v>1</v>
      </c>
      <c r="G1351" s="0" t="n">
        <v>8</v>
      </c>
      <c r="H1351" s="0" t="n">
        <f aca="false">_xlfn.xlookup(G1351, years!A$2:A$836, years!B$2:B$836)</f>
        <v>2005</v>
      </c>
      <c r="I1351" s="2" t="n">
        <v>71</v>
      </c>
      <c r="J1351" s="0" t="n">
        <v>0.787</v>
      </c>
      <c r="K1351" s="0" t="n">
        <v>0.799</v>
      </c>
      <c r="L1351" s="3" t="str">
        <f aca="false">IF(K1351&gt;0.66,"High",IF(K1351&gt;0.33&amp;K1351&lt;=0.66,"Medium","Low"))</f>
        <v>High</v>
      </c>
      <c r="M1351" s="0" t="n">
        <v>-4.68</v>
      </c>
      <c r="N1351" s="3" t="n">
        <v>0.0993</v>
      </c>
      <c r="O1351" s="3" t="n">
        <v>0.189</v>
      </c>
      <c r="P1351" s="4" t="n">
        <v>0</v>
      </c>
      <c r="Q1351" s="3" t="n">
        <v>0.3</v>
      </c>
      <c r="R1351" s="3" t="n">
        <v>0.835</v>
      </c>
      <c r="S1351" s="3" t="str">
        <f aca="false">IF(R1351 &gt;= 0.5, "Positive", "Negative")</f>
        <v>Positive</v>
      </c>
      <c r="T1351" s="2" t="n">
        <v>143.052</v>
      </c>
      <c r="U1351" s="0" t="s">
        <v>24</v>
      </c>
    </row>
    <row r="1352" customFormat="false" ht="14.25" hidden="false" customHeight="false" outlineLevel="0" collapsed="false">
      <c r="A1352" s="0" t="n">
        <v>458</v>
      </c>
      <c r="B1352" s="0" t="str">
        <f aca="false">_xlfn.xlookup(A1352, artists!A$2:A$836, artists!B$2:B$836)</f>
        <v>Jason Derulo</v>
      </c>
      <c r="C1352" s="1" t="s">
        <v>1382</v>
      </c>
      <c r="D1352" s="2" t="n">
        <v>215746</v>
      </c>
      <c r="E1352" s="2" t="n">
        <f aca="false">D1352/1000</f>
        <v>215.746</v>
      </c>
      <c r="F1352" s="10" t="b">
        <f aca="false">FALSE()</f>
        <v>0</v>
      </c>
      <c r="G1352" s="0" t="n">
        <v>13</v>
      </c>
      <c r="H1352" s="0" t="n">
        <f aca="false">_xlfn.xlookup(G1352, years!A$2:A$836, years!B$2:B$836)</f>
        <v>2010</v>
      </c>
      <c r="I1352" s="2" t="n">
        <v>66</v>
      </c>
      <c r="J1352" s="0" t="n">
        <v>0.442</v>
      </c>
      <c r="K1352" s="0" t="n">
        <v>0.83</v>
      </c>
      <c r="L1352" s="3" t="str">
        <f aca="false">IF(K1352&gt;0.66,"High",IF(K1352&gt;0.33&amp;K1352&lt;=0.66,"Medium","Low"))</f>
        <v>High</v>
      </c>
      <c r="M1352" s="0" t="n">
        <v>-4.02</v>
      </c>
      <c r="N1352" s="3" t="n">
        <v>0.146</v>
      </c>
      <c r="O1352" s="3" t="n">
        <v>0.128</v>
      </c>
      <c r="P1352" s="4" t="n">
        <v>0</v>
      </c>
      <c r="Q1352" s="3" t="n">
        <v>0.129</v>
      </c>
      <c r="R1352" s="3" t="n">
        <v>0.578</v>
      </c>
      <c r="S1352" s="3" t="str">
        <f aca="false">IF(R1352 &gt;= 0.5, "Positive", "Negative")</f>
        <v>Positive</v>
      </c>
      <c r="T1352" s="2" t="n">
        <v>89.338</v>
      </c>
      <c r="U1352" s="0" t="s">
        <v>24</v>
      </c>
    </row>
    <row r="1353" customFormat="false" ht="14.25" hidden="false" customHeight="false" outlineLevel="0" collapsed="false">
      <c r="A1353" s="0" t="n">
        <v>402</v>
      </c>
      <c r="B1353" s="0" t="str">
        <f aca="false">_xlfn.xlookup(A1353, artists!A$2:A$836, artists!B$2:B$836)</f>
        <v>Lil Wayne</v>
      </c>
      <c r="C1353" s="1" t="s">
        <v>1383</v>
      </c>
      <c r="D1353" s="2" t="n">
        <v>271946</v>
      </c>
      <c r="E1353" s="2" t="n">
        <f aca="false">D1353/1000</f>
        <v>271.946</v>
      </c>
      <c r="F1353" s="10" t="b">
        <f aca="false">TRUE()</f>
        <v>1</v>
      </c>
      <c r="G1353" s="0" t="n">
        <v>13</v>
      </c>
      <c r="H1353" s="0" t="n">
        <f aca="false">_xlfn.xlookup(G1353, years!A$2:A$836, years!B$2:B$836)</f>
        <v>2010</v>
      </c>
      <c r="I1353" s="2" t="n">
        <v>68</v>
      </c>
      <c r="J1353" s="0" t="n">
        <v>0.376</v>
      </c>
      <c r="K1353" s="0" t="n">
        <v>0.841</v>
      </c>
      <c r="L1353" s="3" t="str">
        <f aca="false">IF(K1353&gt;0.66,"High",IF(K1353&gt;0.33&amp;K1353&lt;=0.66,"Medium","Low"))</f>
        <v>High</v>
      </c>
      <c r="M1353" s="0" t="n">
        <v>-4.348</v>
      </c>
      <c r="N1353" s="3" t="n">
        <v>0.356</v>
      </c>
      <c r="O1353" s="3" t="n">
        <v>0.0435</v>
      </c>
      <c r="P1353" s="4" t="n">
        <v>0</v>
      </c>
      <c r="Q1353" s="3" t="n">
        <v>0.578</v>
      </c>
      <c r="R1353" s="3" t="n">
        <v>0.463</v>
      </c>
      <c r="S1353" s="3" t="str">
        <f aca="false">IF(R1353 &gt;= 0.5, "Positive", "Negative")</f>
        <v>Negative</v>
      </c>
      <c r="T1353" s="2" t="n">
        <v>76.052</v>
      </c>
      <c r="U1353" s="0" t="s">
        <v>24</v>
      </c>
    </row>
    <row r="1354" customFormat="false" ht="14.25" hidden="false" customHeight="false" outlineLevel="0" collapsed="false">
      <c r="A1354" s="0" t="n">
        <v>245</v>
      </c>
      <c r="B1354" s="0" t="str">
        <f aca="false">_xlfn.xlookup(A1354, artists!A$2:A$836, artists!B$2:B$836)</f>
        <v>Akon</v>
      </c>
      <c r="C1354" s="1" t="s">
        <v>1384</v>
      </c>
      <c r="D1354" s="2" t="n">
        <v>240746</v>
      </c>
      <c r="E1354" s="2" t="n">
        <f aca="false">D1354/1000</f>
        <v>240.746</v>
      </c>
      <c r="F1354" s="10" t="b">
        <f aca="false">FALSE()</f>
        <v>0</v>
      </c>
      <c r="G1354" s="0" t="n">
        <v>11</v>
      </c>
      <c r="H1354" s="0" t="n">
        <f aca="false">_xlfn.xlookup(G1354, years!A$2:A$836, years!B$2:B$836)</f>
        <v>2008</v>
      </c>
      <c r="I1354" s="2" t="n">
        <v>69</v>
      </c>
      <c r="J1354" s="0" t="n">
        <v>0.83</v>
      </c>
      <c r="K1354" s="0" t="n">
        <v>0.857</v>
      </c>
      <c r="L1354" s="3" t="str">
        <f aca="false">IF(K1354&gt;0.66,"High",IF(K1354&gt;0.33&amp;K1354&lt;=0.66,"Medium","Low"))</f>
        <v>High</v>
      </c>
      <c r="M1354" s="0" t="n">
        <v>-4.194</v>
      </c>
      <c r="N1354" s="3" t="n">
        <v>0.152</v>
      </c>
      <c r="O1354" s="3" t="n">
        <v>0.262</v>
      </c>
      <c r="P1354" s="4" t="n">
        <v>0</v>
      </c>
      <c r="Q1354" s="3" t="n">
        <v>0.413</v>
      </c>
      <c r="R1354" s="3" t="n">
        <v>0.607</v>
      </c>
      <c r="S1354" s="3" t="str">
        <f aca="false">IF(R1354 &gt;= 0.5, "Positive", "Negative")</f>
        <v>Positive</v>
      </c>
      <c r="T1354" s="2" t="n">
        <v>137.982</v>
      </c>
      <c r="U1354" s="0" t="s">
        <v>39</v>
      </c>
    </row>
    <row r="1355" customFormat="false" ht="14.25" hidden="false" customHeight="false" outlineLevel="0" collapsed="false">
      <c r="A1355" s="0" t="n">
        <v>397</v>
      </c>
      <c r="B1355" s="0" t="str">
        <f aca="false">_xlfn.xlookup(A1355, artists!A$2:A$836, artists!B$2:B$836)</f>
        <v>Flo Rida</v>
      </c>
      <c r="C1355" s="1" t="s">
        <v>1385</v>
      </c>
      <c r="D1355" s="2" t="n">
        <v>204640</v>
      </c>
      <c r="E1355" s="2" t="n">
        <f aca="false">D1355/1000</f>
        <v>204.64</v>
      </c>
      <c r="F1355" s="10" t="b">
        <f aca="false">FALSE()</f>
        <v>0</v>
      </c>
      <c r="G1355" s="0" t="n">
        <v>12</v>
      </c>
      <c r="H1355" s="0" t="n">
        <f aca="false">_xlfn.xlookup(G1355, years!A$2:A$836, years!B$2:B$836)</f>
        <v>2009</v>
      </c>
      <c r="I1355" s="2" t="n">
        <v>74</v>
      </c>
      <c r="J1355" s="0" t="n">
        <v>0.72</v>
      </c>
      <c r="K1355" s="0" t="n">
        <v>0.672</v>
      </c>
      <c r="L1355" s="3" t="str">
        <f aca="false">IF(K1355&gt;0.66,"High",IF(K1355&gt;0.33&amp;K1355&lt;=0.66,"Medium","Low"))</f>
        <v>High</v>
      </c>
      <c r="M1355" s="0" t="n">
        <v>-6.852</v>
      </c>
      <c r="N1355" s="3" t="n">
        <v>0.0551</v>
      </c>
      <c r="O1355" s="3" t="n">
        <v>0.009</v>
      </c>
      <c r="P1355" s="4" t="n">
        <v>0</v>
      </c>
      <c r="Q1355" s="3" t="n">
        <v>0.232</v>
      </c>
      <c r="R1355" s="3" t="n">
        <v>0.705</v>
      </c>
      <c r="S1355" s="3" t="str">
        <f aca="false">IF(R1355 &gt;= 0.5, "Positive", "Negative")</f>
        <v>Positive</v>
      </c>
      <c r="T1355" s="2" t="n">
        <v>124.986</v>
      </c>
      <c r="U1355" s="0" t="s">
        <v>24</v>
      </c>
    </row>
    <row r="1356" customFormat="false" ht="14.25" hidden="false" customHeight="false" outlineLevel="0" collapsed="false">
      <c r="A1356" s="0" t="n">
        <v>213</v>
      </c>
      <c r="B1356" s="0" t="str">
        <f aca="false">_xlfn.xlookup(A1356, artists!A$2:A$836, artists!B$2:B$836)</f>
        <v>Chingy</v>
      </c>
      <c r="C1356" s="1" t="s">
        <v>1386</v>
      </c>
      <c r="D1356" s="2" t="n">
        <v>250746</v>
      </c>
      <c r="E1356" s="2" t="n">
        <f aca="false">D1356/1000</f>
        <v>250.746</v>
      </c>
      <c r="F1356" s="10" t="b">
        <f aca="false">TRUE()</f>
        <v>1</v>
      </c>
      <c r="G1356" s="0" t="n">
        <v>6</v>
      </c>
      <c r="H1356" s="0" t="n">
        <f aca="false">_xlfn.xlookup(G1356, years!A$2:A$836, years!B$2:B$836)</f>
        <v>2003</v>
      </c>
      <c r="I1356" s="2" t="n">
        <v>69</v>
      </c>
      <c r="J1356" s="0" t="n">
        <v>0.866</v>
      </c>
      <c r="K1356" s="0" t="n">
        <v>0.749</v>
      </c>
      <c r="L1356" s="3" t="str">
        <f aca="false">IF(K1356&gt;0.66,"High",IF(K1356&gt;0.33&amp;K1356&lt;=0.66,"Medium","Low"))</f>
        <v>High</v>
      </c>
      <c r="M1356" s="0" t="n">
        <v>-3.977</v>
      </c>
      <c r="N1356" s="3" t="n">
        <v>0.253</v>
      </c>
      <c r="O1356" s="3" t="n">
        <v>0.15</v>
      </c>
      <c r="P1356" s="4" t="n">
        <v>0</v>
      </c>
      <c r="Q1356" s="3" t="n">
        <v>0.0614</v>
      </c>
      <c r="R1356" s="3" t="n">
        <v>0.891</v>
      </c>
      <c r="S1356" s="3" t="str">
        <f aca="false">IF(R1356 &gt;= 0.5, "Positive", "Negative")</f>
        <v>Positive</v>
      </c>
      <c r="T1356" s="2" t="n">
        <v>92.074</v>
      </c>
      <c r="U1356" s="0" t="s">
        <v>31</v>
      </c>
    </row>
    <row r="1357" customFormat="false" ht="14.25" hidden="false" customHeight="false" outlineLevel="0" collapsed="false">
      <c r="A1357" s="0" t="n">
        <v>639</v>
      </c>
      <c r="B1357" s="0" t="str">
        <f aca="false">_xlfn.xlookup(A1357, artists!A$2:A$836, artists!B$2:B$836)</f>
        <v>Vance Joy</v>
      </c>
      <c r="C1357" s="1" t="s">
        <v>1387</v>
      </c>
      <c r="D1357" s="2" t="n">
        <v>204280</v>
      </c>
      <c r="E1357" s="2" t="n">
        <f aca="false">D1357/1000</f>
        <v>204.28</v>
      </c>
      <c r="F1357" s="10" t="b">
        <f aca="false">FALSE()</f>
        <v>0</v>
      </c>
      <c r="G1357" s="0" t="n">
        <v>17</v>
      </c>
      <c r="H1357" s="0" t="n">
        <f aca="false">_xlfn.xlookup(G1357, years!A$2:A$836, years!B$2:B$836)</f>
        <v>2014</v>
      </c>
      <c r="I1357" s="2" t="n">
        <v>80</v>
      </c>
      <c r="J1357" s="0" t="n">
        <v>0.484</v>
      </c>
      <c r="K1357" s="0" t="n">
        <v>0.731</v>
      </c>
      <c r="L1357" s="3" t="str">
        <f aca="false">IF(K1357&gt;0.66,"High",IF(K1357&gt;0.33&amp;K1357&lt;=0.66,"Medium","Low"))</f>
        <v>High</v>
      </c>
      <c r="M1357" s="0" t="n">
        <v>-6.694</v>
      </c>
      <c r="N1357" s="3" t="n">
        <v>0.0379</v>
      </c>
      <c r="O1357" s="3" t="n">
        <v>0.431</v>
      </c>
      <c r="P1357" s="4" t="n">
        <v>0</v>
      </c>
      <c r="Q1357" s="3" t="n">
        <v>0.151</v>
      </c>
      <c r="R1357" s="3" t="n">
        <v>0.51</v>
      </c>
      <c r="S1357" s="3" t="str">
        <f aca="false">IF(R1357 &gt;= 0.5, "Positive", "Negative")</f>
        <v>Positive</v>
      </c>
      <c r="T1357" s="2" t="n">
        <v>101.654</v>
      </c>
      <c r="U1357" s="0" t="s">
        <v>35</v>
      </c>
    </row>
    <row r="1358" customFormat="false" ht="14.25" hidden="false" customHeight="false" outlineLevel="0" collapsed="false">
      <c r="A1358" s="0" t="n">
        <v>76</v>
      </c>
      <c r="B1358" s="0" t="str">
        <f aca="false">_xlfn.xlookup(A1358, artists!A$2:A$836, artists!B$2:B$836)</f>
        <v>Gabrielle</v>
      </c>
      <c r="C1358" s="1" t="s">
        <v>1388</v>
      </c>
      <c r="D1358" s="2" t="n">
        <v>219093</v>
      </c>
      <c r="E1358" s="2" t="n">
        <f aca="false">D1358/1000</f>
        <v>219.093</v>
      </c>
      <c r="F1358" s="10" t="b">
        <f aca="false">FALSE()</f>
        <v>0</v>
      </c>
      <c r="G1358" s="0" t="n">
        <v>4</v>
      </c>
      <c r="H1358" s="0" t="n">
        <f aca="false">_xlfn.xlookup(G1358, years!A$2:A$836, years!B$2:B$836)</f>
        <v>2001</v>
      </c>
      <c r="I1358" s="2" t="n">
        <v>60</v>
      </c>
      <c r="J1358" s="0" t="n">
        <v>0.558</v>
      </c>
      <c r="K1358" s="0" t="n">
        <v>0.481</v>
      </c>
      <c r="L1358" s="3" t="str">
        <f aca="false">IF(K1358&gt;0.66,"High",IF(K1358&gt;0.33&amp;K1358&lt;=0.66,"Medium","Low"))</f>
        <v>Low</v>
      </c>
      <c r="M1358" s="0" t="n">
        <v>-9.487</v>
      </c>
      <c r="N1358" s="3" t="n">
        <v>0.026</v>
      </c>
      <c r="O1358" s="3" t="n">
        <v>0.315</v>
      </c>
      <c r="P1358" s="4" t="n">
        <v>8.83E-006</v>
      </c>
      <c r="Q1358" s="3" t="n">
        <v>0.09</v>
      </c>
      <c r="R1358" s="3" t="n">
        <v>0.631</v>
      </c>
      <c r="S1358" s="3" t="str">
        <f aca="false">IF(R1358 &gt;= 0.5, "Positive", "Negative")</f>
        <v>Positive</v>
      </c>
      <c r="T1358" s="2" t="n">
        <v>144.673</v>
      </c>
      <c r="U1358" s="0" t="s">
        <v>33</v>
      </c>
    </row>
    <row r="1359" customFormat="false" ht="14.25" hidden="false" customHeight="false" outlineLevel="0" collapsed="false">
      <c r="A1359" s="0" t="n">
        <v>680</v>
      </c>
      <c r="B1359" s="0" t="str">
        <f aca="false">_xlfn.xlookup(A1359, artists!A$2:A$836, artists!B$2:B$836)</f>
        <v>Jonas Blue</v>
      </c>
      <c r="C1359" s="1" t="s">
        <v>1388</v>
      </c>
      <c r="D1359" s="2" t="n">
        <v>194407</v>
      </c>
      <c r="E1359" s="2" t="n">
        <f aca="false">D1359/1000</f>
        <v>194.407</v>
      </c>
      <c r="F1359" s="10" t="b">
        <f aca="false">FALSE()</f>
        <v>0</v>
      </c>
      <c r="G1359" s="0" t="n">
        <v>21</v>
      </c>
      <c r="H1359" s="0" t="n">
        <f aca="false">_xlfn.xlookup(G1359, years!A$2:A$836, years!B$2:B$836)</f>
        <v>2018</v>
      </c>
      <c r="I1359" s="2" t="n">
        <v>70</v>
      </c>
      <c r="J1359" s="0" t="n">
        <v>0.687</v>
      </c>
      <c r="K1359" s="0" t="n">
        <v>0.785</v>
      </c>
      <c r="L1359" s="3" t="str">
        <f aca="false">IF(K1359&gt;0.66,"High",IF(K1359&gt;0.33&amp;K1359&lt;=0.66,"Medium","Low"))</f>
        <v>High</v>
      </c>
      <c r="M1359" s="0" t="n">
        <v>-4.65</v>
      </c>
      <c r="N1359" s="3" t="n">
        <v>0.0333</v>
      </c>
      <c r="O1359" s="3" t="n">
        <v>0.327</v>
      </c>
      <c r="P1359" s="4" t="n">
        <v>0</v>
      </c>
      <c r="Q1359" s="3" t="n">
        <v>0.203</v>
      </c>
      <c r="R1359" s="3" t="n">
        <v>0.655</v>
      </c>
      <c r="S1359" s="3" t="str">
        <f aca="false">IF(R1359 &gt;= 0.5, "Positive", "Negative")</f>
        <v>Positive</v>
      </c>
      <c r="T1359" s="2" t="n">
        <v>106.046</v>
      </c>
      <c r="U1359" s="0" t="s">
        <v>22</v>
      </c>
    </row>
    <row r="1360" customFormat="false" ht="14.25" hidden="false" customHeight="false" outlineLevel="0" collapsed="false">
      <c r="A1360" s="0" t="n">
        <v>56</v>
      </c>
      <c r="B1360" s="0" t="str">
        <f aca="false">_xlfn.xlookup(A1360, artists!A$2:A$836, artists!B$2:B$836)</f>
        <v>Craig David</v>
      </c>
      <c r="C1360" s="1" t="s">
        <v>1389</v>
      </c>
      <c r="D1360" s="2" t="n">
        <v>287226</v>
      </c>
      <c r="E1360" s="2" t="n">
        <f aca="false">D1360/1000</f>
        <v>287.226</v>
      </c>
      <c r="F1360" s="10" t="b">
        <f aca="false">FALSE()</f>
        <v>0</v>
      </c>
      <c r="G1360" s="0" t="n">
        <v>5</v>
      </c>
      <c r="H1360" s="0" t="n">
        <f aca="false">_xlfn.xlookup(G1360, years!A$2:A$836, years!B$2:B$836)</f>
        <v>2002</v>
      </c>
      <c r="I1360" s="2" t="n">
        <v>59</v>
      </c>
      <c r="J1360" s="0" t="n">
        <v>0.405</v>
      </c>
      <c r="K1360" s="0" t="n">
        <v>0.589</v>
      </c>
      <c r="L1360" s="3" t="str">
        <f aca="false">IF(K1360&gt;0.66,"High",IF(K1360&gt;0.33&amp;K1360&lt;=0.66,"Medium","Low"))</f>
        <v>Low</v>
      </c>
      <c r="M1360" s="0" t="n">
        <v>-7.51</v>
      </c>
      <c r="N1360" s="3" t="n">
        <v>0.0586</v>
      </c>
      <c r="O1360" s="3" t="n">
        <v>0.252</v>
      </c>
      <c r="P1360" s="4" t="n">
        <v>0</v>
      </c>
      <c r="Q1360" s="3" t="n">
        <v>0.661</v>
      </c>
      <c r="R1360" s="3" t="n">
        <v>0.808</v>
      </c>
      <c r="S1360" s="3" t="str">
        <f aca="false">IF(R1360 &gt;= 0.5, "Positive", "Negative")</f>
        <v>Positive</v>
      </c>
      <c r="T1360" s="2" t="n">
        <v>83.373</v>
      </c>
      <c r="U1360" s="0" t="s">
        <v>31</v>
      </c>
    </row>
    <row r="1361" customFormat="false" ht="14.25" hidden="false" customHeight="false" outlineLevel="0" collapsed="false">
      <c r="A1361" s="0" t="n">
        <v>698</v>
      </c>
      <c r="B1361" s="0" t="str">
        <f aca="false">_xlfn.xlookup(A1361, artists!A$2:A$836, artists!B$2:B$836)</f>
        <v>Anne-Marie</v>
      </c>
      <c r="C1361" s="1" t="s">
        <v>1390</v>
      </c>
      <c r="D1361" s="2" t="n">
        <v>200104</v>
      </c>
      <c r="E1361" s="2" t="n">
        <f aca="false">D1361/1000</f>
        <v>200.104</v>
      </c>
      <c r="F1361" s="10" t="b">
        <f aca="false">FALSE()</f>
        <v>0</v>
      </c>
      <c r="G1361" s="0" t="n">
        <v>20</v>
      </c>
      <c r="H1361" s="0" t="n">
        <f aca="false">_xlfn.xlookup(G1361, years!A$2:A$836, years!B$2:B$836)</f>
        <v>2017</v>
      </c>
      <c r="I1361" s="2" t="n">
        <v>57</v>
      </c>
      <c r="J1361" s="0" t="n">
        <v>0.698</v>
      </c>
      <c r="K1361" s="0" t="n">
        <v>0.882</v>
      </c>
      <c r="L1361" s="3" t="str">
        <f aca="false">IF(K1361&gt;0.66,"High",IF(K1361&gt;0.33&amp;K1361&lt;=0.66,"Medium","Low"))</f>
        <v>High</v>
      </c>
      <c r="M1361" s="0" t="n">
        <v>-3.078</v>
      </c>
      <c r="N1361" s="3" t="n">
        <v>0.0863</v>
      </c>
      <c r="O1361" s="3" t="n">
        <v>0.127</v>
      </c>
      <c r="P1361" s="4" t="n">
        <v>0</v>
      </c>
      <c r="Q1361" s="3" t="n">
        <v>0.15</v>
      </c>
      <c r="R1361" s="3" t="n">
        <v>0.445</v>
      </c>
      <c r="S1361" s="3" t="str">
        <f aca="false">IF(R1361 &gt;= 0.5, "Positive", "Negative")</f>
        <v>Negative</v>
      </c>
      <c r="T1361" s="2" t="n">
        <v>106.083</v>
      </c>
      <c r="U1361" s="0" t="s">
        <v>22</v>
      </c>
    </row>
    <row r="1362" customFormat="false" ht="14.25" hidden="false" customHeight="false" outlineLevel="0" collapsed="false">
      <c r="A1362" s="0" t="n">
        <v>479</v>
      </c>
      <c r="B1362" s="0" t="str">
        <f aca="false">_xlfn.xlookup(A1362, artists!A$2:A$836, artists!B$2:B$836)</f>
        <v>Sidney Samson</v>
      </c>
      <c r="C1362" s="1" t="s">
        <v>1391</v>
      </c>
      <c r="D1362" s="2" t="n">
        <v>320348</v>
      </c>
      <c r="E1362" s="2" t="n">
        <f aca="false">D1362/1000</f>
        <v>320.348</v>
      </c>
      <c r="F1362" s="10" t="b">
        <f aca="false">TRUE()</f>
        <v>1</v>
      </c>
      <c r="G1362" s="0" t="n">
        <v>12</v>
      </c>
      <c r="H1362" s="0" t="n">
        <f aca="false">_xlfn.xlookup(G1362, years!A$2:A$836, years!B$2:B$836)</f>
        <v>2009</v>
      </c>
      <c r="I1362" s="2" t="n">
        <v>47</v>
      </c>
      <c r="J1362" s="0" t="n">
        <v>0.804</v>
      </c>
      <c r="K1362" s="0" t="n">
        <v>0.976</v>
      </c>
      <c r="L1362" s="3" t="str">
        <f aca="false">IF(K1362&gt;0.66,"High",IF(K1362&gt;0.33&amp;K1362&lt;=0.66,"Medium","Low"))</f>
        <v>High</v>
      </c>
      <c r="M1362" s="0" t="n">
        <v>-2.458</v>
      </c>
      <c r="N1362" s="3" t="n">
        <v>0.0445</v>
      </c>
      <c r="O1362" s="3" t="n">
        <v>0.00023</v>
      </c>
      <c r="P1362" s="4" t="n">
        <v>0.894</v>
      </c>
      <c r="Q1362" s="3" t="n">
        <v>0.125</v>
      </c>
      <c r="R1362" s="3" t="n">
        <v>0.237</v>
      </c>
      <c r="S1362" s="3" t="str">
        <f aca="false">IF(R1362 &gt;= 0.5, "Positive", "Negative")</f>
        <v>Negative</v>
      </c>
      <c r="T1362" s="2" t="n">
        <v>125.997</v>
      </c>
      <c r="U1362" s="0" t="s">
        <v>48</v>
      </c>
    </row>
    <row r="1363" customFormat="false" ht="14.25" hidden="false" customHeight="false" outlineLevel="0" collapsed="false">
      <c r="A1363" s="0" t="n">
        <v>398</v>
      </c>
      <c r="B1363" s="0" t="str">
        <f aca="false">_xlfn.xlookup(A1363, artists!A$2:A$836, artists!B$2:B$836)</f>
        <v>Katy Perry</v>
      </c>
      <c r="C1363" s="1" t="s">
        <v>1392</v>
      </c>
      <c r="D1363" s="2" t="n">
        <v>223546</v>
      </c>
      <c r="E1363" s="2" t="n">
        <f aca="false">D1363/1000</f>
        <v>223.546</v>
      </c>
      <c r="F1363" s="10" t="b">
        <f aca="false">FALSE()</f>
        <v>0</v>
      </c>
      <c r="G1363" s="0" t="n">
        <v>16</v>
      </c>
      <c r="H1363" s="0" t="n">
        <f aca="false">_xlfn.xlookup(G1363, years!A$2:A$836, years!B$2:B$836)</f>
        <v>2013</v>
      </c>
      <c r="I1363" s="2" t="n">
        <v>73</v>
      </c>
      <c r="J1363" s="0" t="n">
        <v>0.554</v>
      </c>
      <c r="K1363" s="0" t="n">
        <v>0.772</v>
      </c>
      <c r="L1363" s="3" t="str">
        <f aca="false">IF(K1363&gt;0.66,"High",IF(K1363&gt;0.33&amp;K1363&lt;=0.66,"Medium","Low"))</f>
        <v>High</v>
      </c>
      <c r="M1363" s="0" t="n">
        <v>-4.821</v>
      </c>
      <c r="N1363" s="3" t="n">
        <v>0.0418</v>
      </c>
      <c r="O1363" s="3" t="n">
        <v>0.00487</v>
      </c>
      <c r="P1363" s="4" t="n">
        <v>6.6E-006</v>
      </c>
      <c r="Q1363" s="3" t="n">
        <v>0.354</v>
      </c>
      <c r="R1363" s="3" t="n">
        <v>0.455</v>
      </c>
      <c r="S1363" s="3" t="str">
        <f aca="false">IF(R1363 &gt;= 0.5, "Positive", "Negative")</f>
        <v>Negative</v>
      </c>
      <c r="T1363" s="2" t="n">
        <v>179.984</v>
      </c>
      <c r="U1363" s="0" t="s">
        <v>39</v>
      </c>
    </row>
    <row r="1364" customFormat="false" ht="14.25" hidden="false" customHeight="false" outlineLevel="0" collapsed="false">
      <c r="A1364" s="0" t="n">
        <v>757</v>
      </c>
      <c r="B1364" s="0" t="str">
        <f aca="false">_xlfn.xlookup(A1364, artists!A$2:A$836, artists!B$2:B$836)</f>
        <v>Juice WRLD</v>
      </c>
      <c r="C1364" s="1" t="s">
        <v>1393</v>
      </c>
      <c r="D1364" s="2" t="n">
        <v>240050</v>
      </c>
      <c r="E1364" s="2" t="n">
        <f aca="false">D1364/1000</f>
        <v>240.05</v>
      </c>
      <c r="F1364" s="10" t="b">
        <f aca="false">TRUE()</f>
        <v>1</v>
      </c>
      <c r="G1364" s="0" t="n">
        <v>22</v>
      </c>
      <c r="H1364" s="0" t="n">
        <f aca="false">_xlfn.xlookup(G1364, years!A$2:A$836, years!B$2:B$836)</f>
        <v>2019</v>
      </c>
      <c r="I1364" s="2" t="n">
        <v>53</v>
      </c>
      <c r="J1364" s="0" t="n">
        <v>0.685</v>
      </c>
      <c r="K1364" s="0" t="n">
        <v>0.692</v>
      </c>
      <c r="L1364" s="3" t="str">
        <f aca="false">IF(K1364&gt;0.66,"High",IF(K1364&gt;0.33&amp;K1364&lt;=0.66,"Medium","Low"))</f>
        <v>High</v>
      </c>
      <c r="M1364" s="0" t="n">
        <v>-5.122</v>
      </c>
      <c r="N1364" s="3" t="n">
        <v>0.0457</v>
      </c>
      <c r="O1364" s="3" t="n">
        <v>0.328</v>
      </c>
      <c r="P1364" s="4" t="n">
        <v>0</v>
      </c>
      <c r="Q1364" s="3" t="n">
        <v>0.153</v>
      </c>
      <c r="R1364" s="3" t="n">
        <v>0.578</v>
      </c>
      <c r="S1364" s="3" t="str">
        <f aca="false">IF(R1364 &gt;= 0.5, "Positive", "Negative")</f>
        <v>Positive</v>
      </c>
      <c r="T1364" s="2" t="n">
        <v>159.966</v>
      </c>
      <c r="U1364" s="0" t="s">
        <v>29</v>
      </c>
    </row>
    <row r="1365" customFormat="false" ht="14.25" hidden="false" customHeight="false" outlineLevel="0" collapsed="false">
      <c r="A1365" s="0" t="n">
        <v>8</v>
      </c>
      <c r="B1365" s="0" t="str">
        <f aca="false">_xlfn.xlookup(A1365, artists!A$2:A$836, artists!B$2:B$836)</f>
        <v>Robbie Williams</v>
      </c>
      <c r="C1365" s="1" t="s">
        <v>1394</v>
      </c>
      <c r="D1365" s="2" t="n">
        <v>258560</v>
      </c>
      <c r="E1365" s="2" t="n">
        <f aca="false">D1365/1000</f>
        <v>258.56</v>
      </c>
      <c r="F1365" s="10" t="b">
        <f aca="false">FALSE()</f>
        <v>0</v>
      </c>
      <c r="G1365" s="0" t="n">
        <v>3</v>
      </c>
      <c r="H1365" s="0" t="n">
        <f aca="false">_xlfn.xlookup(G1365, years!A$2:A$836, years!B$2:B$836)</f>
        <v>2000</v>
      </c>
      <c r="I1365" s="2" t="n">
        <v>68</v>
      </c>
      <c r="J1365" s="0" t="n">
        <v>0.708</v>
      </c>
      <c r="K1365" s="0" t="n">
        <v>0.772</v>
      </c>
      <c r="L1365" s="3" t="str">
        <f aca="false">IF(K1365&gt;0.66,"High",IF(K1365&gt;0.33&amp;K1365&lt;=0.66,"Medium","Low"))</f>
        <v>High</v>
      </c>
      <c r="M1365" s="0" t="n">
        <v>-4.264</v>
      </c>
      <c r="N1365" s="3" t="n">
        <v>0.0322</v>
      </c>
      <c r="O1365" s="3" t="n">
        <v>0.0267</v>
      </c>
      <c r="P1365" s="4" t="n">
        <v>0</v>
      </c>
      <c r="Q1365" s="3" t="n">
        <v>0.467</v>
      </c>
      <c r="R1365" s="3" t="n">
        <v>0.861</v>
      </c>
      <c r="S1365" s="3" t="str">
        <f aca="false">IF(R1365 &gt;= 0.5, "Positive", "Negative")</f>
        <v>Positive</v>
      </c>
      <c r="T1365" s="2" t="n">
        <v>103.035</v>
      </c>
      <c r="U1365" s="0" t="s">
        <v>210</v>
      </c>
    </row>
    <row r="1366" customFormat="false" ht="14.25" hidden="false" customHeight="false" outlineLevel="0" collapsed="false">
      <c r="A1366" s="0" t="n">
        <v>16</v>
      </c>
      <c r="B1366" s="0" t="str">
        <f aca="false">_xlfn.xlookup(A1366, artists!A$2:A$836, artists!B$2:B$836)</f>
        <v>Aaliyah</v>
      </c>
      <c r="C1366" s="1" t="s">
        <v>1395</v>
      </c>
      <c r="D1366" s="2" t="n">
        <v>275026</v>
      </c>
      <c r="E1366" s="2" t="n">
        <f aca="false">D1366/1000</f>
        <v>275.026</v>
      </c>
      <c r="F1366" s="10" t="b">
        <f aca="false">FALSE()</f>
        <v>0</v>
      </c>
      <c r="G1366" s="0" t="n">
        <v>22</v>
      </c>
      <c r="H1366" s="0" t="n">
        <f aca="false">_xlfn.xlookup(G1366, years!A$2:A$836, years!B$2:B$836)</f>
        <v>2019</v>
      </c>
      <c r="I1366" s="2" t="n">
        <v>0</v>
      </c>
      <c r="J1366" s="0" t="n">
        <v>0.641</v>
      </c>
      <c r="K1366" s="0" t="n">
        <v>0.72</v>
      </c>
      <c r="L1366" s="3" t="str">
        <f aca="false">IF(K1366&gt;0.66,"High",IF(K1366&gt;0.33&amp;K1366&lt;=0.66,"Medium","Low"))</f>
        <v>High</v>
      </c>
      <c r="M1366" s="0" t="n">
        <v>-5.209</v>
      </c>
      <c r="N1366" s="3" t="n">
        <v>0.0336</v>
      </c>
      <c r="O1366" s="3" t="n">
        <v>0.0688</v>
      </c>
      <c r="P1366" s="4" t="n">
        <v>0.00286</v>
      </c>
      <c r="Q1366" s="3" t="n">
        <v>0.193</v>
      </c>
      <c r="R1366" s="3" t="n">
        <v>0.418</v>
      </c>
      <c r="S1366" s="3" t="str">
        <f aca="false">IF(R1366 &gt;= 0.5, "Positive", "Negative")</f>
        <v>Negative</v>
      </c>
      <c r="T1366" s="2" t="n">
        <v>92.988</v>
      </c>
      <c r="U1366" s="0" t="s">
        <v>31</v>
      </c>
    </row>
    <row r="1367" customFormat="false" ht="14.25" hidden="false" customHeight="false" outlineLevel="0" collapsed="false">
      <c r="A1367" s="0" t="n">
        <v>395</v>
      </c>
      <c r="B1367" s="0" t="str">
        <f aca="false">_xlfn.xlookup(A1367, artists!A$2:A$836, artists!B$2:B$836)</f>
        <v>Boys Like Girls</v>
      </c>
      <c r="C1367" s="1" t="s">
        <v>1396</v>
      </c>
      <c r="D1367" s="2" t="n">
        <v>206520</v>
      </c>
      <c r="E1367" s="2" t="n">
        <f aca="false">D1367/1000</f>
        <v>206.52</v>
      </c>
      <c r="F1367" s="10" t="b">
        <f aca="false">FALSE()</f>
        <v>0</v>
      </c>
      <c r="G1367" s="0" t="n">
        <v>10</v>
      </c>
      <c r="H1367" s="0" t="n">
        <f aca="false">_xlfn.xlookup(G1367, years!A$2:A$836, years!B$2:B$836)</f>
        <v>2007</v>
      </c>
      <c r="I1367" s="2" t="n">
        <v>62</v>
      </c>
      <c r="J1367" s="0" t="n">
        <v>0.423</v>
      </c>
      <c r="K1367" s="0" t="n">
        <v>0.94</v>
      </c>
      <c r="L1367" s="3" t="str">
        <f aca="false">IF(K1367&gt;0.66,"High",IF(K1367&gt;0.33&amp;K1367&lt;=0.66,"Medium","Low"))</f>
        <v>High</v>
      </c>
      <c r="M1367" s="0" t="n">
        <v>-4.012</v>
      </c>
      <c r="N1367" s="3" t="n">
        <v>0.0635</v>
      </c>
      <c r="O1367" s="3" t="n">
        <v>0.00166</v>
      </c>
      <c r="P1367" s="4" t="n">
        <v>0</v>
      </c>
      <c r="Q1367" s="3" t="n">
        <v>0.178</v>
      </c>
      <c r="R1367" s="3" t="n">
        <v>0.505</v>
      </c>
      <c r="S1367" s="3" t="str">
        <f aca="false">IF(R1367 &gt;= 0.5, "Positive", "Negative")</f>
        <v>Positive</v>
      </c>
      <c r="T1367" s="2" t="n">
        <v>149.934</v>
      </c>
      <c r="U1367" s="0" t="s">
        <v>39</v>
      </c>
    </row>
    <row r="1368" customFormat="false" ht="14.25" hidden="false" customHeight="false" outlineLevel="0" collapsed="false">
      <c r="A1368" s="0" t="n">
        <v>174</v>
      </c>
      <c r="B1368" s="0" t="str">
        <f aca="false">_xlfn.xlookup(A1368, artists!A$2:A$836, artists!B$2:B$836)</f>
        <v>Ashanti</v>
      </c>
      <c r="C1368" s="1" t="s">
        <v>1397</v>
      </c>
      <c r="D1368" s="2" t="n">
        <v>209120</v>
      </c>
      <c r="E1368" s="2" t="n">
        <f aca="false">D1368/1000</f>
        <v>209.12</v>
      </c>
      <c r="F1368" s="10" t="b">
        <f aca="false">FALSE()</f>
        <v>0</v>
      </c>
      <c r="G1368" s="0" t="n">
        <v>6</v>
      </c>
      <c r="H1368" s="0" t="n">
        <f aca="false">_xlfn.xlookup(G1368, years!A$2:A$836, years!B$2:B$836)</f>
        <v>2003</v>
      </c>
      <c r="I1368" s="2" t="n">
        <v>65</v>
      </c>
      <c r="J1368" s="0" t="n">
        <v>0.71</v>
      </c>
      <c r="K1368" s="0" t="n">
        <v>0.797</v>
      </c>
      <c r="L1368" s="3" t="str">
        <f aca="false">IF(K1368&gt;0.66,"High",IF(K1368&gt;0.33&amp;K1368&lt;=0.66,"Medium","Low"))</f>
        <v>High</v>
      </c>
      <c r="M1368" s="0" t="n">
        <v>-3.006</v>
      </c>
      <c r="N1368" s="3" t="n">
        <v>0.0582</v>
      </c>
      <c r="O1368" s="3" t="n">
        <v>0.408</v>
      </c>
      <c r="P1368" s="4" t="n">
        <v>0</v>
      </c>
      <c r="Q1368" s="3" t="n">
        <v>0.16</v>
      </c>
      <c r="R1368" s="3" t="n">
        <v>0.849</v>
      </c>
      <c r="S1368" s="3" t="str">
        <f aca="false">IF(R1368 &gt;= 0.5, "Positive", "Negative")</f>
        <v>Positive</v>
      </c>
      <c r="T1368" s="2" t="n">
        <v>94.998</v>
      </c>
      <c r="U1368" s="0" t="s">
        <v>31</v>
      </c>
    </row>
    <row r="1369" customFormat="false" ht="14.25" hidden="false" customHeight="false" outlineLevel="0" collapsed="false">
      <c r="A1369" s="0" t="n">
        <v>176</v>
      </c>
      <c r="B1369" s="0" t="str">
        <f aca="false">_xlfn.xlookup(A1369, artists!A$2:A$836, artists!B$2:B$836)</f>
        <v>Justin Timberlake</v>
      </c>
      <c r="C1369" s="1" t="s">
        <v>1398</v>
      </c>
      <c r="D1369" s="2" t="n">
        <v>267266</v>
      </c>
      <c r="E1369" s="2" t="n">
        <f aca="false">D1369/1000</f>
        <v>267.266</v>
      </c>
      <c r="F1369" s="10" t="b">
        <f aca="false">FALSE()</f>
        <v>0</v>
      </c>
      <c r="G1369" s="0" t="n">
        <v>5</v>
      </c>
      <c r="H1369" s="0" t="n">
        <f aca="false">_xlfn.xlookup(G1369, years!A$2:A$836, years!B$2:B$836)</f>
        <v>2002</v>
      </c>
      <c r="I1369" s="2" t="n">
        <v>76</v>
      </c>
      <c r="J1369" s="0" t="n">
        <v>0.892</v>
      </c>
      <c r="K1369" s="0" t="n">
        <v>0.714</v>
      </c>
      <c r="L1369" s="3" t="str">
        <f aca="false">IF(K1369&gt;0.66,"High",IF(K1369&gt;0.33&amp;K1369&lt;=0.66,"Medium","Low"))</f>
        <v>High</v>
      </c>
      <c r="M1369" s="0" t="n">
        <v>-6.055</v>
      </c>
      <c r="N1369" s="3" t="n">
        <v>0.141</v>
      </c>
      <c r="O1369" s="3" t="n">
        <v>0.201</v>
      </c>
      <c r="P1369" s="4" t="n">
        <v>0.000234</v>
      </c>
      <c r="Q1369" s="3" t="n">
        <v>0.0521</v>
      </c>
      <c r="R1369" s="3" t="n">
        <v>0.817</v>
      </c>
      <c r="S1369" s="3" t="str">
        <f aca="false">IF(R1369 &gt;= 0.5, "Positive", "Negative")</f>
        <v>Positive</v>
      </c>
      <c r="T1369" s="2" t="n">
        <v>100.972</v>
      </c>
      <c r="U1369" s="0" t="s">
        <v>39</v>
      </c>
    </row>
    <row r="1370" customFormat="false" ht="14.25" hidden="false" customHeight="false" outlineLevel="0" collapsed="false">
      <c r="A1370" s="0" t="n">
        <v>657</v>
      </c>
      <c r="B1370" s="0" t="str">
        <f aca="false">_xlfn.xlookup(A1370, artists!A$2:A$836, artists!B$2:B$836)</f>
        <v>Zara Larsson</v>
      </c>
      <c r="C1370" s="1" t="s">
        <v>1399</v>
      </c>
      <c r="D1370" s="2" t="n">
        <v>226720</v>
      </c>
      <c r="E1370" s="2" t="n">
        <f aca="false">D1370/1000</f>
        <v>226.72</v>
      </c>
      <c r="F1370" s="10" t="b">
        <f aca="false">FALSE()</f>
        <v>0</v>
      </c>
      <c r="G1370" s="0" t="n">
        <v>20</v>
      </c>
      <c r="H1370" s="0" t="n">
        <f aca="false">_xlfn.xlookup(G1370, years!A$2:A$836, years!B$2:B$836)</f>
        <v>2017</v>
      </c>
      <c r="I1370" s="2" t="n">
        <v>57</v>
      </c>
      <c r="J1370" s="0" t="n">
        <v>0.486</v>
      </c>
      <c r="K1370" s="0" t="n">
        <v>0.713</v>
      </c>
      <c r="L1370" s="3" t="str">
        <f aca="false">IF(K1370&gt;0.66,"High",IF(K1370&gt;0.33&amp;K1370&lt;=0.66,"Medium","Low"))</f>
        <v>High</v>
      </c>
      <c r="M1370" s="0" t="n">
        <v>-3.949</v>
      </c>
      <c r="N1370" s="3" t="n">
        <v>0.0524</v>
      </c>
      <c r="O1370" s="3" t="n">
        <v>0.0853</v>
      </c>
      <c r="P1370" s="4" t="n">
        <v>0</v>
      </c>
      <c r="Q1370" s="3" t="n">
        <v>0.0839</v>
      </c>
      <c r="R1370" s="3" t="n">
        <v>0.297</v>
      </c>
      <c r="S1370" s="3" t="str">
        <f aca="false">IF(R1370 &gt;= 0.5, "Positive", "Negative")</f>
        <v>Negative</v>
      </c>
      <c r="T1370" s="2" t="n">
        <v>121.028</v>
      </c>
      <c r="U1370" s="0" t="s">
        <v>22</v>
      </c>
    </row>
    <row r="1371" customFormat="false" ht="14.25" hidden="false" customHeight="false" outlineLevel="0" collapsed="false">
      <c r="A1371" s="0" t="n">
        <v>474</v>
      </c>
      <c r="B1371" s="0" t="str">
        <f aca="false">_xlfn.xlookup(A1371, artists!A$2:A$836, artists!B$2:B$836)</f>
        <v>Far East Movement</v>
      </c>
      <c r="C1371" s="1" t="s">
        <v>1400</v>
      </c>
      <c r="D1371" s="2" t="n">
        <v>211253</v>
      </c>
      <c r="E1371" s="2" t="n">
        <f aca="false">D1371/1000</f>
        <v>211.253</v>
      </c>
      <c r="F1371" s="10" t="b">
        <f aca="false">FALSE()</f>
        <v>0</v>
      </c>
      <c r="G1371" s="0" t="n">
        <v>13</v>
      </c>
      <c r="H1371" s="0" t="n">
        <f aca="false">_xlfn.xlookup(G1371, years!A$2:A$836, years!B$2:B$836)</f>
        <v>2010</v>
      </c>
      <c r="I1371" s="2" t="n">
        <v>61</v>
      </c>
      <c r="J1371" s="0" t="n">
        <v>0.664</v>
      </c>
      <c r="K1371" s="0" t="n">
        <v>0.845</v>
      </c>
      <c r="L1371" s="3" t="str">
        <f aca="false">IF(K1371&gt;0.66,"High",IF(K1371&gt;0.33&amp;K1371&lt;=0.66,"Medium","Low"))</f>
        <v>High</v>
      </c>
      <c r="M1371" s="0" t="n">
        <v>-6.115</v>
      </c>
      <c r="N1371" s="3" t="n">
        <v>0.0461</v>
      </c>
      <c r="O1371" s="3" t="n">
        <v>0.181</v>
      </c>
      <c r="P1371" s="4" t="n">
        <v>0</v>
      </c>
      <c r="Q1371" s="3" t="n">
        <v>0.267</v>
      </c>
      <c r="R1371" s="3" t="n">
        <v>0.357</v>
      </c>
      <c r="S1371" s="3" t="str">
        <f aca="false">IF(R1371 &gt;= 0.5, "Positive", "Negative")</f>
        <v>Negative</v>
      </c>
      <c r="T1371" s="2" t="n">
        <v>96.005</v>
      </c>
      <c r="U1371" s="0" t="s">
        <v>24</v>
      </c>
    </row>
    <row r="1372" customFormat="false" ht="14.25" hidden="false" customHeight="false" outlineLevel="0" collapsed="false">
      <c r="A1372" s="0" t="n">
        <v>419</v>
      </c>
      <c r="B1372" s="0" t="str">
        <f aca="false">_xlfn.xlookup(A1372, artists!A$2:A$836, artists!B$2:B$836)</f>
        <v>The-Dream</v>
      </c>
      <c r="C1372" s="1" t="s">
        <v>1401</v>
      </c>
      <c r="D1372" s="2" t="n">
        <v>221920</v>
      </c>
      <c r="E1372" s="2" t="n">
        <f aca="false">D1372/1000</f>
        <v>221.92</v>
      </c>
      <c r="F1372" s="10" t="b">
        <f aca="false">TRUE()</f>
        <v>1</v>
      </c>
      <c r="G1372" s="0" t="n">
        <v>12</v>
      </c>
      <c r="H1372" s="0" t="n">
        <f aca="false">_xlfn.xlookup(G1372, years!A$2:A$836, years!B$2:B$836)</f>
        <v>2009</v>
      </c>
      <c r="I1372" s="2" t="n">
        <v>62</v>
      </c>
      <c r="J1372" s="0" t="n">
        <v>0.672</v>
      </c>
      <c r="K1372" s="0" t="n">
        <v>0.62</v>
      </c>
      <c r="L1372" s="3" t="str">
        <f aca="false">IF(K1372&gt;0.66,"High",IF(K1372&gt;0.33&amp;K1372&lt;=0.66,"Medium","Low"))</f>
        <v>Low</v>
      </c>
      <c r="M1372" s="0" t="n">
        <v>-4.865</v>
      </c>
      <c r="N1372" s="3" t="n">
        <v>0.0422</v>
      </c>
      <c r="O1372" s="3" t="n">
        <v>0.123</v>
      </c>
      <c r="P1372" s="4" t="n">
        <v>0</v>
      </c>
      <c r="Q1372" s="3" t="n">
        <v>0.362</v>
      </c>
      <c r="R1372" s="3" t="n">
        <v>0.627</v>
      </c>
      <c r="S1372" s="3" t="str">
        <f aca="false">IF(R1372 &gt;= 0.5, "Positive", "Negative")</f>
        <v>Positive</v>
      </c>
      <c r="T1372" s="2" t="n">
        <v>78.005</v>
      </c>
      <c r="U1372" s="0" t="s">
        <v>31</v>
      </c>
    </row>
    <row r="1373" customFormat="false" ht="14.25" hidden="false" customHeight="false" outlineLevel="0" collapsed="false">
      <c r="A1373" s="0" t="n">
        <v>102</v>
      </c>
      <c r="B1373" s="0" t="str">
        <f aca="false">_xlfn.xlookup(A1373, artists!A$2:A$836, artists!B$2:B$836)</f>
        <v>Nickelback</v>
      </c>
      <c r="C1373" s="1" t="s">
        <v>1402</v>
      </c>
      <c r="D1373" s="2" t="n">
        <v>252040</v>
      </c>
      <c r="E1373" s="2" t="n">
        <f aca="false">D1373/1000</f>
        <v>252.04</v>
      </c>
      <c r="F1373" s="10" t="b">
        <f aca="false">FALSE()</f>
        <v>0</v>
      </c>
      <c r="G1373" s="0" t="n">
        <v>8</v>
      </c>
      <c r="H1373" s="0" t="n">
        <f aca="false">_xlfn.xlookup(G1373, years!A$2:A$836, years!B$2:B$836)</f>
        <v>2005</v>
      </c>
      <c r="I1373" s="2" t="n">
        <v>69</v>
      </c>
      <c r="J1373" s="0" t="n">
        <v>0.616</v>
      </c>
      <c r="K1373" s="0" t="n">
        <v>0.91</v>
      </c>
      <c r="L1373" s="3" t="str">
        <f aca="false">IF(K1373&gt;0.66,"High",IF(K1373&gt;0.33&amp;K1373&lt;=0.66,"Medium","Low"))</f>
        <v>High</v>
      </c>
      <c r="M1373" s="0" t="n">
        <v>-3.004</v>
      </c>
      <c r="N1373" s="3" t="n">
        <v>0.0386</v>
      </c>
      <c r="O1373" s="3" t="n">
        <v>0.0459</v>
      </c>
      <c r="P1373" s="4" t="n">
        <v>0</v>
      </c>
      <c r="Q1373" s="3" t="n">
        <v>0.343</v>
      </c>
      <c r="R1373" s="3" t="n">
        <v>0.693</v>
      </c>
      <c r="S1373" s="3" t="str">
        <f aca="false">IF(R1373 &gt;= 0.5, "Positive", "Negative")</f>
        <v>Positive</v>
      </c>
      <c r="T1373" s="2" t="n">
        <v>144.072</v>
      </c>
      <c r="U1373" s="0" t="s">
        <v>81</v>
      </c>
    </row>
    <row r="1374" customFormat="false" ht="14.25" hidden="false" customHeight="false" outlineLevel="0" collapsed="false">
      <c r="A1374" s="0" t="n">
        <v>746</v>
      </c>
      <c r="B1374" s="0" t="str">
        <f aca="false">_xlfn.xlookup(A1374, artists!A$2:A$836, artists!B$2:B$836)</f>
        <v>Post Malone</v>
      </c>
      <c r="C1374" s="1" t="s">
        <v>1403</v>
      </c>
      <c r="D1374" s="2" t="n">
        <v>218146</v>
      </c>
      <c r="E1374" s="2" t="n">
        <f aca="false">D1374/1000</f>
        <v>218.146</v>
      </c>
      <c r="F1374" s="10" t="b">
        <f aca="false">TRUE()</f>
        <v>1</v>
      </c>
      <c r="G1374" s="0" t="n">
        <v>21</v>
      </c>
      <c r="H1374" s="0" t="n">
        <f aca="false">_xlfn.xlookup(G1374, years!A$2:A$836, years!B$2:B$836)</f>
        <v>2018</v>
      </c>
      <c r="I1374" s="2" t="n">
        <v>83</v>
      </c>
      <c r="J1374" s="0" t="n">
        <v>0.585</v>
      </c>
      <c r="K1374" s="0" t="n">
        <v>0.52</v>
      </c>
      <c r="L1374" s="3" t="str">
        <f aca="false">IF(K1374&gt;0.66,"High",IF(K1374&gt;0.33&amp;K1374&lt;=0.66,"Medium","Low"))</f>
        <v>Low</v>
      </c>
      <c r="M1374" s="0" t="n">
        <v>-6.136</v>
      </c>
      <c r="N1374" s="3" t="n">
        <v>0.0712</v>
      </c>
      <c r="O1374" s="3" t="n">
        <v>0.124</v>
      </c>
      <c r="P1374" s="4" t="n">
        <v>7.01E-005</v>
      </c>
      <c r="Q1374" s="3" t="n">
        <v>0.131</v>
      </c>
      <c r="R1374" s="3" t="n">
        <v>0.129</v>
      </c>
      <c r="S1374" s="3" t="str">
        <f aca="false">IF(R1374 &gt;= 0.5, "Positive", "Negative")</f>
        <v>Negative</v>
      </c>
      <c r="T1374" s="2" t="n">
        <v>159.801</v>
      </c>
      <c r="U1374" s="0" t="s">
        <v>29</v>
      </c>
    </row>
    <row r="1375" customFormat="false" ht="14.25" hidden="false" customHeight="false" outlineLevel="0" collapsed="false">
      <c r="A1375" s="0" t="n">
        <v>501</v>
      </c>
      <c r="B1375" s="0" t="str">
        <f aca="false">_xlfn.xlookup(A1375, artists!A$2:A$836, artists!B$2:B$836)</f>
        <v>Scouting For Girls</v>
      </c>
      <c r="C1375" s="1" t="s">
        <v>1404</v>
      </c>
      <c r="D1375" s="2" t="n">
        <v>210680</v>
      </c>
      <c r="E1375" s="2" t="n">
        <f aca="false">D1375/1000</f>
        <v>210.68</v>
      </c>
      <c r="F1375" s="10" t="b">
        <f aca="false">FALSE()</f>
        <v>0</v>
      </c>
      <c r="G1375" s="0" t="n">
        <v>20</v>
      </c>
      <c r="H1375" s="0" t="n">
        <f aca="false">_xlfn.xlookup(G1375, years!A$2:A$836, years!B$2:B$836)</f>
        <v>2017</v>
      </c>
      <c r="I1375" s="2" t="n">
        <v>52</v>
      </c>
      <c r="J1375" s="0" t="n">
        <v>0.458</v>
      </c>
      <c r="K1375" s="0" t="n">
        <v>0.905</v>
      </c>
      <c r="L1375" s="3" t="str">
        <f aca="false">IF(K1375&gt;0.66,"High",IF(K1375&gt;0.33&amp;K1375&lt;=0.66,"Medium","Low"))</f>
        <v>High</v>
      </c>
      <c r="M1375" s="0" t="n">
        <v>-4.157</v>
      </c>
      <c r="N1375" s="3" t="n">
        <v>0.0451</v>
      </c>
      <c r="O1375" s="3" t="n">
        <v>0.000431</v>
      </c>
      <c r="P1375" s="4" t="n">
        <v>0</v>
      </c>
      <c r="Q1375" s="3" t="n">
        <v>0.378</v>
      </c>
      <c r="R1375" s="3" t="n">
        <v>0.553</v>
      </c>
      <c r="S1375" s="3" t="str">
        <f aca="false">IF(R1375 &gt;= 0.5, "Positive", "Negative")</f>
        <v>Positive</v>
      </c>
      <c r="T1375" s="2" t="n">
        <v>176.667</v>
      </c>
      <c r="U1375" s="0" t="s">
        <v>210</v>
      </c>
    </row>
    <row r="1376" customFormat="false" ht="14.25" hidden="false" customHeight="false" outlineLevel="0" collapsed="false">
      <c r="A1376" s="0" t="n">
        <v>512</v>
      </c>
      <c r="B1376" s="0" t="str">
        <f aca="false">_xlfn.xlookup(A1376, artists!A$2:A$836, artists!B$2:B$836)</f>
        <v>Wiz Khalifa</v>
      </c>
      <c r="C1376" s="1" t="s">
        <v>1405</v>
      </c>
      <c r="D1376" s="2" t="n">
        <v>227773</v>
      </c>
      <c r="E1376" s="2" t="n">
        <f aca="false">D1376/1000</f>
        <v>227.773</v>
      </c>
      <c r="F1376" s="10" t="b">
        <f aca="false">TRUE()</f>
        <v>1</v>
      </c>
      <c r="G1376" s="0" t="n">
        <v>14</v>
      </c>
      <c r="H1376" s="0" t="n">
        <f aca="false">_xlfn.xlookup(G1376, years!A$2:A$836, years!B$2:B$836)</f>
        <v>2011</v>
      </c>
      <c r="I1376" s="2" t="n">
        <v>63</v>
      </c>
      <c r="J1376" s="0" t="n">
        <v>0.523</v>
      </c>
      <c r="K1376" s="0" t="n">
        <v>0.805</v>
      </c>
      <c r="L1376" s="3" t="str">
        <f aca="false">IF(K1376&gt;0.66,"High",IF(K1376&gt;0.33&amp;K1376&lt;=0.66,"Medium","Low"))</f>
        <v>High</v>
      </c>
      <c r="M1376" s="0" t="n">
        <v>-5.473</v>
      </c>
      <c r="N1376" s="3" t="n">
        <v>0.192</v>
      </c>
      <c r="O1376" s="3" t="n">
        <v>0.0524</v>
      </c>
      <c r="P1376" s="4" t="n">
        <v>0</v>
      </c>
      <c r="Q1376" s="3" t="n">
        <v>0.0914</v>
      </c>
      <c r="R1376" s="3" t="n">
        <v>0.602</v>
      </c>
      <c r="S1376" s="3" t="str">
        <f aca="false">IF(R1376 &gt;= 0.5, "Positive", "Negative")</f>
        <v>Positive</v>
      </c>
      <c r="T1376" s="2" t="n">
        <v>125.358</v>
      </c>
      <c r="U1376" s="0" t="s">
        <v>24</v>
      </c>
    </row>
    <row r="1377" customFormat="false" ht="14.25" hidden="false" customHeight="false" outlineLevel="0" collapsed="false">
      <c r="A1377" s="0" t="n">
        <v>24</v>
      </c>
      <c r="B1377" s="0" t="str">
        <f aca="false">_xlfn.xlookup(A1377, artists!A$2:A$836, artists!B$2:B$836)</f>
        <v>Limp Bizkit</v>
      </c>
      <c r="C1377" s="1" t="s">
        <v>1406</v>
      </c>
      <c r="D1377" s="2" t="n">
        <v>213760</v>
      </c>
      <c r="E1377" s="2" t="n">
        <f aca="false">D1377/1000</f>
        <v>213.76</v>
      </c>
      <c r="F1377" s="10" t="b">
        <f aca="false">TRUE()</f>
        <v>1</v>
      </c>
      <c r="G1377" s="0" t="n">
        <v>3</v>
      </c>
      <c r="H1377" s="0" t="n">
        <f aca="false">_xlfn.xlookup(G1377, years!A$2:A$836, years!B$2:B$836)</f>
        <v>2000</v>
      </c>
      <c r="I1377" s="2" t="n">
        <v>73</v>
      </c>
      <c r="J1377" s="0" t="n">
        <v>0.603</v>
      </c>
      <c r="K1377" s="0" t="n">
        <v>0.933</v>
      </c>
      <c r="L1377" s="3" t="str">
        <f aca="false">IF(K1377&gt;0.66,"High",IF(K1377&gt;0.33&amp;K1377&lt;=0.66,"Medium","Low"))</f>
        <v>High</v>
      </c>
      <c r="M1377" s="0" t="n">
        <v>-3.358</v>
      </c>
      <c r="N1377" s="3" t="n">
        <v>0.171</v>
      </c>
      <c r="O1377" s="3" t="n">
        <v>0.00591</v>
      </c>
      <c r="P1377" s="4" t="n">
        <v>0</v>
      </c>
      <c r="Q1377" s="3" t="n">
        <v>0.206</v>
      </c>
      <c r="R1377" s="3" t="n">
        <v>0.709</v>
      </c>
      <c r="S1377" s="3" t="str">
        <f aca="false">IF(R1377 &gt;= 0.5, "Positive", "Negative")</f>
        <v>Positive</v>
      </c>
      <c r="T1377" s="2" t="n">
        <v>96.306</v>
      </c>
      <c r="U1377" s="0" t="s">
        <v>27</v>
      </c>
    </row>
    <row r="1378" customFormat="false" ht="14.25" hidden="false" customHeight="false" outlineLevel="0" collapsed="false">
      <c r="A1378" s="0" t="n">
        <v>436</v>
      </c>
      <c r="B1378" s="0" t="str">
        <f aca="false">_xlfn.xlookup(A1378, artists!A$2:A$836, artists!B$2:B$836)</f>
        <v>Adele</v>
      </c>
      <c r="C1378" s="1" t="s">
        <v>1407</v>
      </c>
      <c r="D1378" s="2" t="n">
        <v>228093</v>
      </c>
      <c r="E1378" s="2" t="n">
        <f aca="false">D1378/1000</f>
        <v>228.093</v>
      </c>
      <c r="F1378" s="10" t="b">
        <f aca="false">TRUE()</f>
        <v>1</v>
      </c>
      <c r="G1378" s="0" t="n">
        <v>14</v>
      </c>
      <c r="H1378" s="0" t="n">
        <f aca="false">_xlfn.xlookup(G1378, years!A$2:A$836, years!B$2:B$836)</f>
        <v>2011</v>
      </c>
      <c r="I1378" s="2" t="n">
        <v>2</v>
      </c>
      <c r="J1378" s="0" t="n">
        <v>0.73</v>
      </c>
      <c r="K1378" s="0" t="n">
        <v>0.77</v>
      </c>
      <c r="L1378" s="3" t="str">
        <f aca="false">IF(K1378&gt;0.66,"High",IF(K1378&gt;0.33&amp;K1378&lt;=0.66,"Medium","Low"))</f>
        <v>High</v>
      </c>
      <c r="M1378" s="0" t="n">
        <v>-5.114</v>
      </c>
      <c r="N1378" s="3" t="n">
        <v>0.0298</v>
      </c>
      <c r="O1378" s="3" t="n">
        <v>0.138</v>
      </c>
      <c r="P1378" s="4" t="n">
        <v>0</v>
      </c>
      <c r="Q1378" s="3" t="n">
        <v>0.0473</v>
      </c>
      <c r="R1378" s="3" t="n">
        <v>0.507</v>
      </c>
      <c r="S1378" s="3" t="str">
        <f aca="false">IF(R1378 &gt;= 0.5, "Positive", "Negative")</f>
        <v>Positive</v>
      </c>
      <c r="T1378" s="2" t="n">
        <v>104.948</v>
      </c>
      <c r="U1378" s="0" t="s">
        <v>33</v>
      </c>
    </row>
    <row r="1379" customFormat="false" ht="14.25" hidden="false" customHeight="false" outlineLevel="0" collapsed="false">
      <c r="A1379" s="0" t="n">
        <v>137</v>
      </c>
      <c r="B1379" s="0" t="str">
        <f aca="false">_xlfn.xlookup(A1379, artists!A$2:A$836, artists!B$2:B$836)</f>
        <v>Ludacris</v>
      </c>
      <c r="C1379" s="1" t="s">
        <v>1408</v>
      </c>
      <c r="D1379" s="2" t="n">
        <v>296586</v>
      </c>
      <c r="E1379" s="2" t="n">
        <f aca="false">D1379/1000</f>
        <v>296.586</v>
      </c>
      <c r="F1379" s="10" t="b">
        <f aca="false">TRUE()</f>
        <v>1</v>
      </c>
      <c r="G1379" s="0" t="n">
        <v>4</v>
      </c>
      <c r="H1379" s="0" t="n">
        <f aca="false">_xlfn.xlookup(G1379, years!A$2:A$836, years!B$2:B$836)</f>
        <v>2001</v>
      </c>
      <c r="I1379" s="2" t="n">
        <v>60</v>
      </c>
      <c r="J1379" s="0" t="n">
        <v>0.921</v>
      </c>
      <c r="K1379" s="0" t="n">
        <v>0.668</v>
      </c>
      <c r="L1379" s="3" t="str">
        <f aca="false">IF(K1379&gt;0.66,"High",IF(K1379&gt;0.33&amp;K1379&lt;=0.66,"Medium","Low"))</f>
        <v>High</v>
      </c>
      <c r="M1379" s="0" t="n">
        <v>-8.73</v>
      </c>
      <c r="N1379" s="3" t="n">
        <v>0.235</v>
      </c>
      <c r="O1379" s="3" t="n">
        <v>0.0949</v>
      </c>
      <c r="P1379" s="4" t="n">
        <v>0</v>
      </c>
      <c r="Q1379" s="3" t="n">
        <v>0.592</v>
      </c>
      <c r="R1379" s="3" t="n">
        <v>0.892</v>
      </c>
      <c r="S1379" s="3" t="str">
        <f aca="false">IF(R1379 &gt;= 0.5, "Positive", "Negative")</f>
        <v>Positive</v>
      </c>
      <c r="T1379" s="2" t="n">
        <v>131.059</v>
      </c>
      <c r="U1379" s="0" t="s">
        <v>24</v>
      </c>
    </row>
    <row r="1380" customFormat="false" ht="14.25" hidden="false" customHeight="false" outlineLevel="0" collapsed="false">
      <c r="A1380" s="0" t="n">
        <v>194</v>
      </c>
      <c r="B1380" s="0" t="str">
        <f aca="false">_xlfn.xlookup(A1380, artists!A$2:A$836, artists!B$2:B$836)</f>
        <v>Black Eyed Peas</v>
      </c>
      <c r="C1380" s="1" t="s">
        <v>1409</v>
      </c>
      <c r="D1380" s="2" t="n">
        <v>296186</v>
      </c>
      <c r="E1380" s="2" t="n">
        <f aca="false">D1380/1000</f>
        <v>296.186</v>
      </c>
      <c r="F1380" s="10" t="b">
        <f aca="false">FALSE()</f>
        <v>0</v>
      </c>
      <c r="G1380" s="0" t="n">
        <v>6</v>
      </c>
      <c r="H1380" s="0" t="n">
        <f aca="false">_xlfn.xlookup(G1380, years!A$2:A$836, years!B$2:B$836)</f>
        <v>2003</v>
      </c>
      <c r="I1380" s="2" t="n">
        <v>56</v>
      </c>
      <c r="J1380" s="0" t="n">
        <v>0.81</v>
      </c>
      <c r="K1380" s="0" t="n">
        <v>0.714</v>
      </c>
      <c r="L1380" s="3" t="str">
        <f aca="false">IF(K1380&gt;0.66,"High",IF(K1380&gt;0.33&amp;K1380&lt;=0.66,"Medium","Low"))</f>
        <v>High</v>
      </c>
      <c r="M1380" s="0" t="n">
        <v>-3.966</v>
      </c>
      <c r="N1380" s="3" t="n">
        <v>0.243</v>
      </c>
      <c r="O1380" s="3" t="n">
        <v>0.0637</v>
      </c>
      <c r="P1380" s="4" t="n">
        <v>0</v>
      </c>
      <c r="Q1380" s="3" t="n">
        <v>0.237</v>
      </c>
      <c r="R1380" s="3" t="n">
        <v>0.561</v>
      </c>
      <c r="S1380" s="3" t="str">
        <f aca="false">IF(R1380 &gt;= 0.5, "Positive", "Negative")</f>
        <v>Positive</v>
      </c>
      <c r="T1380" s="2" t="n">
        <v>112.968</v>
      </c>
      <c r="U1380" s="0" t="s">
        <v>24</v>
      </c>
    </row>
    <row r="1381" customFormat="false" ht="14.25" hidden="false" customHeight="false" outlineLevel="0" collapsed="false">
      <c r="A1381" s="0" t="n">
        <v>683</v>
      </c>
      <c r="B1381" s="0" t="str">
        <f aca="false">_xlfn.xlookup(A1381, artists!A$2:A$836, artists!B$2:B$836)</f>
        <v>Nicky Jam</v>
      </c>
      <c r="C1381" s="1" t="s">
        <v>1410</v>
      </c>
      <c r="D1381" s="2" t="n">
        <v>206666</v>
      </c>
      <c r="E1381" s="2" t="n">
        <f aca="false">D1381/1000</f>
        <v>206.666</v>
      </c>
      <c r="F1381" s="10" t="b">
        <f aca="false">FALSE()</f>
        <v>0</v>
      </c>
      <c r="G1381" s="0" t="n">
        <v>20</v>
      </c>
      <c r="H1381" s="0" t="n">
        <f aca="false">_xlfn.xlookup(G1381, years!A$2:A$836, years!B$2:B$836)</f>
        <v>2017</v>
      </c>
      <c r="I1381" s="2" t="n">
        <v>51</v>
      </c>
      <c r="J1381" s="0" t="n">
        <v>0.736</v>
      </c>
      <c r="K1381" s="0" t="n">
        <v>0.719</v>
      </c>
      <c r="L1381" s="3" t="str">
        <f aca="false">IF(K1381&gt;0.66,"High",IF(K1381&gt;0.33&amp;K1381&lt;=0.66,"Medium","Low"))</f>
        <v>High</v>
      </c>
      <c r="M1381" s="0" t="n">
        <v>-3.839</v>
      </c>
      <c r="N1381" s="3" t="n">
        <v>0.0357</v>
      </c>
      <c r="O1381" s="3" t="n">
        <v>0.256</v>
      </c>
      <c r="P1381" s="4" t="n">
        <v>0</v>
      </c>
      <c r="Q1381" s="3" t="n">
        <v>0.0909</v>
      </c>
      <c r="R1381" s="3" t="n">
        <v>0.656</v>
      </c>
      <c r="S1381" s="3" t="str">
        <f aca="false">IF(R1381 &gt;= 0.5, "Positive", "Negative")</f>
        <v>Positive</v>
      </c>
      <c r="T1381" s="2" t="n">
        <v>90.013</v>
      </c>
      <c r="U1381" s="0" t="s">
        <v>312</v>
      </c>
    </row>
    <row r="1382" customFormat="false" ht="14.25" hidden="false" customHeight="false" outlineLevel="0" collapsed="false">
      <c r="A1382" s="0" t="n">
        <v>156</v>
      </c>
      <c r="B1382" s="0" t="str">
        <f aca="false">_xlfn.xlookup(A1382, artists!A$2:A$836, artists!B$2:B$836)</f>
        <v>Sugababes</v>
      </c>
      <c r="C1382" s="1" t="s">
        <v>1411</v>
      </c>
      <c r="D1382" s="2" t="n">
        <v>236426</v>
      </c>
      <c r="E1382" s="2" t="n">
        <f aca="false">D1382/1000</f>
        <v>236.426</v>
      </c>
      <c r="F1382" s="10" t="b">
        <f aca="false">FALSE()</f>
        <v>0</v>
      </c>
      <c r="G1382" s="0" t="n">
        <v>5</v>
      </c>
      <c r="H1382" s="0" t="n">
        <f aca="false">_xlfn.xlookup(G1382, years!A$2:A$836, years!B$2:B$836)</f>
        <v>2002</v>
      </c>
      <c r="I1382" s="2" t="n">
        <v>59</v>
      </c>
      <c r="J1382" s="0" t="n">
        <v>0.74</v>
      </c>
      <c r="K1382" s="0" t="n">
        <v>0.845</v>
      </c>
      <c r="L1382" s="3" t="str">
        <f aca="false">IF(K1382&gt;0.66,"High",IF(K1382&gt;0.33&amp;K1382&lt;=0.66,"Medium","Low"))</f>
        <v>High</v>
      </c>
      <c r="M1382" s="0" t="n">
        <v>-3.802</v>
      </c>
      <c r="N1382" s="3" t="n">
        <v>0.0338</v>
      </c>
      <c r="O1382" s="3" t="n">
        <v>0.00287</v>
      </c>
      <c r="P1382" s="4" t="n">
        <v>6.23E-006</v>
      </c>
      <c r="Q1382" s="3" t="n">
        <v>0.115</v>
      </c>
      <c r="R1382" s="3" t="n">
        <v>0.749</v>
      </c>
      <c r="S1382" s="3" t="str">
        <f aca="false">IF(R1382 &gt;= 0.5, "Positive", "Negative")</f>
        <v>Positive</v>
      </c>
      <c r="T1382" s="2" t="n">
        <v>126.607</v>
      </c>
      <c r="U1382" s="0" t="s">
        <v>33</v>
      </c>
    </row>
    <row r="1383" customFormat="false" ht="14.25" hidden="false" customHeight="false" outlineLevel="0" collapsed="false">
      <c r="A1383" s="0" t="n">
        <v>569</v>
      </c>
      <c r="B1383" s="0" t="str">
        <f aca="false">_xlfn.xlookup(A1383, artists!A$2:A$836, artists!B$2:B$836)</f>
        <v>Lorde</v>
      </c>
      <c r="C1383" s="1" t="s">
        <v>1412</v>
      </c>
      <c r="D1383" s="2" t="n">
        <v>190185</v>
      </c>
      <c r="E1383" s="2" t="n">
        <f aca="false">D1383/1000</f>
        <v>190.185</v>
      </c>
      <c r="F1383" s="10" t="b">
        <f aca="false">FALSE()</f>
        <v>0</v>
      </c>
      <c r="G1383" s="0" t="n">
        <v>16</v>
      </c>
      <c r="H1383" s="0" t="n">
        <f aca="false">_xlfn.xlookup(G1383, years!A$2:A$836, years!B$2:B$836)</f>
        <v>2013</v>
      </c>
      <c r="I1383" s="2" t="n">
        <v>77</v>
      </c>
      <c r="J1383" s="0" t="n">
        <v>0.674</v>
      </c>
      <c r="K1383" s="0" t="n">
        <v>0.428</v>
      </c>
      <c r="L1383" s="3" t="str">
        <f aca="false">IF(K1383&gt;0.66,"High",IF(K1383&gt;0.33&amp;K1383&lt;=0.66,"Medium","Low"))</f>
        <v>Low</v>
      </c>
      <c r="M1383" s="0" t="n">
        <v>-9.504</v>
      </c>
      <c r="N1383" s="3" t="n">
        <v>0.122</v>
      </c>
      <c r="O1383" s="3" t="n">
        <v>0.121</v>
      </c>
      <c r="P1383" s="4" t="n">
        <v>0</v>
      </c>
      <c r="Q1383" s="3" t="n">
        <v>0.132</v>
      </c>
      <c r="R1383" s="3" t="n">
        <v>0.337</v>
      </c>
      <c r="S1383" s="3" t="str">
        <f aca="false">IF(R1383 &gt;= 0.5, "Positive", "Negative")</f>
        <v>Negative</v>
      </c>
      <c r="T1383" s="2" t="n">
        <v>84.878</v>
      </c>
      <c r="U1383" s="0" t="s">
        <v>22</v>
      </c>
    </row>
    <row r="1384" customFormat="false" ht="14.25" hidden="false" customHeight="false" outlineLevel="0" collapsed="false">
      <c r="A1384" s="0" t="n">
        <v>305</v>
      </c>
      <c r="B1384" s="0" t="str">
        <f aca="false">_xlfn.xlookup(A1384, artists!A$2:A$836, artists!B$2:B$836)</f>
        <v>Kaiser Chiefs</v>
      </c>
      <c r="C1384" s="1" t="s">
        <v>1413</v>
      </c>
      <c r="D1384" s="2" t="n">
        <v>204200</v>
      </c>
      <c r="E1384" s="2" t="n">
        <f aca="false">D1384/1000</f>
        <v>204.2</v>
      </c>
      <c r="F1384" s="10" t="b">
        <f aca="false">FALSE()</f>
        <v>0</v>
      </c>
      <c r="G1384" s="0" t="n">
        <v>10</v>
      </c>
      <c r="H1384" s="0" t="n">
        <f aca="false">_xlfn.xlookup(G1384, years!A$2:A$836, years!B$2:B$836)</f>
        <v>2007</v>
      </c>
      <c r="I1384" s="2" t="n">
        <v>67</v>
      </c>
      <c r="J1384" s="0" t="n">
        <v>0.451</v>
      </c>
      <c r="K1384" s="0" t="n">
        <v>0.939</v>
      </c>
      <c r="L1384" s="3" t="str">
        <f aca="false">IF(K1384&gt;0.66,"High",IF(K1384&gt;0.33&amp;K1384&lt;=0.66,"Medium","Low"))</f>
        <v>High</v>
      </c>
      <c r="M1384" s="0" t="n">
        <v>-2.82</v>
      </c>
      <c r="N1384" s="3" t="n">
        <v>0.0512</v>
      </c>
      <c r="O1384" s="3" t="n">
        <v>0.00673</v>
      </c>
      <c r="P1384" s="4" t="n">
        <v>4.85E-006</v>
      </c>
      <c r="Q1384" s="3" t="n">
        <v>0.0774</v>
      </c>
      <c r="R1384" s="3" t="n">
        <v>0.448</v>
      </c>
      <c r="S1384" s="3" t="str">
        <f aca="false">IF(R1384 &gt;= 0.5, "Positive", "Negative")</f>
        <v>Negative</v>
      </c>
      <c r="T1384" s="2" t="n">
        <v>93.416</v>
      </c>
      <c r="U1384" s="0" t="s">
        <v>43</v>
      </c>
    </row>
    <row r="1385" customFormat="false" ht="14.25" hidden="false" customHeight="false" outlineLevel="0" collapsed="false">
      <c r="A1385" s="0" t="n">
        <v>604</v>
      </c>
      <c r="B1385" s="0" t="str">
        <f aca="false">_xlfn.xlookup(A1385, artists!A$2:A$836, artists!B$2:B$836)</f>
        <v>MAGIC!</v>
      </c>
      <c r="C1385" s="1" t="s">
        <v>1414</v>
      </c>
      <c r="D1385" s="2" t="n">
        <v>224840</v>
      </c>
      <c r="E1385" s="2" t="n">
        <f aca="false">D1385/1000</f>
        <v>224.84</v>
      </c>
      <c r="F1385" s="10" t="b">
        <f aca="false">FALSE()</f>
        <v>0</v>
      </c>
      <c r="G1385" s="0" t="n">
        <v>17</v>
      </c>
      <c r="H1385" s="0" t="n">
        <f aca="false">_xlfn.xlookup(G1385, years!A$2:A$836, years!B$2:B$836)</f>
        <v>2014</v>
      </c>
      <c r="I1385" s="2" t="n">
        <v>80</v>
      </c>
      <c r="J1385" s="0" t="n">
        <v>0.773</v>
      </c>
      <c r="K1385" s="0" t="n">
        <v>0.758</v>
      </c>
      <c r="L1385" s="3" t="str">
        <f aca="false">IF(K1385&gt;0.66,"High",IF(K1385&gt;0.33&amp;K1385&lt;=0.66,"Medium","Low"))</f>
        <v>High</v>
      </c>
      <c r="M1385" s="0" t="n">
        <v>-4.993</v>
      </c>
      <c r="N1385" s="3" t="n">
        <v>0.0381</v>
      </c>
      <c r="O1385" s="3" t="n">
        <v>0.0422</v>
      </c>
      <c r="P1385" s="4" t="n">
        <v>0</v>
      </c>
      <c r="Q1385" s="3" t="n">
        <v>0.305</v>
      </c>
      <c r="R1385" s="3" t="n">
        <v>0.925</v>
      </c>
      <c r="S1385" s="3" t="str">
        <f aca="false">IF(R1385 &gt;= 0.5, "Positive", "Negative")</f>
        <v>Positive</v>
      </c>
      <c r="T1385" s="2" t="n">
        <v>144.033</v>
      </c>
      <c r="U1385" s="0" t="s">
        <v>118</v>
      </c>
    </row>
    <row r="1386" customFormat="false" ht="14.25" hidden="false" customHeight="false" outlineLevel="0" collapsed="false">
      <c r="A1386" s="0" t="n">
        <v>283</v>
      </c>
      <c r="B1386" s="0" t="str">
        <f aca="false">_xlfn.xlookup(A1386, artists!A$2:A$836, artists!B$2:B$836)</f>
        <v>Rihanna</v>
      </c>
      <c r="C1386" s="1" t="s">
        <v>1415</v>
      </c>
      <c r="D1386" s="2" t="n">
        <v>222920</v>
      </c>
      <c r="E1386" s="2" t="n">
        <f aca="false">D1386/1000</f>
        <v>222.92</v>
      </c>
      <c r="F1386" s="10" t="b">
        <f aca="false">TRUE()</f>
        <v>1</v>
      </c>
      <c r="G1386" s="0" t="n">
        <v>12</v>
      </c>
      <c r="H1386" s="0" t="n">
        <f aca="false">_xlfn.xlookup(G1386, years!A$2:A$836, years!B$2:B$836)</f>
        <v>2009</v>
      </c>
      <c r="I1386" s="2" t="n">
        <v>74</v>
      </c>
      <c r="J1386" s="0" t="n">
        <v>0.563</v>
      </c>
      <c r="K1386" s="0" t="n">
        <v>0.75</v>
      </c>
      <c r="L1386" s="3" t="str">
        <f aca="false">IF(K1386&gt;0.66,"High",IF(K1386&gt;0.33&amp;K1386&lt;=0.66,"Medium","Low"))</f>
        <v>High</v>
      </c>
      <c r="M1386" s="0" t="n">
        <v>-4.496</v>
      </c>
      <c r="N1386" s="3" t="n">
        <v>0.127</v>
      </c>
      <c r="O1386" s="3" t="n">
        <v>0.113</v>
      </c>
      <c r="P1386" s="4" t="n">
        <v>0</v>
      </c>
      <c r="Q1386" s="3" t="n">
        <v>0.0788</v>
      </c>
      <c r="R1386" s="3" t="n">
        <v>0.812</v>
      </c>
      <c r="S1386" s="3" t="str">
        <f aca="false">IF(R1386 &gt;= 0.5, "Positive", "Negative")</f>
        <v>Positive</v>
      </c>
      <c r="T1386" s="2" t="n">
        <v>173.906</v>
      </c>
      <c r="U1386" s="0" t="s">
        <v>31</v>
      </c>
    </row>
    <row r="1387" customFormat="false" ht="14.25" hidden="false" customHeight="false" outlineLevel="0" collapsed="false">
      <c r="A1387" s="0" t="n">
        <v>331</v>
      </c>
      <c r="B1387" s="0" t="str">
        <f aca="false">_xlfn.xlookup(A1387, artists!A$2:A$836, artists!B$2:B$836)</f>
        <v>Take That</v>
      </c>
      <c r="C1387" s="1" t="s">
        <v>1416</v>
      </c>
      <c r="D1387" s="2" t="n">
        <v>237760</v>
      </c>
      <c r="E1387" s="2" t="n">
        <f aca="false">D1387/1000</f>
        <v>237.76</v>
      </c>
      <c r="F1387" s="10" t="b">
        <f aca="false">FALSE()</f>
        <v>0</v>
      </c>
      <c r="G1387" s="0" t="n">
        <v>10</v>
      </c>
      <c r="H1387" s="0" t="n">
        <f aca="false">_xlfn.xlookup(G1387, years!A$2:A$836, years!B$2:B$836)</f>
        <v>2007</v>
      </c>
      <c r="I1387" s="2" t="n">
        <v>58</v>
      </c>
      <c r="J1387" s="0" t="n">
        <v>0.357</v>
      </c>
      <c r="K1387" s="0" t="n">
        <v>0.774</v>
      </c>
      <c r="L1387" s="3" t="str">
        <f aca="false">IF(K1387&gt;0.66,"High",IF(K1387&gt;0.33&amp;K1387&lt;=0.66,"Medium","Low"))</f>
        <v>High</v>
      </c>
      <c r="M1387" s="0" t="n">
        <v>-4.226</v>
      </c>
      <c r="N1387" s="3" t="n">
        <v>0.034</v>
      </c>
      <c r="O1387" s="3" t="n">
        <v>0.0376</v>
      </c>
      <c r="P1387" s="4" t="n">
        <v>0</v>
      </c>
      <c r="Q1387" s="3" t="n">
        <v>0.348</v>
      </c>
      <c r="R1387" s="3" t="n">
        <v>0.348</v>
      </c>
      <c r="S1387" s="3" t="str">
        <f aca="false">IF(R1387 &gt;= 0.5, "Positive", "Negative")</f>
        <v>Negative</v>
      </c>
      <c r="T1387" s="2" t="n">
        <v>164.054</v>
      </c>
      <c r="U1387" s="0" t="s">
        <v>39</v>
      </c>
    </row>
    <row r="1388" customFormat="false" ht="14.25" hidden="false" customHeight="false" outlineLevel="0" collapsed="false">
      <c r="A1388" s="0" t="n">
        <v>436</v>
      </c>
      <c r="B1388" s="0" t="str">
        <f aca="false">_xlfn.xlookup(A1388, artists!A$2:A$836, artists!B$2:B$836)</f>
        <v>Adele</v>
      </c>
      <c r="C1388" s="1" t="s">
        <v>1417</v>
      </c>
      <c r="D1388" s="2" t="n">
        <v>223266</v>
      </c>
      <c r="E1388" s="2" t="n">
        <f aca="false">D1388/1000</f>
        <v>223.266</v>
      </c>
      <c r="F1388" s="10" t="b">
        <f aca="false">FALSE()</f>
        <v>0</v>
      </c>
      <c r="G1388" s="0" t="n">
        <v>14</v>
      </c>
      <c r="H1388" s="0" t="n">
        <f aca="false">_xlfn.xlookup(G1388, years!A$2:A$836, years!B$2:B$836)</f>
        <v>2011</v>
      </c>
      <c r="I1388" s="2" t="n">
        <v>0</v>
      </c>
      <c r="J1388" s="0" t="n">
        <v>0.612</v>
      </c>
      <c r="K1388" s="0" t="n">
        <v>0.748</v>
      </c>
      <c r="L1388" s="3" t="str">
        <f aca="false">IF(K1388&gt;0.66,"High",IF(K1388&gt;0.33&amp;K1388&lt;=0.66,"Medium","Low"))</f>
        <v>High</v>
      </c>
      <c r="M1388" s="0" t="n">
        <v>-5.014</v>
      </c>
      <c r="N1388" s="3" t="n">
        <v>0.0445</v>
      </c>
      <c r="O1388" s="3" t="n">
        <v>0.617</v>
      </c>
      <c r="P1388" s="4" t="n">
        <v>0</v>
      </c>
      <c r="Q1388" s="3" t="n">
        <v>0.167</v>
      </c>
      <c r="R1388" s="3" t="n">
        <v>0.574</v>
      </c>
      <c r="S1388" s="3" t="str">
        <f aca="false">IF(R1388 &gt;= 0.5, "Positive", "Negative")</f>
        <v>Positive</v>
      </c>
      <c r="T1388" s="2" t="n">
        <v>120.052</v>
      </c>
      <c r="U1388" s="0" t="s">
        <v>33</v>
      </c>
    </row>
    <row r="1389" customFormat="false" ht="14.25" hidden="false" customHeight="false" outlineLevel="0" collapsed="false">
      <c r="A1389" s="0" t="n">
        <v>337</v>
      </c>
      <c r="B1389" s="0" t="str">
        <f aca="false">_xlfn.xlookup(A1389, artists!A$2:A$836, artists!B$2:B$836)</f>
        <v>Leona Lewis</v>
      </c>
      <c r="C1389" s="1" t="s">
        <v>1418</v>
      </c>
      <c r="D1389" s="2" t="n">
        <v>314720</v>
      </c>
      <c r="E1389" s="2" t="n">
        <f aca="false">D1389/1000</f>
        <v>314.72</v>
      </c>
      <c r="F1389" s="10" t="b">
        <f aca="false">FALSE()</f>
        <v>0</v>
      </c>
      <c r="G1389" s="0" t="n">
        <v>10</v>
      </c>
      <c r="H1389" s="0" t="n">
        <f aca="false">_xlfn.xlookup(G1389, years!A$2:A$836, years!B$2:B$836)</f>
        <v>2007</v>
      </c>
      <c r="I1389" s="2" t="n">
        <v>62</v>
      </c>
      <c r="J1389" s="0" t="n">
        <v>0.285</v>
      </c>
      <c r="K1389" s="0" t="n">
        <v>0.462</v>
      </c>
      <c r="L1389" s="3" t="str">
        <f aca="false">IF(K1389&gt;0.66,"High",IF(K1389&gt;0.33&amp;K1389&lt;=0.66,"Medium","Low"))</f>
        <v>Low</v>
      </c>
      <c r="M1389" s="0" t="n">
        <v>-6.166</v>
      </c>
      <c r="N1389" s="3" t="n">
        <v>0.0291</v>
      </c>
      <c r="O1389" s="3" t="n">
        <v>0.428</v>
      </c>
      <c r="P1389" s="4" t="n">
        <v>5.61E-006</v>
      </c>
      <c r="Q1389" s="3" t="n">
        <v>0.122</v>
      </c>
      <c r="R1389" s="3" t="n">
        <v>0.0923</v>
      </c>
      <c r="S1389" s="3" t="str">
        <f aca="false">IF(R1389 &gt;= 0.5, "Positive", "Negative")</f>
        <v>Negative</v>
      </c>
      <c r="T1389" s="2" t="n">
        <v>142.365</v>
      </c>
      <c r="U1389" s="0" t="s">
        <v>33</v>
      </c>
    </row>
    <row r="1390" customFormat="false" ht="14.25" hidden="false" customHeight="false" outlineLevel="0" collapsed="false">
      <c r="A1390" s="0" t="n">
        <v>291</v>
      </c>
      <c r="B1390" s="0" t="str">
        <f aca="false">_xlfn.xlookup(A1390, artists!A$2:A$836, artists!B$2:B$836)</f>
        <v>Chris Brown</v>
      </c>
      <c r="C1390" s="1" t="s">
        <v>1419</v>
      </c>
      <c r="D1390" s="2" t="n">
        <v>229866</v>
      </c>
      <c r="E1390" s="2" t="n">
        <f aca="false">D1390/1000</f>
        <v>229.866</v>
      </c>
      <c r="F1390" s="10" t="b">
        <f aca="false">FALSE()</f>
        <v>0</v>
      </c>
      <c r="G1390" s="0" t="n">
        <v>8</v>
      </c>
      <c r="H1390" s="0" t="n">
        <f aca="false">_xlfn.xlookup(G1390, years!A$2:A$836, years!B$2:B$836)</f>
        <v>2005</v>
      </c>
      <c r="I1390" s="2" t="n">
        <v>71</v>
      </c>
      <c r="J1390" s="0" t="n">
        <v>0.846</v>
      </c>
      <c r="K1390" s="0" t="n">
        <v>0.482</v>
      </c>
      <c r="L1390" s="3" t="str">
        <f aca="false">IF(K1390&gt;0.66,"High",IF(K1390&gt;0.33&amp;K1390&lt;=0.66,"Medium","Low"))</f>
        <v>Low</v>
      </c>
      <c r="M1390" s="0" t="n">
        <v>-6.721</v>
      </c>
      <c r="N1390" s="3" t="n">
        <v>0.129</v>
      </c>
      <c r="O1390" s="3" t="n">
        <v>0.0246</v>
      </c>
      <c r="P1390" s="4" t="n">
        <v>0</v>
      </c>
      <c r="Q1390" s="3" t="n">
        <v>0.393</v>
      </c>
      <c r="R1390" s="3" t="n">
        <v>0.212</v>
      </c>
      <c r="S1390" s="3" t="str">
        <f aca="false">IF(R1390 &gt;= 0.5, "Positive", "Negative")</f>
        <v>Negative</v>
      </c>
      <c r="T1390" s="2" t="n">
        <v>100.969</v>
      </c>
      <c r="U1390" s="0" t="s">
        <v>31</v>
      </c>
    </row>
    <row r="1391" customFormat="false" ht="14.25" hidden="false" customHeight="false" outlineLevel="0" collapsed="false">
      <c r="A1391" s="0" t="n">
        <v>35</v>
      </c>
      <c r="B1391" s="0" t="str">
        <f aca="false">_xlfn.xlookup(A1391, artists!A$2:A$836, artists!B$2:B$836)</f>
        <v>JAY-Z</v>
      </c>
      <c r="C1391" s="1" t="s">
        <v>1420</v>
      </c>
      <c r="D1391" s="2" t="n">
        <v>267520</v>
      </c>
      <c r="E1391" s="2" t="n">
        <f aca="false">D1391/1000</f>
        <v>267.52</v>
      </c>
      <c r="F1391" s="10" t="b">
        <f aca="false">TRUE()</f>
        <v>1</v>
      </c>
      <c r="G1391" s="0" t="n">
        <v>12</v>
      </c>
      <c r="H1391" s="0" t="n">
        <f aca="false">_xlfn.xlookup(G1391, years!A$2:A$836, years!B$2:B$836)</f>
        <v>2009</v>
      </c>
      <c r="I1391" s="2" t="n">
        <v>75</v>
      </c>
      <c r="J1391" s="0" t="n">
        <v>0.632</v>
      </c>
      <c r="K1391" s="0" t="n">
        <v>0.924</v>
      </c>
      <c r="L1391" s="3" t="str">
        <f aca="false">IF(K1391&gt;0.66,"High",IF(K1391&gt;0.33&amp;K1391&lt;=0.66,"Medium","Low"))</f>
        <v>High</v>
      </c>
      <c r="M1391" s="0" t="n">
        <v>-1.802</v>
      </c>
      <c r="N1391" s="3" t="n">
        <v>0.29</v>
      </c>
      <c r="O1391" s="3" t="n">
        <v>0.281</v>
      </c>
      <c r="P1391" s="4" t="n">
        <v>0</v>
      </c>
      <c r="Q1391" s="3" t="n">
        <v>0.263</v>
      </c>
      <c r="R1391" s="3" t="n">
        <v>0.441</v>
      </c>
      <c r="S1391" s="3" t="str">
        <f aca="false">IF(R1391 &gt;= 0.5, "Positive", "Negative")</f>
        <v>Negative</v>
      </c>
      <c r="T1391" s="2" t="n">
        <v>86.844</v>
      </c>
      <c r="U1391" s="0" t="s">
        <v>29</v>
      </c>
    </row>
    <row r="1392" customFormat="false" ht="14.25" hidden="false" customHeight="false" outlineLevel="0" collapsed="false">
      <c r="A1392" s="0" t="n">
        <v>571</v>
      </c>
      <c r="B1392" s="0" t="str">
        <f aca="false">_xlfn.xlookup(A1392, artists!A$2:A$836, artists!B$2:B$836)</f>
        <v>Imagine Dragons</v>
      </c>
      <c r="C1392" s="1" t="s">
        <v>1421</v>
      </c>
      <c r="D1392" s="2" t="n">
        <v>204346</v>
      </c>
      <c r="E1392" s="2" t="n">
        <f aca="false">D1392/1000</f>
        <v>204.346</v>
      </c>
      <c r="F1392" s="10" t="b">
        <f aca="false">FALSE()</f>
        <v>0</v>
      </c>
      <c r="G1392" s="0" t="n">
        <v>20</v>
      </c>
      <c r="H1392" s="0" t="n">
        <f aca="false">_xlfn.xlookup(G1392, years!A$2:A$836, years!B$2:B$836)</f>
        <v>2017</v>
      </c>
      <c r="I1392" s="2" t="n">
        <v>1</v>
      </c>
      <c r="J1392" s="0" t="n">
        <v>0.779</v>
      </c>
      <c r="K1392" s="0" t="n">
        <v>0.787</v>
      </c>
      <c r="L1392" s="3" t="str">
        <f aca="false">IF(K1392&gt;0.66,"High",IF(K1392&gt;0.33&amp;K1392&lt;=0.66,"Medium","Low"))</f>
        <v>High</v>
      </c>
      <c r="M1392" s="0" t="n">
        <v>-4.305</v>
      </c>
      <c r="N1392" s="3" t="n">
        <v>0.108</v>
      </c>
      <c r="O1392" s="3" t="n">
        <v>0.0524</v>
      </c>
      <c r="P1392" s="4" t="n">
        <v>0</v>
      </c>
      <c r="Q1392" s="3" t="n">
        <v>0.14</v>
      </c>
      <c r="R1392" s="3" t="n">
        <v>0.708</v>
      </c>
      <c r="S1392" s="3" t="str">
        <f aca="false">IF(R1392 &gt;= 0.5, "Positive", "Negative")</f>
        <v>Positive</v>
      </c>
      <c r="T1392" s="2" t="n">
        <v>124.982</v>
      </c>
      <c r="U1392" s="0" t="s">
        <v>43</v>
      </c>
    </row>
    <row r="1393" customFormat="false" ht="14.25" hidden="false" customHeight="false" outlineLevel="0" collapsed="false">
      <c r="A1393" s="0" t="n">
        <v>137</v>
      </c>
      <c r="B1393" s="0" t="str">
        <f aca="false">_xlfn.xlookup(A1393, artists!A$2:A$836, artists!B$2:B$836)</f>
        <v>Ludacris</v>
      </c>
      <c r="C1393" s="1" t="s">
        <v>1422</v>
      </c>
      <c r="D1393" s="2" t="n">
        <v>280680</v>
      </c>
      <c r="E1393" s="2" t="n">
        <f aca="false">D1393/1000</f>
        <v>280.68</v>
      </c>
      <c r="F1393" s="10" t="b">
        <f aca="false">TRUE()</f>
        <v>1</v>
      </c>
      <c r="G1393" s="0" t="n">
        <v>9</v>
      </c>
      <c r="H1393" s="0" t="n">
        <f aca="false">_xlfn.xlookup(G1393, years!A$2:A$836, years!B$2:B$836)</f>
        <v>2006</v>
      </c>
      <c r="I1393" s="2" t="n">
        <v>51</v>
      </c>
      <c r="J1393" s="0" t="n">
        <v>0.405</v>
      </c>
      <c r="K1393" s="0" t="n">
        <v>0.721</v>
      </c>
      <c r="L1393" s="3" t="str">
        <f aca="false">IF(K1393&gt;0.66,"High",IF(K1393&gt;0.33&amp;K1393&lt;=0.66,"Medium","Low"))</f>
        <v>High</v>
      </c>
      <c r="M1393" s="0" t="n">
        <v>-6.97</v>
      </c>
      <c r="N1393" s="3" t="n">
        <v>0.283</v>
      </c>
      <c r="O1393" s="3" t="n">
        <v>0.329</v>
      </c>
      <c r="P1393" s="4" t="n">
        <v>0</v>
      </c>
      <c r="Q1393" s="3" t="n">
        <v>0.252</v>
      </c>
      <c r="R1393" s="3" t="n">
        <v>0.815</v>
      </c>
      <c r="S1393" s="3" t="str">
        <f aca="false">IF(R1393 &gt;= 0.5, "Positive", "Negative")</f>
        <v>Positive</v>
      </c>
      <c r="T1393" s="2" t="n">
        <v>92.854</v>
      </c>
      <c r="U1393" s="0" t="s">
        <v>24</v>
      </c>
    </row>
    <row r="1394" customFormat="false" ht="14.25" hidden="false" customHeight="false" outlineLevel="0" collapsed="false">
      <c r="A1394" s="0" t="n">
        <v>283</v>
      </c>
      <c r="B1394" s="0" t="str">
        <f aca="false">_xlfn.xlookup(A1394, artists!A$2:A$836, artists!B$2:B$836)</f>
        <v>Rihanna</v>
      </c>
      <c r="C1394" s="1" t="s">
        <v>1423</v>
      </c>
      <c r="D1394" s="2" t="n">
        <v>227533</v>
      </c>
      <c r="E1394" s="2" t="n">
        <f aca="false">D1394/1000</f>
        <v>227.533</v>
      </c>
      <c r="F1394" s="10" t="b">
        <f aca="false">TRUE()</f>
        <v>1</v>
      </c>
      <c r="G1394" s="0" t="n">
        <v>12</v>
      </c>
      <c r="H1394" s="0" t="n">
        <f aca="false">_xlfn.xlookup(G1394, years!A$2:A$836, years!B$2:B$836)</f>
        <v>2009</v>
      </c>
      <c r="I1394" s="2" t="n">
        <v>64</v>
      </c>
      <c r="J1394" s="0" t="n">
        <v>0.48</v>
      </c>
      <c r="K1394" s="0" t="n">
        <v>0.486</v>
      </c>
      <c r="L1394" s="3" t="str">
        <f aca="false">IF(K1394&gt;0.66,"High",IF(K1394&gt;0.33&amp;K1394&lt;=0.66,"Medium","Low"))</f>
        <v>Low</v>
      </c>
      <c r="M1394" s="0" t="n">
        <v>-5.754</v>
      </c>
      <c r="N1394" s="3" t="n">
        <v>0.0447</v>
      </c>
      <c r="O1394" s="3" t="n">
        <v>0.046</v>
      </c>
      <c r="P1394" s="4" t="n">
        <v>0</v>
      </c>
      <c r="Q1394" s="3" t="n">
        <v>0.107</v>
      </c>
      <c r="R1394" s="3" t="n">
        <v>0.265</v>
      </c>
      <c r="S1394" s="3" t="str">
        <f aca="false">IF(R1394 &gt;= 0.5, "Positive", "Negative")</f>
        <v>Negative</v>
      </c>
      <c r="T1394" s="2" t="n">
        <v>80.051</v>
      </c>
      <c r="U1394" s="0" t="s">
        <v>31</v>
      </c>
    </row>
    <row r="1395" customFormat="false" ht="14.25" hidden="false" customHeight="false" outlineLevel="0" collapsed="false">
      <c r="A1395" s="0" t="n">
        <v>283</v>
      </c>
      <c r="B1395" s="0" t="str">
        <f aca="false">_xlfn.xlookup(A1395, artists!A$2:A$836, artists!B$2:B$836)</f>
        <v>Rihanna</v>
      </c>
      <c r="C1395" s="1" t="s">
        <v>1424</v>
      </c>
      <c r="D1395" s="2" t="n">
        <v>243533</v>
      </c>
      <c r="E1395" s="2" t="n">
        <f aca="false">D1395/1000</f>
        <v>243.533</v>
      </c>
      <c r="F1395" s="10" t="b">
        <f aca="false">FALSE()</f>
        <v>0</v>
      </c>
      <c r="G1395" s="0" t="n">
        <v>13</v>
      </c>
      <c r="H1395" s="0" t="n">
        <f aca="false">_xlfn.xlookup(G1395, years!A$2:A$836, years!B$2:B$836)</f>
        <v>2010</v>
      </c>
      <c r="I1395" s="2" t="n">
        <v>73</v>
      </c>
      <c r="J1395" s="0" t="n">
        <v>0.767</v>
      </c>
      <c r="K1395" s="0" t="n">
        <v>0.682</v>
      </c>
      <c r="L1395" s="3" t="str">
        <f aca="false">IF(K1395&gt;0.66,"High",IF(K1395&gt;0.33&amp;K1395&lt;=0.66,"Medium","Low"))</f>
        <v>High</v>
      </c>
      <c r="M1395" s="0" t="n">
        <v>-5.02</v>
      </c>
      <c r="N1395" s="3" t="n">
        <v>0.042</v>
      </c>
      <c r="O1395" s="3" t="n">
        <v>0.0113</v>
      </c>
      <c r="P1395" s="4" t="n">
        <v>0.00016</v>
      </c>
      <c r="Q1395" s="3" t="n">
        <v>0.104</v>
      </c>
      <c r="R1395" s="3" t="n">
        <v>0.833</v>
      </c>
      <c r="S1395" s="3" t="str">
        <f aca="false">IF(R1395 &gt;= 0.5, "Positive", "Negative")</f>
        <v>Positive</v>
      </c>
      <c r="T1395" s="2" t="n">
        <v>127.975</v>
      </c>
      <c r="U1395" s="0" t="s">
        <v>31</v>
      </c>
    </row>
    <row r="1396" customFormat="false" ht="14.25" hidden="false" customHeight="false" outlineLevel="0" collapsed="false">
      <c r="A1396" s="0" t="n">
        <v>740</v>
      </c>
      <c r="B1396" s="0" t="str">
        <f aca="false">_xlfn.xlookup(A1396, artists!A$2:A$836, artists!B$2:B$836)</f>
        <v>XXXTENTACION</v>
      </c>
      <c r="C1396" s="1" t="s">
        <v>1425</v>
      </c>
      <c r="D1396" s="2" t="n">
        <v>166605</v>
      </c>
      <c r="E1396" s="2" t="n">
        <f aca="false">D1396/1000</f>
        <v>166.605</v>
      </c>
      <c r="F1396" s="10" t="b">
        <f aca="false">TRUE()</f>
        <v>1</v>
      </c>
      <c r="G1396" s="0" t="n">
        <v>21</v>
      </c>
      <c r="H1396" s="0" t="n">
        <f aca="false">_xlfn.xlookup(G1396, years!A$2:A$836, years!B$2:B$836)</f>
        <v>2018</v>
      </c>
      <c r="I1396" s="2" t="n">
        <v>82</v>
      </c>
      <c r="J1396" s="0" t="n">
        <v>0.74</v>
      </c>
      <c r="K1396" s="0" t="n">
        <v>0.613</v>
      </c>
      <c r="L1396" s="3" t="str">
        <f aca="false">IF(K1396&gt;0.66,"High",IF(K1396&gt;0.33&amp;K1396&lt;=0.66,"Medium","Low"))</f>
        <v>Low</v>
      </c>
      <c r="M1396" s="0" t="n">
        <v>-4.88</v>
      </c>
      <c r="N1396" s="3" t="n">
        <v>0.145</v>
      </c>
      <c r="O1396" s="3" t="n">
        <v>0.258</v>
      </c>
      <c r="P1396" s="4" t="n">
        <v>0.00372</v>
      </c>
      <c r="Q1396" s="3" t="n">
        <v>0.123</v>
      </c>
      <c r="R1396" s="3" t="n">
        <v>0.473</v>
      </c>
      <c r="S1396" s="3" t="str">
        <f aca="false">IF(R1396 &gt;= 0.5, "Positive", "Negative")</f>
        <v>Negative</v>
      </c>
      <c r="T1396" s="2" t="n">
        <v>75.023</v>
      </c>
      <c r="U1396" s="0" t="s">
        <v>29</v>
      </c>
    </row>
    <row r="1397" customFormat="false" ht="14.25" hidden="false" customHeight="false" outlineLevel="0" collapsed="false">
      <c r="A1397" s="0" t="n">
        <v>581</v>
      </c>
      <c r="B1397" s="0" t="str">
        <f aca="false">_xlfn.xlookup(A1397, artists!A$2:A$836, artists!B$2:B$836)</f>
        <v>Capital Cities</v>
      </c>
      <c r="C1397" s="1" t="s">
        <v>1426</v>
      </c>
      <c r="D1397" s="2" t="n">
        <v>192693</v>
      </c>
      <c r="E1397" s="2" t="n">
        <f aca="false">D1397/1000</f>
        <v>192.693</v>
      </c>
      <c r="F1397" s="10" t="b">
        <f aca="false">FALSE()</f>
        <v>0</v>
      </c>
      <c r="G1397" s="0" t="n">
        <v>16</v>
      </c>
      <c r="H1397" s="0" t="n">
        <f aca="false">_xlfn.xlookup(G1397, years!A$2:A$836, years!B$2:B$836)</f>
        <v>2013</v>
      </c>
      <c r="I1397" s="2" t="n">
        <v>0</v>
      </c>
      <c r="J1397" s="0" t="n">
        <v>0.652</v>
      </c>
      <c r="K1397" s="0" t="n">
        <v>0.783</v>
      </c>
      <c r="L1397" s="3" t="str">
        <f aca="false">IF(K1397&gt;0.66,"High",IF(K1397&gt;0.33&amp;K1397&lt;=0.66,"Medium","Low"))</f>
        <v>High</v>
      </c>
      <c r="M1397" s="0" t="n">
        <v>-4.829</v>
      </c>
      <c r="N1397" s="3" t="n">
        <v>0.0309</v>
      </c>
      <c r="O1397" s="3" t="n">
        <v>0.000189</v>
      </c>
      <c r="P1397" s="4" t="n">
        <v>0.0173</v>
      </c>
      <c r="Q1397" s="3" t="n">
        <v>0.0889</v>
      </c>
      <c r="R1397" s="3" t="n">
        <v>0.836</v>
      </c>
      <c r="S1397" s="3" t="str">
        <f aca="false">IF(R1397 &gt;= 0.5, "Positive", "Negative")</f>
        <v>Positive</v>
      </c>
      <c r="T1397" s="2" t="n">
        <v>117.952</v>
      </c>
      <c r="U1397" s="0" t="s">
        <v>39</v>
      </c>
    </row>
    <row r="1398" customFormat="false" ht="14.25" hidden="false" customHeight="false" outlineLevel="0" collapsed="false">
      <c r="A1398" s="0" t="n">
        <v>587</v>
      </c>
      <c r="B1398" s="0" t="str">
        <f aca="false">_xlfn.xlookup(A1398, artists!A$2:A$836, artists!B$2:B$836)</f>
        <v>AWOLNATION</v>
      </c>
      <c r="C1398" s="1" t="s">
        <v>1427</v>
      </c>
      <c r="D1398" s="2" t="n">
        <v>259102</v>
      </c>
      <c r="E1398" s="2" t="n">
        <f aca="false">D1398/1000</f>
        <v>259.102</v>
      </c>
      <c r="F1398" s="10" t="b">
        <f aca="false">FALSE()</f>
        <v>0</v>
      </c>
      <c r="G1398" s="0" t="n">
        <v>14</v>
      </c>
      <c r="H1398" s="0" t="n">
        <f aca="false">_xlfn.xlookup(G1398, years!A$2:A$836, years!B$2:B$836)</f>
        <v>2011</v>
      </c>
      <c r="I1398" s="2" t="n">
        <v>2</v>
      </c>
      <c r="J1398" s="0" t="n">
        <v>0.825</v>
      </c>
      <c r="K1398" s="0" t="n">
        <v>0.435</v>
      </c>
      <c r="L1398" s="3" t="str">
        <f aca="false">IF(K1398&gt;0.66,"High",IF(K1398&gt;0.33&amp;K1398&lt;=0.66,"Medium","Low"))</f>
        <v>Low</v>
      </c>
      <c r="M1398" s="0" t="n">
        <v>-9.582</v>
      </c>
      <c r="N1398" s="3" t="n">
        <v>0.0568</v>
      </c>
      <c r="O1398" s="3" t="n">
        <v>0.452</v>
      </c>
      <c r="P1398" s="4" t="n">
        <v>0.609</v>
      </c>
      <c r="Q1398" s="3" t="n">
        <v>0.0953</v>
      </c>
      <c r="R1398" s="3" t="n">
        <v>0.243</v>
      </c>
      <c r="S1398" s="3" t="str">
        <f aca="false">IF(R1398 &gt;= 0.5, "Positive", "Negative")</f>
        <v>Negative</v>
      </c>
      <c r="T1398" s="2" t="n">
        <v>119.038</v>
      </c>
      <c r="U1398" s="0" t="s">
        <v>210</v>
      </c>
    </row>
    <row r="1399" customFormat="false" ht="14.25" hidden="false" customHeight="false" outlineLevel="0" collapsed="false">
      <c r="A1399" s="0" t="n">
        <v>256</v>
      </c>
      <c r="B1399" s="0" t="str">
        <f aca="false">_xlfn.xlookup(A1399, artists!A$2:A$836, artists!B$2:B$836)</f>
        <v>Ying Yang Twins</v>
      </c>
      <c r="C1399" s="1" t="s">
        <v>1428</v>
      </c>
      <c r="D1399" s="2" t="n">
        <v>252440</v>
      </c>
      <c r="E1399" s="2" t="n">
        <f aca="false">D1399/1000</f>
        <v>252.44</v>
      </c>
      <c r="F1399" s="10" t="b">
        <f aca="false">TRUE()</f>
        <v>1</v>
      </c>
      <c r="G1399" s="0" t="n">
        <v>6</v>
      </c>
      <c r="H1399" s="0" t="n">
        <f aca="false">_xlfn.xlookup(G1399, years!A$2:A$836, years!B$2:B$836)</f>
        <v>2003</v>
      </c>
      <c r="I1399" s="2" t="n">
        <v>61</v>
      </c>
      <c r="J1399" s="0" t="n">
        <v>0.884</v>
      </c>
      <c r="K1399" s="0" t="n">
        <v>0.697</v>
      </c>
      <c r="L1399" s="3" t="str">
        <f aca="false">IF(K1399&gt;0.66,"High",IF(K1399&gt;0.33&amp;K1399&lt;=0.66,"Medium","Low"))</f>
        <v>High</v>
      </c>
      <c r="M1399" s="0" t="n">
        <v>-6.022</v>
      </c>
      <c r="N1399" s="3" t="n">
        <v>0.128</v>
      </c>
      <c r="O1399" s="3" t="n">
        <v>0.0509</v>
      </c>
      <c r="P1399" s="4" t="n">
        <v>0</v>
      </c>
      <c r="Q1399" s="3" t="n">
        <v>0.094</v>
      </c>
      <c r="R1399" s="3" t="n">
        <v>0.322</v>
      </c>
      <c r="S1399" s="3" t="str">
        <f aca="false">IF(R1399 &gt;= 0.5, "Positive", "Negative")</f>
        <v>Negative</v>
      </c>
      <c r="T1399" s="2" t="n">
        <v>101.965</v>
      </c>
      <c r="U1399" s="0" t="s">
        <v>24</v>
      </c>
    </row>
    <row r="1400" customFormat="false" ht="14.25" hidden="false" customHeight="false" outlineLevel="0" collapsed="false">
      <c r="A1400" s="0" t="n">
        <v>582</v>
      </c>
      <c r="B1400" s="0" t="str">
        <f aca="false">_xlfn.xlookup(A1400, artists!A$2:A$836, artists!B$2:B$836)</f>
        <v>Selena Gomez</v>
      </c>
      <c r="C1400" s="1" t="s">
        <v>1429</v>
      </c>
      <c r="D1400" s="2" t="n">
        <v>229080</v>
      </c>
      <c r="E1400" s="2" t="n">
        <f aca="false">D1400/1000</f>
        <v>229.08</v>
      </c>
      <c r="F1400" s="10" t="b">
        <f aca="false">FALSE()</f>
        <v>0</v>
      </c>
      <c r="G1400" s="0" t="n">
        <v>18</v>
      </c>
      <c r="H1400" s="0" t="n">
        <f aca="false">_xlfn.xlookup(G1400, years!A$2:A$836, years!B$2:B$836)</f>
        <v>2015</v>
      </c>
      <c r="I1400" s="2" t="n">
        <v>69</v>
      </c>
      <c r="J1400" s="0" t="n">
        <v>0.672</v>
      </c>
      <c r="K1400" s="0" t="n">
        <v>0.593</v>
      </c>
      <c r="L1400" s="3" t="str">
        <f aca="false">IF(K1400&gt;0.66,"High",IF(K1400&gt;0.33&amp;K1400&lt;=0.66,"Medium","Low"))</f>
        <v>Low</v>
      </c>
      <c r="M1400" s="0" t="n">
        <v>-4.01</v>
      </c>
      <c r="N1400" s="3" t="n">
        <v>0.0304</v>
      </c>
      <c r="O1400" s="3" t="n">
        <v>0.0223</v>
      </c>
      <c r="P1400" s="4" t="n">
        <v>0</v>
      </c>
      <c r="Q1400" s="3" t="n">
        <v>0.214</v>
      </c>
      <c r="R1400" s="3" t="n">
        <v>0.438</v>
      </c>
      <c r="S1400" s="3" t="str">
        <f aca="false">IF(R1400 &gt;= 0.5, "Positive", "Negative")</f>
        <v>Negative</v>
      </c>
      <c r="T1400" s="2" t="n">
        <v>98.02</v>
      </c>
      <c r="U1400" s="0" t="s">
        <v>39</v>
      </c>
    </row>
    <row r="1401" customFormat="false" ht="14.25" hidden="false" customHeight="false" outlineLevel="0" collapsed="false">
      <c r="A1401" s="0" t="n">
        <v>25</v>
      </c>
      <c r="B1401" s="0" t="str">
        <f aca="false">_xlfn.xlookup(A1401, artists!A$2:A$836, artists!B$2:B$836)</f>
        <v>Darude</v>
      </c>
      <c r="C1401" s="1" t="s">
        <v>1430</v>
      </c>
      <c r="D1401" s="2" t="n">
        <v>225493</v>
      </c>
      <c r="E1401" s="2" t="n">
        <f aca="false">D1401/1000</f>
        <v>225.493</v>
      </c>
      <c r="F1401" s="10" t="b">
        <f aca="false">FALSE()</f>
        <v>0</v>
      </c>
      <c r="G1401" s="0" t="n">
        <v>4</v>
      </c>
      <c r="H1401" s="0" t="n">
        <f aca="false">_xlfn.xlookup(G1401, years!A$2:A$836, years!B$2:B$836)</f>
        <v>2001</v>
      </c>
      <c r="I1401" s="2" t="n">
        <v>69</v>
      </c>
      <c r="J1401" s="0" t="n">
        <v>0.528</v>
      </c>
      <c r="K1401" s="0" t="n">
        <v>0.965</v>
      </c>
      <c r="L1401" s="3" t="str">
        <f aca="false">IF(K1401&gt;0.66,"High",IF(K1401&gt;0.33&amp;K1401&lt;=0.66,"Medium","Low"))</f>
        <v>High</v>
      </c>
      <c r="M1401" s="0" t="n">
        <v>-7.984</v>
      </c>
      <c r="N1401" s="3" t="n">
        <v>0.0465</v>
      </c>
      <c r="O1401" s="3" t="n">
        <v>0.141</v>
      </c>
      <c r="P1401" s="4" t="n">
        <v>0.985</v>
      </c>
      <c r="Q1401" s="3" t="n">
        <v>0.0797</v>
      </c>
      <c r="R1401" s="3" t="n">
        <v>0.587</v>
      </c>
      <c r="S1401" s="3" t="str">
        <f aca="false">IF(R1401 &gt;= 0.5, "Positive", "Negative")</f>
        <v>Positive</v>
      </c>
      <c r="T1401" s="2" t="n">
        <v>136.065</v>
      </c>
      <c r="U1401" s="0" t="s">
        <v>22</v>
      </c>
    </row>
    <row r="1402" customFormat="false" ht="14.25" hidden="false" customHeight="false" outlineLevel="0" collapsed="false">
      <c r="A1402" s="0" t="n">
        <v>196</v>
      </c>
      <c r="B1402" s="0" t="str">
        <f aca="false">_xlfn.xlookup(A1402, artists!A$2:A$836, artists!B$2:B$836)</f>
        <v>Benny Benassi</v>
      </c>
      <c r="C1402" s="1" t="s">
        <v>1431</v>
      </c>
      <c r="D1402" s="2" t="n">
        <v>285570</v>
      </c>
      <c r="E1402" s="2" t="n">
        <f aca="false">D1402/1000</f>
        <v>285.57</v>
      </c>
      <c r="F1402" s="10" t="b">
        <f aca="false">FALSE()</f>
        <v>0</v>
      </c>
      <c r="G1402" s="0" t="n">
        <v>6</v>
      </c>
      <c r="H1402" s="0" t="n">
        <f aca="false">_xlfn.xlookup(G1402, years!A$2:A$836, years!B$2:B$836)</f>
        <v>2003</v>
      </c>
      <c r="I1402" s="2" t="n">
        <v>66</v>
      </c>
      <c r="J1402" s="0" t="n">
        <v>0.793</v>
      </c>
      <c r="K1402" s="0" t="n">
        <v>0.698</v>
      </c>
      <c r="L1402" s="3" t="str">
        <f aca="false">IF(K1402&gt;0.66,"High",IF(K1402&gt;0.33&amp;K1402&lt;=0.66,"Medium","Low"))</f>
        <v>High</v>
      </c>
      <c r="M1402" s="0" t="n">
        <v>-3.626</v>
      </c>
      <c r="N1402" s="3" t="n">
        <v>0.104</v>
      </c>
      <c r="O1402" s="3" t="n">
        <v>0.163</v>
      </c>
      <c r="P1402" s="4" t="n">
        <v>0.145</v>
      </c>
      <c r="Q1402" s="3" t="n">
        <v>0.0745</v>
      </c>
      <c r="R1402" s="3" t="n">
        <v>0.339</v>
      </c>
      <c r="S1402" s="3" t="str">
        <f aca="false">IF(R1402 &gt;= 0.5, "Positive", "Negative")</f>
        <v>Negative</v>
      </c>
      <c r="T1402" s="2" t="n">
        <v>130.017</v>
      </c>
      <c r="U1402" s="0" t="s">
        <v>22</v>
      </c>
    </row>
    <row r="1403" customFormat="false" ht="14.25" hidden="false" customHeight="false" outlineLevel="0" collapsed="false">
      <c r="A1403" s="0" t="n">
        <v>722</v>
      </c>
      <c r="B1403" s="0" t="str">
        <f aca="false">_xlfn.xlookup(A1403, artists!A$2:A$836, artists!B$2:B$836)</f>
        <v>Lil Peep</v>
      </c>
      <c r="C1403" s="1" t="s">
        <v>1432</v>
      </c>
      <c r="D1403" s="2" t="n">
        <v>231546</v>
      </c>
      <c r="E1403" s="2" t="n">
        <f aca="false">D1403/1000</f>
        <v>231.546</v>
      </c>
      <c r="F1403" s="10" t="b">
        <f aca="false">TRUE()</f>
        <v>1</v>
      </c>
      <c r="G1403" s="0" t="n">
        <v>20</v>
      </c>
      <c r="H1403" s="0" t="n">
        <f aca="false">_xlfn.xlookup(G1403, years!A$2:A$836, years!B$2:B$836)</f>
        <v>2017</v>
      </c>
      <c r="I1403" s="2" t="n">
        <v>77</v>
      </c>
      <c r="J1403" s="0" t="n">
        <v>0.534</v>
      </c>
      <c r="K1403" s="0" t="n">
        <v>0.583</v>
      </c>
      <c r="L1403" s="3" t="str">
        <f aca="false">IF(K1403&gt;0.66,"High",IF(K1403&gt;0.33&amp;K1403&lt;=0.66,"Medium","Low"))</f>
        <v>Low</v>
      </c>
      <c r="M1403" s="0" t="n">
        <v>-8.672</v>
      </c>
      <c r="N1403" s="3" t="n">
        <v>0.0288</v>
      </c>
      <c r="O1403" s="3" t="n">
        <v>0.0262</v>
      </c>
      <c r="P1403" s="4" t="n">
        <v>0</v>
      </c>
      <c r="Q1403" s="3" t="n">
        <v>0.421</v>
      </c>
      <c r="R1403" s="3" t="n">
        <v>0.145</v>
      </c>
      <c r="S1403" s="3" t="str">
        <f aca="false">IF(R1403 &gt;= 0.5, "Positive", "Negative")</f>
        <v>Negative</v>
      </c>
      <c r="T1403" s="2" t="n">
        <v>105.997</v>
      </c>
      <c r="U1403" s="0" t="s">
        <v>29</v>
      </c>
    </row>
    <row r="1404" customFormat="false" ht="14.25" hidden="false" customHeight="false" outlineLevel="0" collapsed="false">
      <c r="A1404" s="0" t="n">
        <v>480</v>
      </c>
      <c r="B1404" s="0" t="str">
        <f aca="false">_xlfn.xlookup(A1404, artists!A$2:A$836, artists!B$2:B$836)</f>
        <v>Swedish House Mafia</v>
      </c>
      <c r="C1404" s="1" t="s">
        <v>1433</v>
      </c>
      <c r="D1404" s="2" t="n">
        <v>213337</v>
      </c>
      <c r="E1404" s="2" t="n">
        <f aca="false">D1404/1000</f>
        <v>213.337</v>
      </c>
      <c r="F1404" s="10" t="b">
        <f aca="false">FALSE()</f>
        <v>0</v>
      </c>
      <c r="G1404" s="0" t="n">
        <v>14</v>
      </c>
      <c r="H1404" s="0" t="n">
        <f aca="false">_xlfn.xlookup(G1404, years!A$2:A$836, years!B$2:B$836)</f>
        <v>2011</v>
      </c>
      <c r="I1404" s="2" t="n">
        <v>65</v>
      </c>
      <c r="J1404" s="0" t="n">
        <v>0.507</v>
      </c>
      <c r="K1404" s="0" t="n">
        <v>0.665</v>
      </c>
      <c r="L1404" s="3" t="str">
        <f aca="false">IF(K1404&gt;0.66,"High",IF(K1404&gt;0.33&amp;K1404&lt;=0.66,"Medium","Low"))</f>
        <v>High</v>
      </c>
      <c r="M1404" s="0" t="n">
        <v>-7.598</v>
      </c>
      <c r="N1404" s="3" t="n">
        <v>0.0474</v>
      </c>
      <c r="O1404" s="3" t="n">
        <v>0.0144</v>
      </c>
      <c r="P1404" s="4" t="n">
        <v>0</v>
      </c>
      <c r="Q1404" s="3" t="n">
        <v>0.0759</v>
      </c>
      <c r="R1404" s="3" t="n">
        <v>0.4</v>
      </c>
      <c r="S1404" s="3" t="str">
        <f aca="false">IF(R1404 &gt;= 0.5, "Positive", "Negative")</f>
        <v>Negative</v>
      </c>
      <c r="T1404" s="2" t="n">
        <v>126.879</v>
      </c>
      <c r="U1404" s="0" t="s">
        <v>22</v>
      </c>
    </row>
    <row r="1405" customFormat="false" ht="14.25" hidden="false" customHeight="false" outlineLevel="0" collapsed="false">
      <c r="A1405" s="0" t="n">
        <v>102</v>
      </c>
      <c r="B1405" s="0" t="str">
        <f aca="false">_xlfn.xlookup(A1405, artists!A$2:A$836, artists!B$2:B$836)</f>
        <v>Nickelback</v>
      </c>
      <c r="C1405" s="1" t="s">
        <v>1434</v>
      </c>
      <c r="D1405" s="2" t="n">
        <v>219320</v>
      </c>
      <c r="E1405" s="2" t="n">
        <f aca="false">D1405/1000</f>
        <v>219.32</v>
      </c>
      <c r="F1405" s="10" t="b">
        <f aca="false">FALSE()</f>
        <v>0</v>
      </c>
      <c r="G1405" s="0" t="n">
        <v>8</v>
      </c>
      <c r="H1405" s="0" t="n">
        <f aca="false">_xlfn.xlookup(G1405, years!A$2:A$836, years!B$2:B$836)</f>
        <v>2005</v>
      </c>
      <c r="I1405" s="2" t="n">
        <v>65</v>
      </c>
      <c r="J1405" s="0" t="n">
        <v>0.441</v>
      </c>
      <c r="K1405" s="0" t="n">
        <v>0.815</v>
      </c>
      <c r="L1405" s="3" t="str">
        <f aca="false">IF(K1405&gt;0.66,"High",IF(K1405&gt;0.33&amp;K1405&lt;=0.66,"Medium","Low"))</f>
        <v>High</v>
      </c>
      <c r="M1405" s="0" t="n">
        <v>-4.088</v>
      </c>
      <c r="N1405" s="3" t="n">
        <v>0.0276</v>
      </c>
      <c r="O1405" s="3" t="n">
        <v>0.000731</v>
      </c>
      <c r="P1405" s="4" t="n">
        <v>0</v>
      </c>
      <c r="Q1405" s="3" t="n">
        <v>0.414</v>
      </c>
      <c r="R1405" s="3" t="n">
        <v>0.522</v>
      </c>
      <c r="S1405" s="3" t="str">
        <f aca="false">IF(R1405 &gt;= 0.5, "Positive", "Negative")</f>
        <v>Positive</v>
      </c>
      <c r="T1405" s="2" t="n">
        <v>164.007</v>
      </c>
      <c r="U1405" s="0" t="s">
        <v>81</v>
      </c>
    </row>
    <row r="1406" customFormat="false" ht="14.25" hidden="false" customHeight="false" outlineLevel="0" collapsed="false">
      <c r="A1406" s="0" t="n">
        <v>424</v>
      </c>
      <c r="B1406" s="0" t="str">
        <f aca="false">_xlfn.xlookup(A1406, artists!A$2:A$836, artists!B$2:B$836)</f>
        <v>Trey Songz</v>
      </c>
      <c r="C1406" s="1" t="s">
        <v>1435</v>
      </c>
      <c r="D1406" s="2" t="n">
        <v>207546</v>
      </c>
      <c r="E1406" s="2" t="n">
        <f aca="false">D1406/1000</f>
        <v>207.546</v>
      </c>
      <c r="F1406" s="10" t="b">
        <f aca="false">FALSE()</f>
        <v>0</v>
      </c>
      <c r="G1406" s="0" t="n">
        <v>12</v>
      </c>
      <c r="H1406" s="0" t="n">
        <f aca="false">_xlfn.xlookup(G1406, years!A$2:A$836, years!B$2:B$836)</f>
        <v>2009</v>
      </c>
      <c r="I1406" s="2" t="n">
        <v>54</v>
      </c>
      <c r="J1406" s="0" t="n">
        <v>0.724</v>
      </c>
      <c r="K1406" s="0" t="n">
        <v>0.87</v>
      </c>
      <c r="L1406" s="3" t="str">
        <f aca="false">IF(K1406&gt;0.66,"High",IF(K1406&gt;0.33&amp;K1406&lt;=0.66,"Medium","Low"))</f>
        <v>High</v>
      </c>
      <c r="M1406" s="0" t="n">
        <v>-3.614</v>
      </c>
      <c r="N1406" s="3" t="n">
        <v>0.113</v>
      </c>
      <c r="O1406" s="3" t="n">
        <v>0.00453</v>
      </c>
      <c r="P1406" s="4" t="n">
        <v>0</v>
      </c>
      <c r="Q1406" s="3" t="n">
        <v>0.833</v>
      </c>
      <c r="R1406" s="3" t="n">
        <v>0.81</v>
      </c>
      <c r="S1406" s="3" t="str">
        <f aca="false">IF(R1406 &gt;= 0.5, "Positive", "Negative")</f>
        <v>Positive</v>
      </c>
      <c r="T1406" s="2" t="n">
        <v>93.01</v>
      </c>
      <c r="U1406" s="0" t="s">
        <v>31</v>
      </c>
    </row>
    <row r="1407" customFormat="false" ht="14.25" hidden="false" customHeight="false" outlineLevel="0" collapsed="false">
      <c r="A1407" s="0" t="n">
        <v>703</v>
      </c>
      <c r="B1407" s="0" t="str">
        <f aca="false">_xlfn.xlookup(A1407, artists!A$2:A$836, artists!B$2:B$836)</f>
        <v>Tory Lanez</v>
      </c>
      <c r="C1407" s="1" t="s">
        <v>1436</v>
      </c>
      <c r="D1407" s="2" t="n">
        <v>237786</v>
      </c>
      <c r="E1407" s="2" t="n">
        <f aca="false">D1407/1000</f>
        <v>237.786</v>
      </c>
      <c r="F1407" s="10" t="b">
        <f aca="false">TRUE()</f>
        <v>1</v>
      </c>
      <c r="G1407" s="0" t="n">
        <v>19</v>
      </c>
      <c r="H1407" s="0" t="n">
        <f aca="false">_xlfn.xlookup(G1407, years!A$2:A$836, years!B$2:B$836)</f>
        <v>2016</v>
      </c>
      <c r="I1407" s="2" t="n">
        <v>73</v>
      </c>
      <c r="J1407" s="0" t="n">
        <v>0.546</v>
      </c>
      <c r="K1407" s="0" t="n">
        <v>0.529</v>
      </c>
      <c r="L1407" s="3" t="str">
        <f aca="false">IF(K1407&gt;0.66,"High",IF(K1407&gt;0.33&amp;K1407&lt;=0.66,"Medium","Low"))</f>
        <v>Low</v>
      </c>
      <c r="M1407" s="0" t="n">
        <v>-10.511</v>
      </c>
      <c r="N1407" s="3" t="n">
        <v>0.0583</v>
      </c>
      <c r="O1407" s="3" t="n">
        <v>0.0862</v>
      </c>
      <c r="P1407" s="4" t="n">
        <v>6.5E-006</v>
      </c>
      <c r="Q1407" s="3" t="n">
        <v>0.124</v>
      </c>
      <c r="R1407" s="3" t="n">
        <v>0.247</v>
      </c>
      <c r="S1407" s="3" t="str">
        <f aca="false">IF(R1407 &gt;= 0.5, "Positive", "Negative")</f>
        <v>Negative</v>
      </c>
      <c r="T1407" s="2" t="n">
        <v>107.331</v>
      </c>
      <c r="U1407" s="0" t="s">
        <v>31</v>
      </c>
    </row>
    <row r="1408" customFormat="false" ht="14.25" hidden="false" customHeight="false" outlineLevel="0" collapsed="false">
      <c r="A1408" s="0" t="n">
        <v>711</v>
      </c>
      <c r="B1408" s="0" t="str">
        <f aca="false">_xlfn.xlookup(A1408, artists!A$2:A$836, artists!B$2:B$836)</f>
        <v>Flume</v>
      </c>
      <c r="C1408" s="1" t="s">
        <v>1436</v>
      </c>
      <c r="D1408" s="2" t="n">
        <v>262521</v>
      </c>
      <c r="E1408" s="2" t="n">
        <f aca="false">D1408/1000</f>
        <v>262.521</v>
      </c>
      <c r="F1408" s="10" t="b">
        <f aca="false">TRUE()</f>
        <v>1</v>
      </c>
      <c r="G1408" s="0" t="n">
        <v>19</v>
      </c>
      <c r="H1408" s="0" t="n">
        <f aca="false">_xlfn.xlookup(G1408, years!A$2:A$836, years!B$2:B$836)</f>
        <v>2016</v>
      </c>
      <c r="I1408" s="2" t="n">
        <v>53</v>
      </c>
      <c r="J1408" s="0" t="n">
        <v>0.581</v>
      </c>
      <c r="K1408" s="0" t="n">
        <v>0.531</v>
      </c>
      <c r="L1408" s="3" t="str">
        <f aca="false">IF(K1408&gt;0.66,"High",IF(K1408&gt;0.33&amp;K1408&lt;=0.66,"Medium","Low"))</f>
        <v>Low</v>
      </c>
      <c r="M1408" s="0" t="n">
        <v>-6.829</v>
      </c>
      <c r="N1408" s="3" t="n">
        <v>0.0322</v>
      </c>
      <c r="O1408" s="3" t="n">
        <v>0.0731</v>
      </c>
      <c r="P1408" s="4" t="n">
        <v>3.27E-006</v>
      </c>
      <c r="Q1408" s="3" t="n">
        <v>0.0616</v>
      </c>
      <c r="R1408" s="3" t="n">
        <v>0.273</v>
      </c>
      <c r="S1408" s="3" t="str">
        <f aca="false">IF(R1408 &gt;= 0.5, "Positive", "Negative")</f>
        <v>Negative</v>
      </c>
      <c r="T1408" s="2" t="n">
        <v>75.255</v>
      </c>
      <c r="U1408" s="0" t="s">
        <v>48</v>
      </c>
    </row>
    <row r="1409" customFormat="false" ht="14.25" hidden="false" customHeight="false" outlineLevel="0" collapsed="false">
      <c r="A1409" s="0" t="n">
        <v>83</v>
      </c>
      <c r="B1409" s="0" t="str">
        <f aca="false">_xlfn.xlookup(A1409, artists!A$2:A$836, artists!B$2:B$836)</f>
        <v>Nelly Furtado</v>
      </c>
      <c r="C1409" s="1" t="s">
        <v>1437</v>
      </c>
      <c r="D1409" s="2" t="n">
        <v>223080</v>
      </c>
      <c r="E1409" s="2" t="n">
        <f aca="false">D1409/1000</f>
        <v>223.08</v>
      </c>
      <c r="F1409" s="10" t="b">
        <f aca="false">FALSE()</f>
        <v>0</v>
      </c>
      <c r="G1409" s="0" t="n">
        <v>9</v>
      </c>
      <c r="H1409" s="0" t="n">
        <f aca="false">_xlfn.xlookup(G1409, years!A$2:A$836, years!B$2:B$836)</f>
        <v>2006</v>
      </c>
      <c r="I1409" s="2" t="n">
        <v>81</v>
      </c>
      <c r="J1409" s="0" t="n">
        <v>0.872</v>
      </c>
      <c r="K1409" s="0" t="n">
        <v>0.872</v>
      </c>
      <c r="L1409" s="3" t="str">
        <f aca="false">IF(K1409&gt;0.66,"High",IF(K1409&gt;0.33&amp;K1409&lt;=0.66,"Medium","Low"))</f>
        <v>High</v>
      </c>
      <c r="M1409" s="0" t="n">
        <v>-6.328</v>
      </c>
      <c r="N1409" s="3" t="n">
        <v>0.139</v>
      </c>
      <c r="O1409" s="3" t="n">
        <v>0.0476</v>
      </c>
      <c r="P1409" s="4" t="n">
        <v>0.00112</v>
      </c>
      <c r="Q1409" s="3" t="n">
        <v>0.0543</v>
      </c>
      <c r="R1409" s="3" t="n">
        <v>0.809</v>
      </c>
      <c r="S1409" s="3" t="str">
        <f aca="false">IF(R1409 &gt;= 0.5, "Positive", "Negative")</f>
        <v>Positive</v>
      </c>
      <c r="T1409" s="2" t="n">
        <v>116.948</v>
      </c>
      <c r="U1409" s="0" t="s">
        <v>483</v>
      </c>
    </row>
    <row r="1410" customFormat="false" ht="14.25" hidden="false" customHeight="false" outlineLevel="0" collapsed="false">
      <c r="A1410" s="0" t="n">
        <v>9</v>
      </c>
      <c r="B1410" s="0" t="str">
        <f aca="false">_xlfn.xlookup(A1410, artists!A$2:A$836, artists!B$2:B$836)</f>
        <v>Destiny's Child</v>
      </c>
      <c r="C1410" s="1" t="s">
        <v>1438</v>
      </c>
      <c r="D1410" s="2" t="n">
        <v>271333</v>
      </c>
      <c r="E1410" s="2" t="n">
        <f aca="false">D1410/1000</f>
        <v>271.333</v>
      </c>
      <c r="F1410" s="10" t="b">
        <f aca="false">FALSE()</f>
        <v>0</v>
      </c>
      <c r="G1410" s="0" t="n">
        <v>2</v>
      </c>
      <c r="H1410" s="0" t="n">
        <f aca="false">_xlfn.xlookup(G1410, years!A$2:A$836, years!B$2:B$836)</f>
        <v>1999</v>
      </c>
      <c r="I1410" s="2" t="n">
        <v>75</v>
      </c>
      <c r="J1410" s="0" t="n">
        <v>0.713</v>
      </c>
      <c r="K1410" s="0" t="n">
        <v>0.678</v>
      </c>
      <c r="L1410" s="3" t="str">
        <f aca="false">IF(K1410&gt;0.66,"High",IF(K1410&gt;0.33&amp;K1410&lt;=0.66,"Medium","Low"))</f>
        <v>High</v>
      </c>
      <c r="M1410" s="0" t="n">
        <v>-3.525</v>
      </c>
      <c r="N1410" s="3" t="n">
        <v>0.102</v>
      </c>
      <c r="O1410" s="3" t="n">
        <v>0.273</v>
      </c>
      <c r="P1410" s="4" t="n">
        <v>0</v>
      </c>
      <c r="Q1410" s="3" t="n">
        <v>0.149</v>
      </c>
      <c r="R1410" s="3" t="n">
        <v>0.734</v>
      </c>
      <c r="S1410" s="3" t="str">
        <f aca="false">IF(R1410 &gt;= 0.5, "Positive", "Negative")</f>
        <v>Positive</v>
      </c>
      <c r="T1410" s="2" t="n">
        <v>138.009</v>
      </c>
      <c r="U1410" s="0" t="s">
        <v>33</v>
      </c>
    </row>
    <row r="1411" customFormat="false" ht="14.25" hidden="false" customHeight="false" outlineLevel="0" collapsed="false">
      <c r="A1411" s="0" t="n">
        <v>217</v>
      </c>
      <c r="B1411" s="0" t="str">
        <f aca="false">_xlfn.xlookup(A1411, artists!A$2:A$836, artists!B$2:B$836)</f>
        <v>Floetry</v>
      </c>
      <c r="C1411" s="1" t="s">
        <v>1439</v>
      </c>
      <c r="D1411" s="2" t="n">
        <v>268373</v>
      </c>
      <c r="E1411" s="2" t="n">
        <f aca="false">D1411/1000</f>
        <v>268.373</v>
      </c>
      <c r="F1411" s="10" t="b">
        <f aca="false">FALSE()</f>
        <v>0</v>
      </c>
      <c r="G1411" s="0" t="n">
        <v>5</v>
      </c>
      <c r="H1411" s="0" t="n">
        <f aca="false">_xlfn.xlookup(G1411, years!A$2:A$836, years!B$2:B$836)</f>
        <v>2002</v>
      </c>
      <c r="I1411" s="2" t="n">
        <v>57</v>
      </c>
      <c r="J1411" s="0" t="n">
        <v>0.747</v>
      </c>
      <c r="K1411" s="0" t="n">
        <v>0.398</v>
      </c>
      <c r="L1411" s="3" t="str">
        <f aca="false">IF(K1411&gt;0.66,"High",IF(K1411&gt;0.33&amp;K1411&lt;=0.66,"Medium","Low"))</f>
        <v>Low</v>
      </c>
      <c r="M1411" s="0" t="n">
        <v>-12.932</v>
      </c>
      <c r="N1411" s="3" t="n">
        <v>0.0743</v>
      </c>
      <c r="O1411" s="3" t="n">
        <v>0.211</v>
      </c>
      <c r="P1411" s="4" t="n">
        <v>1.42E-006</v>
      </c>
      <c r="Q1411" s="3" t="n">
        <v>0.113</v>
      </c>
      <c r="R1411" s="3" t="n">
        <v>0.428</v>
      </c>
      <c r="S1411" s="3" t="str">
        <f aca="false">IF(R1411 &gt;= 0.5, "Positive", "Negative")</f>
        <v>Negative</v>
      </c>
      <c r="T1411" s="2" t="n">
        <v>117.901</v>
      </c>
      <c r="U1411" s="0" t="s">
        <v>31</v>
      </c>
    </row>
    <row r="1412" customFormat="false" ht="14.25" hidden="false" customHeight="false" outlineLevel="0" collapsed="false">
      <c r="A1412" s="0" t="n">
        <v>125</v>
      </c>
      <c r="B1412" s="0" t="str">
        <f aca="false">_xlfn.xlookup(A1412, artists!A$2:A$836, artists!B$2:B$836)</f>
        <v>Mis-Teeq</v>
      </c>
      <c r="C1412" s="1" t="s">
        <v>1440</v>
      </c>
      <c r="D1412" s="2" t="n">
        <v>238840</v>
      </c>
      <c r="E1412" s="2" t="n">
        <f aca="false">D1412/1000</f>
        <v>238.84</v>
      </c>
      <c r="F1412" s="10" t="b">
        <f aca="false">FALSE()</f>
        <v>0</v>
      </c>
      <c r="G1412" s="0" t="n">
        <v>7</v>
      </c>
      <c r="H1412" s="0" t="n">
        <f aca="false">_xlfn.xlookup(G1412, years!A$2:A$836, years!B$2:B$836)</f>
        <v>2004</v>
      </c>
      <c r="I1412" s="2" t="n">
        <v>59</v>
      </c>
      <c r="J1412" s="0" t="n">
        <v>0.734</v>
      </c>
      <c r="K1412" s="0" t="n">
        <v>0.668</v>
      </c>
      <c r="L1412" s="3" t="str">
        <f aca="false">IF(K1412&gt;0.66,"High",IF(K1412&gt;0.33&amp;K1412&lt;=0.66,"Medium","Low"))</f>
        <v>High</v>
      </c>
      <c r="M1412" s="0" t="n">
        <v>-3.935</v>
      </c>
      <c r="N1412" s="3" t="n">
        <v>0.0349</v>
      </c>
      <c r="O1412" s="3" t="n">
        <v>0.0526</v>
      </c>
      <c r="P1412" s="4" t="n">
        <v>0</v>
      </c>
      <c r="Q1412" s="3" t="n">
        <v>0.0925</v>
      </c>
      <c r="R1412" s="3" t="n">
        <v>0.651</v>
      </c>
      <c r="S1412" s="3" t="str">
        <f aca="false">IF(R1412 &gt;= 0.5, "Positive", "Negative")</f>
        <v>Positive</v>
      </c>
      <c r="T1412" s="2" t="n">
        <v>99.971</v>
      </c>
      <c r="U1412" s="0" t="s">
        <v>22</v>
      </c>
    </row>
    <row r="1413" customFormat="false" ht="14.25" hidden="false" customHeight="false" outlineLevel="0" collapsed="false">
      <c r="A1413" s="0" t="n">
        <v>577</v>
      </c>
      <c r="B1413" s="0" t="str">
        <f aca="false">_xlfn.xlookup(A1413, artists!A$2:A$836, artists!B$2:B$836)</f>
        <v>Martin Garrix</v>
      </c>
      <c r="C1413" s="1" t="s">
        <v>1441</v>
      </c>
      <c r="D1413" s="2" t="n">
        <v>220883</v>
      </c>
      <c r="E1413" s="2" t="n">
        <f aca="false">D1413/1000</f>
        <v>220.883</v>
      </c>
      <c r="F1413" s="10" t="b">
        <f aca="false">FALSE()</f>
        <v>0</v>
      </c>
      <c r="G1413" s="0" t="n">
        <v>20</v>
      </c>
      <c r="H1413" s="0" t="n">
        <f aca="false">_xlfn.xlookup(G1413, years!A$2:A$836, years!B$2:B$836)</f>
        <v>2017</v>
      </c>
      <c r="I1413" s="2" t="n">
        <v>77</v>
      </c>
      <c r="J1413" s="0" t="n">
        <v>0.584</v>
      </c>
      <c r="K1413" s="0" t="n">
        <v>0.54</v>
      </c>
      <c r="L1413" s="3" t="str">
        <f aca="false">IF(K1413&gt;0.66,"High",IF(K1413&gt;0.33&amp;K1413&lt;=0.66,"Medium","Low"))</f>
        <v>Low</v>
      </c>
      <c r="M1413" s="0" t="n">
        <v>-7.786</v>
      </c>
      <c r="N1413" s="3" t="n">
        <v>0.0576</v>
      </c>
      <c r="O1413" s="3" t="n">
        <v>0.0895</v>
      </c>
      <c r="P1413" s="4" t="n">
        <v>0</v>
      </c>
      <c r="Q1413" s="3" t="n">
        <v>0.261</v>
      </c>
      <c r="R1413" s="3" t="n">
        <v>0.195</v>
      </c>
      <c r="S1413" s="3" t="str">
        <f aca="false">IF(R1413 &gt;= 0.5, "Positive", "Negative")</f>
        <v>Negative</v>
      </c>
      <c r="T1413" s="2" t="n">
        <v>137.972</v>
      </c>
      <c r="U1413" s="0" t="s">
        <v>22</v>
      </c>
    </row>
    <row r="1414" customFormat="false" ht="14.25" hidden="false" customHeight="false" outlineLevel="0" collapsed="false">
      <c r="A1414" s="0" t="n">
        <v>307</v>
      </c>
      <c r="B1414" s="0" t="str">
        <f aca="false">_xlfn.xlookup(A1414, artists!A$2:A$836, artists!B$2:B$836)</f>
        <v>Papa Roach</v>
      </c>
      <c r="C1414" s="1" t="s">
        <v>1442</v>
      </c>
      <c r="D1414" s="2" t="n">
        <v>208199</v>
      </c>
      <c r="E1414" s="2" t="n">
        <f aca="false">D1414/1000</f>
        <v>208.199</v>
      </c>
      <c r="F1414" s="10" t="b">
        <f aca="false">FALSE()</f>
        <v>0</v>
      </c>
      <c r="G1414" s="0" t="n">
        <v>7</v>
      </c>
      <c r="H1414" s="0" t="n">
        <f aca="false">_xlfn.xlookup(G1414, years!A$2:A$836, years!B$2:B$836)</f>
        <v>2004</v>
      </c>
      <c r="I1414" s="2" t="n">
        <v>60</v>
      </c>
      <c r="J1414" s="0" t="n">
        <v>0.455</v>
      </c>
      <c r="K1414" s="0" t="n">
        <v>0.929</v>
      </c>
      <c r="L1414" s="3" t="str">
        <f aca="false">IF(K1414&gt;0.66,"High",IF(K1414&gt;0.33&amp;K1414&lt;=0.66,"Medium","Low"))</f>
        <v>High</v>
      </c>
      <c r="M1414" s="0" t="n">
        <v>-3.295</v>
      </c>
      <c r="N1414" s="3" t="n">
        <v>0.0494</v>
      </c>
      <c r="O1414" s="3" t="n">
        <v>0.0875</v>
      </c>
      <c r="P1414" s="4" t="n">
        <v>0</v>
      </c>
      <c r="Q1414" s="3" t="n">
        <v>0.226</v>
      </c>
      <c r="R1414" s="3" t="n">
        <v>0.484</v>
      </c>
      <c r="S1414" s="3" t="str">
        <f aca="false">IF(R1414 &gt;= 0.5, "Positive", "Negative")</f>
        <v>Negative</v>
      </c>
      <c r="T1414" s="2" t="n">
        <v>89.782</v>
      </c>
      <c r="U1414" s="0" t="s">
        <v>81</v>
      </c>
    </row>
    <row r="1415" customFormat="false" ht="14.25" hidden="false" customHeight="false" outlineLevel="0" collapsed="false">
      <c r="A1415" s="0" t="n">
        <v>567</v>
      </c>
      <c r="B1415" s="0" t="str">
        <f aca="false">_xlfn.xlookup(A1415, artists!A$2:A$836, artists!B$2:B$836)</f>
        <v>Little Mix</v>
      </c>
      <c r="C1415" s="1" t="s">
        <v>1443</v>
      </c>
      <c r="D1415" s="2" t="n">
        <v>246240</v>
      </c>
      <c r="E1415" s="2" t="n">
        <f aca="false">D1415/1000</f>
        <v>246.24</v>
      </c>
      <c r="F1415" s="10" t="b">
        <f aca="false">FALSE()</f>
        <v>0</v>
      </c>
      <c r="G1415" s="0" t="n">
        <v>20</v>
      </c>
      <c r="H1415" s="0" t="n">
        <f aca="false">_xlfn.xlookup(G1415, years!A$2:A$836, years!B$2:B$836)</f>
        <v>2017</v>
      </c>
      <c r="I1415" s="2" t="n">
        <v>1</v>
      </c>
      <c r="J1415" s="0" t="n">
        <v>0.773</v>
      </c>
      <c r="K1415" s="0" t="n">
        <v>0.747</v>
      </c>
      <c r="L1415" s="3" t="str">
        <f aca="false">IF(K1415&gt;0.66,"High",IF(K1415&gt;0.33&amp;K1415&lt;=0.66,"Medium","Low"))</f>
        <v>High</v>
      </c>
      <c r="M1415" s="0" t="n">
        <v>-4.061</v>
      </c>
      <c r="N1415" s="3" t="n">
        <v>0.0889</v>
      </c>
      <c r="O1415" s="3" t="n">
        <v>0.0239</v>
      </c>
      <c r="P1415" s="4" t="n">
        <v>8.23E-006</v>
      </c>
      <c r="Q1415" s="3" t="n">
        <v>0.11</v>
      </c>
      <c r="R1415" s="3" t="n">
        <v>0.8</v>
      </c>
      <c r="S1415" s="3" t="str">
        <f aca="false">IF(R1415 &gt;= 0.5, "Positive", "Negative")</f>
        <v>Positive</v>
      </c>
      <c r="T1415" s="2" t="n">
        <v>126.014</v>
      </c>
      <c r="U1415" s="0" t="s">
        <v>39</v>
      </c>
    </row>
    <row r="1416" customFormat="false" ht="14.25" hidden="false" customHeight="false" outlineLevel="0" collapsed="false">
      <c r="A1416" s="0" t="n">
        <v>120</v>
      </c>
      <c r="B1416" s="0" t="str">
        <f aca="false">_xlfn.xlookup(A1416, artists!A$2:A$836, artists!B$2:B$836)</f>
        <v>Usher</v>
      </c>
      <c r="C1416" s="1" t="s">
        <v>1444</v>
      </c>
      <c r="D1416" s="2" t="n">
        <v>234693</v>
      </c>
      <c r="E1416" s="2" t="n">
        <f aca="false">D1416/1000</f>
        <v>234.693</v>
      </c>
      <c r="F1416" s="10" t="b">
        <f aca="false">FALSE()</f>
        <v>0</v>
      </c>
      <c r="G1416" s="0" t="n">
        <v>15</v>
      </c>
      <c r="H1416" s="0" t="n">
        <f aca="false">_xlfn.xlookup(G1416, years!A$2:A$836, years!B$2:B$836)</f>
        <v>2012</v>
      </c>
      <c r="I1416" s="2" t="n">
        <v>66</v>
      </c>
      <c r="J1416" s="0" t="n">
        <v>0.616</v>
      </c>
      <c r="K1416" s="0" t="n">
        <v>0.862</v>
      </c>
      <c r="L1416" s="3" t="str">
        <f aca="false">IF(K1416&gt;0.66,"High",IF(K1416&gt;0.33&amp;K1416&lt;=0.66,"Medium","Low"))</f>
        <v>High</v>
      </c>
      <c r="M1416" s="0" t="n">
        <v>-5.18</v>
      </c>
      <c r="N1416" s="3" t="n">
        <v>0.0973</v>
      </c>
      <c r="O1416" s="3" t="n">
        <v>0.00117</v>
      </c>
      <c r="P1416" s="4" t="n">
        <v>0</v>
      </c>
      <c r="Q1416" s="3" t="n">
        <v>0.179</v>
      </c>
      <c r="R1416" s="3" t="n">
        <v>0.569</v>
      </c>
      <c r="S1416" s="3" t="str">
        <f aca="false">IF(R1416 &gt;= 0.5, "Positive", "Negative")</f>
        <v>Positive</v>
      </c>
      <c r="T1416" s="2" t="n">
        <v>127.992</v>
      </c>
      <c r="U1416" s="0" t="s">
        <v>31</v>
      </c>
    </row>
    <row r="1417" customFormat="false" ht="14.25" hidden="false" customHeight="false" outlineLevel="0" collapsed="false">
      <c r="A1417" s="0" t="n">
        <v>404</v>
      </c>
      <c r="B1417" s="0" t="str">
        <f aca="false">_xlfn.xlookup(A1417, artists!A$2:A$836, artists!B$2:B$836)</f>
        <v>will.i.am</v>
      </c>
      <c r="C1417" s="1" t="s">
        <v>1445</v>
      </c>
      <c r="D1417" s="2" t="n">
        <v>283400</v>
      </c>
      <c r="E1417" s="2" t="n">
        <f aca="false">D1417/1000</f>
        <v>283.4</v>
      </c>
      <c r="F1417" s="10" t="b">
        <f aca="false">TRUE()</f>
        <v>1</v>
      </c>
      <c r="G1417" s="0" t="n">
        <v>16</v>
      </c>
      <c r="H1417" s="0" t="n">
        <f aca="false">_xlfn.xlookup(G1417, years!A$2:A$836, years!B$2:B$836)</f>
        <v>2013</v>
      </c>
      <c r="I1417" s="2" t="n">
        <v>78</v>
      </c>
      <c r="J1417" s="0" t="n">
        <v>0.772</v>
      </c>
      <c r="K1417" s="0" t="n">
        <v>0.685</v>
      </c>
      <c r="L1417" s="3" t="str">
        <f aca="false">IF(K1417&gt;0.66,"High",IF(K1417&gt;0.33&amp;K1417&lt;=0.66,"Medium","Low"))</f>
        <v>High</v>
      </c>
      <c r="M1417" s="0" t="n">
        <v>-6.849</v>
      </c>
      <c r="N1417" s="3" t="n">
        <v>0.0696</v>
      </c>
      <c r="O1417" s="3" t="n">
        <v>0.019</v>
      </c>
      <c r="P1417" s="4" t="n">
        <v>8.96E-005</v>
      </c>
      <c r="Q1417" s="3" t="n">
        <v>0.131</v>
      </c>
      <c r="R1417" s="3" t="n">
        <v>0.501</v>
      </c>
      <c r="S1417" s="3" t="str">
        <f aca="false">IF(R1417 &gt;= 0.5, "Positive", "Negative")</f>
        <v>Positive</v>
      </c>
      <c r="T1417" s="2" t="n">
        <v>130.033</v>
      </c>
      <c r="U1417" s="0" t="s">
        <v>24</v>
      </c>
    </row>
    <row r="1418" customFormat="false" ht="14.25" hidden="false" customHeight="false" outlineLevel="0" collapsed="false">
      <c r="A1418" s="0" t="n">
        <v>675</v>
      </c>
      <c r="B1418" s="0" t="str">
        <f aca="false">_xlfn.xlookup(A1418, artists!A$2:A$836, artists!B$2:B$836)</f>
        <v>Shawn Mendes</v>
      </c>
      <c r="C1418" s="1" t="s">
        <v>1446</v>
      </c>
      <c r="D1418" s="2" t="n">
        <v>190799</v>
      </c>
      <c r="E1418" s="2" t="n">
        <f aca="false">D1418/1000</f>
        <v>190.799</v>
      </c>
      <c r="F1418" s="10" t="b">
        <f aca="false">FALSE()</f>
        <v>0</v>
      </c>
      <c r="G1418" s="0" t="n">
        <v>22</v>
      </c>
      <c r="H1418" s="0" t="n">
        <f aca="false">_xlfn.xlookup(G1418, years!A$2:A$836, years!B$2:B$836)</f>
        <v>2019</v>
      </c>
      <c r="I1418" s="2" t="n">
        <v>78</v>
      </c>
      <c r="J1418" s="0" t="n">
        <v>0.759</v>
      </c>
      <c r="K1418" s="0" t="n">
        <v>0.548</v>
      </c>
      <c r="L1418" s="3" t="str">
        <f aca="false">IF(K1418&gt;0.66,"High",IF(K1418&gt;0.33&amp;K1418&lt;=0.66,"Medium","Low"))</f>
        <v>Low</v>
      </c>
      <c r="M1418" s="0" t="n">
        <v>-6.049</v>
      </c>
      <c r="N1418" s="3" t="n">
        <v>0.029</v>
      </c>
      <c r="O1418" s="3" t="n">
        <v>0.0392</v>
      </c>
      <c r="P1418" s="4" t="n">
        <v>0</v>
      </c>
      <c r="Q1418" s="3" t="n">
        <v>0.0828</v>
      </c>
      <c r="R1418" s="3" t="n">
        <v>0.749</v>
      </c>
      <c r="S1418" s="3" t="str">
        <f aca="false">IF(R1418 &gt;= 0.5, "Positive", "Negative")</f>
        <v>Positive</v>
      </c>
      <c r="T1418" s="2" t="n">
        <v>116.967</v>
      </c>
      <c r="U1418" s="0" t="s">
        <v>39</v>
      </c>
    </row>
    <row r="1419" customFormat="false" ht="14.25" hidden="false" customHeight="false" outlineLevel="0" collapsed="false">
      <c r="A1419" s="0" t="n">
        <v>466</v>
      </c>
      <c r="B1419" s="0" t="str">
        <f aca="false">_xlfn.xlookup(A1419, artists!A$2:A$836, artists!B$2:B$836)</f>
        <v>Shinedown</v>
      </c>
      <c r="C1419" s="1" t="s">
        <v>1447</v>
      </c>
      <c r="D1419" s="2" t="n">
        <v>222066</v>
      </c>
      <c r="E1419" s="2" t="n">
        <f aca="false">D1419/1000</f>
        <v>222.066</v>
      </c>
      <c r="F1419" s="10" t="b">
        <f aca="false">FALSE()</f>
        <v>0</v>
      </c>
      <c r="G1419" s="0" t="n">
        <v>11</v>
      </c>
      <c r="H1419" s="0" t="n">
        <f aca="false">_xlfn.xlookup(G1419, years!A$2:A$836, years!B$2:B$836)</f>
        <v>2008</v>
      </c>
      <c r="I1419" s="2" t="n">
        <v>67</v>
      </c>
      <c r="J1419" s="0" t="n">
        <v>0.46</v>
      </c>
      <c r="K1419" s="0" t="n">
        <v>0.796</v>
      </c>
      <c r="L1419" s="3" t="str">
        <f aca="false">IF(K1419&gt;0.66,"High",IF(K1419&gt;0.33&amp;K1419&lt;=0.66,"Medium","Low"))</f>
        <v>High</v>
      </c>
      <c r="M1419" s="0" t="n">
        <v>-4.501</v>
      </c>
      <c r="N1419" s="3" t="n">
        <v>0.0333</v>
      </c>
      <c r="O1419" s="3" t="n">
        <v>0.00107</v>
      </c>
      <c r="P1419" s="4" t="n">
        <v>0</v>
      </c>
      <c r="Q1419" s="3" t="n">
        <v>0.106</v>
      </c>
      <c r="R1419" s="3" t="n">
        <v>0.182</v>
      </c>
      <c r="S1419" s="3" t="str">
        <f aca="false">IF(R1419 &gt;= 0.5, "Positive", "Negative")</f>
        <v>Negative</v>
      </c>
      <c r="T1419" s="2" t="n">
        <v>100.011</v>
      </c>
      <c r="U1419" s="0" t="s">
        <v>81</v>
      </c>
    </row>
    <row r="1420" customFormat="false" ht="14.25" hidden="false" customHeight="false" outlineLevel="0" collapsed="false">
      <c r="A1420" s="0" t="n">
        <v>812</v>
      </c>
      <c r="B1420" s="0" t="str">
        <f aca="false">_xlfn.xlookup(A1420, artists!A$2:A$836, artists!B$2:B$836)</f>
        <v>Anuel AA</v>
      </c>
      <c r="C1420" s="1" t="s">
        <v>1448</v>
      </c>
      <c r="D1420" s="2" t="n">
        <v>258800</v>
      </c>
      <c r="E1420" s="2" t="n">
        <f aca="false">D1420/1000</f>
        <v>258.8</v>
      </c>
      <c r="F1420" s="10" t="b">
        <f aca="false">FALSE()</f>
        <v>0</v>
      </c>
      <c r="G1420" s="0" t="n">
        <v>22</v>
      </c>
      <c r="H1420" s="0" t="n">
        <f aca="false">_xlfn.xlookup(G1420, years!A$2:A$836, years!B$2:B$836)</f>
        <v>2019</v>
      </c>
      <c r="I1420" s="2" t="n">
        <v>75</v>
      </c>
      <c r="J1420" s="0" t="n">
        <v>0.807</v>
      </c>
      <c r="K1420" s="0" t="n">
        <v>0.803</v>
      </c>
      <c r="L1420" s="3" t="str">
        <f aca="false">IF(K1420&gt;0.66,"High",IF(K1420&gt;0.33&amp;K1420&lt;=0.66,"Medium","Low"))</f>
        <v>High</v>
      </c>
      <c r="M1420" s="0" t="n">
        <v>-4.156</v>
      </c>
      <c r="N1420" s="3" t="n">
        <v>0.126</v>
      </c>
      <c r="O1420" s="3" t="n">
        <v>0.602</v>
      </c>
      <c r="P1420" s="4" t="n">
        <v>0.00853</v>
      </c>
      <c r="Q1420" s="3" t="n">
        <v>0.136</v>
      </c>
      <c r="R1420" s="3" t="n">
        <v>0.706</v>
      </c>
      <c r="S1420" s="3" t="str">
        <f aca="false">IF(R1420 &gt;= 0.5, "Positive", "Negative")</f>
        <v>Positive</v>
      </c>
      <c r="T1420" s="2" t="n">
        <v>91.987</v>
      </c>
      <c r="U1420" s="0" t="s">
        <v>312</v>
      </c>
    </row>
    <row r="1421" customFormat="false" ht="14.25" hidden="false" customHeight="false" outlineLevel="0" collapsed="false">
      <c r="A1421" s="0" t="n">
        <v>425</v>
      </c>
      <c r="B1421" s="0" t="str">
        <f aca="false">_xlfn.xlookup(A1421, artists!A$2:A$836, artists!B$2:B$836)</f>
        <v>OneRepublic</v>
      </c>
      <c r="C1421" s="1" t="s">
        <v>1449</v>
      </c>
      <c r="D1421" s="2" t="n">
        <v>224693</v>
      </c>
      <c r="E1421" s="2" t="n">
        <f aca="false">D1421/1000</f>
        <v>224.693</v>
      </c>
      <c r="F1421" s="10" t="b">
        <f aca="false">FALSE()</f>
        <v>0</v>
      </c>
      <c r="G1421" s="0" t="n">
        <v>12</v>
      </c>
      <c r="H1421" s="0" t="n">
        <f aca="false">_xlfn.xlookup(G1421, years!A$2:A$836, years!B$2:B$836)</f>
        <v>2009</v>
      </c>
      <c r="I1421" s="2" t="n">
        <v>74</v>
      </c>
      <c r="J1421" s="0" t="n">
        <v>0.516</v>
      </c>
      <c r="K1421" s="0" t="n">
        <v>0.764</v>
      </c>
      <c r="L1421" s="3" t="str">
        <f aca="false">IF(K1421&gt;0.66,"High",IF(K1421&gt;0.33&amp;K1421&lt;=0.66,"Medium","Low"))</f>
        <v>High</v>
      </c>
      <c r="M1421" s="0" t="n">
        <v>-6.223</v>
      </c>
      <c r="N1421" s="3" t="n">
        <v>0.0366</v>
      </c>
      <c r="O1421" s="3" t="n">
        <v>0.0717</v>
      </c>
      <c r="P1421" s="4" t="n">
        <v>0</v>
      </c>
      <c r="Q1421" s="3" t="n">
        <v>0.115</v>
      </c>
      <c r="R1421" s="3" t="n">
        <v>0.376</v>
      </c>
      <c r="S1421" s="3" t="str">
        <f aca="false">IF(R1421 &gt;= 0.5, "Positive", "Negative")</f>
        <v>Negative</v>
      </c>
      <c r="T1421" s="2" t="n">
        <v>148.021</v>
      </c>
      <c r="U1421" s="0" t="s">
        <v>39</v>
      </c>
    </row>
    <row r="1422" customFormat="false" ht="14.25" hidden="false" customHeight="false" outlineLevel="0" collapsed="false">
      <c r="A1422" s="0" t="n">
        <v>406</v>
      </c>
      <c r="B1422" s="0" t="str">
        <f aca="false">_xlfn.xlookup(A1422, artists!A$2:A$836, artists!B$2:B$836)</f>
        <v>Miley Cyrus</v>
      </c>
      <c r="C1422" s="1" t="s">
        <v>1450</v>
      </c>
      <c r="D1422" s="2" t="n">
        <v>190453</v>
      </c>
      <c r="E1422" s="2" t="n">
        <f aca="false">D1422/1000</f>
        <v>190.453</v>
      </c>
      <c r="F1422" s="10" t="b">
        <f aca="false">FALSE()</f>
        <v>0</v>
      </c>
      <c r="G1422" s="0" t="n">
        <v>10</v>
      </c>
      <c r="H1422" s="0" t="n">
        <f aca="false">_xlfn.xlookup(G1422, years!A$2:A$836, years!B$2:B$836)</f>
        <v>2007</v>
      </c>
      <c r="I1422" s="2" t="n">
        <v>0</v>
      </c>
      <c r="J1422" s="0" t="n">
        <v>0.692</v>
      </c>
      <c r="K1422" s="0" t="n">
        <v>0.911</v>
      </c>
      <c r="L1422" s="3" t="str">
        <f aca="false">IF(K1422&gt;0.66,"High",IF(K1422&gt;0.33&amp;K1422&lt;=0.66,"Medium","Low"))</f>
        <v>High</v>
      </c>
      <c r="M1422" s="0" t="n">
        <v>-5.098</v>
      </c>
      <c r="N1422" s="3" t="n">
        <v>0.177</v>
      </c>
      <c r="O1422" s="3" t="n">
        <v>0.0149</v>
      </c>
      <c r="P1422" s="4" t="n">
        <v>7.34E-005</v>
      </c>
      <c r="Q1422" s="3" t="n">
        <v>0.112</v>
      </c>
      <c r="R1422" s="3" t="n">
        <v>0.801</v>
      </c>
      <c r="S1422" s="3" t="str">
        <f aca="false">IF(R1422 &gt;= 0.5, "Positive", "Negative")</f>
        <v>Positive</v>
      </c>
      <c r="T1422" s="2" t="n">
        <v>138.975</v>
      </c>
      <c r="U1422" s="0" t="s">
        <v>39</v>
      </c>
    </row>
    <row r="1423" customFormat="false" ht="14.25" hidden="false" customHeight="false" outlineLevel="0" collapsed="false">
      <c r="A1423" s="0" t="n">
        <v>512</v>
      </c>
      <c r="B1423" s="0" t="str">
        <f aca="false">_xlfn.xlookup(A1423, artists!A$2:A$836, artists!B$2:B$836)</f>
        <v>Wiz Khalifa</v>
      </c>
      <c r="C1423" s="1" t="s">
        <v>1451</v>
      </c>
      <c r="D1423" s="2" t="n">
        <v>229525</v>
      </c>
      <c r="E1423" s="2" t="n">
        <f aca="false">D1423/1000</f>
        <v>229.525</v>
      </c>
      <c r="F1423" s="10" t="b">
        <f aca="false">FALSE()</f>
        <v>0</v>
      </c>
      <c r="G1423" s="0" t="n">
        <v>18</v>
      </c>
      <c r="H1423" s="0" t="n">
        <f aca="false">_xlfn.xlookup(G1423, years!A$2:A$836, years!B$2:B$836)</f>
        <v>2015</v>
      </c>
      <c r="I1423" s="2" t="n">
        <v>81</v>
      </c>
      <c r="J1423" s="0" t="n">
        <v>0.689</v>
      </c>
      <c r="K1423" s="0" t="n">
        <v>0.481</v>
      </c>
      <c r="L1423" s="3" t="str">
        <f aca="false">IF(K1423&gt;0.66,"High",IF(K1423&gt;0.33&amp;K1423&lt;=0.66,"Medium","Low"))</f>
        <v>Low</v>
      </c>
      <c r="M1423" s="0" t="n">
        <v>-7.503</v>
      </c>
      <c r="N1423" s="3" t="n">
        <v>0.0815</v>
      </c>
      <c r="O1423" s="3" t="n">
        <v>0.369</v>
      </c>
      <c r="P1423" s="4" t="n">
        <v>1.03E-006</v>
      </c>
      <c r="Q1423" s="3" t="n">
        <v>0.0649</v>
      </c>
      <c r="R1423" s="3" t="n">
        <v>0.283</v>
      </c>
      <c r="S1423" s="3" t="str">
        <f aca="false">IF(R1423 &gt;= 0.5, "Positive", "Negative")</f>
        <v>Negative</v>
      </c>
      <c r="T1423" s="2" t="n">
        <v>80.025</v>
      </c>
      <c r="U1423" s="0" t="s">
        <v>24</v>
      </c>
    </row>
    <row r="1424" customFormat="false" ht="14.25" hidden="false" customHeight="false" outlineLevel="0" collapsed="false">
      <c r="A1424" s="0" t="n">
        <v>487</v>
      </c>
      <c r="B1424" s="0" t="str">
        <f aca="false">_xlfn.xlookup(A1424, artists!A$2:A$836, artists!B$2:B$836)</f>
        <v>Tim Berg</v>
      </c>
      <c r="C1424" s="1" t="s">
        <v>1452</v>
      </c>
      <c r="D1424" s="2" t="n">
        <v>203960</v>
      </c>
      <c r="E1424" s="2" t="n">
        <f aca="false">D1424/1000</f>
        <v>203.96</v>
      </c>
      <c r="F1424" s="10" t="b">
        <f aca="false">FALSE()</f>
        <v>0</v>
      </c>
      <c r="G1424" s="0" t="n">
        <v>13</v>
      </c>
      <c r="H1424" s="0" t="n">
        <f aca="false">_xlfn.xlookup(G1424, years!A$2:A$836, years!B$2:B$836)</f>
        <v>2010</v>
      </c>
      <c r="I1424" s="2" t="n">
        <v>0</v>
      </c>
      <c r="J1424" s="0" t="n">
        <v>0.515</v>
      </c>
      <c r="K1424" s="0" t="n">
        <v>0.837</v>
      </c>
      <c r="L1424" s="3" t="str">
        <f aca="false">IF(K1424&gt;0.66,"High",IF(K1424&gt;0.33&amp;K1424&lt;=0.66,"Medium","Low"))</f>
        <v>High</v>
      </c>
      <c r="M1424" s="0" t="n">
        <v>-2.552</v>
      </c>
      <c r="N1424" s="3" t="n">
        <v>0.0401</v>
      </c>
      <c r="O1424" s="3" t="n">
        <v>0.0868</v>
      </c>
      <c r="P1424" s="4" t="n">
        <v>0</v>
      </c>
      <c r="Q1424" s="3" t="n">
        <v>0.0403</v>
      </c>
      <c r="R1424" s="3" t="n">
        <v>0.52</v>
      </c>
      <c r="S1424" s="3" t="str">
        <f aca="false">IF(R1424 &gt;= 0.5, "Positive", "Negative")</f>
        <v>Positive</v>
      </c>
      <c r="T1424" s="2" t="n">
        <v>126.026</v>
      </c>
      <c r="U1424" s="0" t="s">
        <v>22</v>
      </c>
    </row>
    <row r="1425" customFormat="false" ht="14.25" hidden="false" customHeight="false" outlineLevel="0" collapsed="false">
      <c r="A1425" s="0" t="n">
        <v>216</v>
      </c>
      <c r="B1425" s="0" t="str">
        <f aca="false">_xlfn.xlookup(A1425, artists!A$2:A$836, artists!B$2:B$836)</f>
        <v>Snoop Dogg</v>
      </c>
      <c r="C1425" s="1" t="s">
        <v>1453</v>
      </c>
      <c r="D1425" s="2" t="n">
        <v>245520</v>
      </c>
      <c r="E1425" s="2" t="n">
        <f aca="false">D1425/1000</f>
        <v>245.52</v>
      </c>
      <c r="F1425" s="10" t="b">
        <f aca="false">FALSE()</f>
        <v>0</v>
      </c>
      <c r="G1425" s="0" t="n">
        <v>10</v>
      </c>
      <c r="H1425" s="0" t="n">
        <f aca="false">_xlfn.xlookup(G1425, years!A$2:A$836, years!B$2:B$836)</f>
        <v>2007</v>
      </c>
      <c r="I1425" s="2" t="n">
        <v>56</v>
      </c>
      <c r="J1425" s="0" t="n">
        <v>0.756</v>
      </c>
      <c r="K1425" s="0" t="n">
        <v>0.829</v>
      </c>
      <c r="L1425" s="3" t="str">
        <f aca="false">IF(K1425&gt;0.66,"High",IF(K1425&gt;0.33&amp;K1425&lt;=0.66,"Medium","Low"))</f>
        <v>High</v>
      </c>
      <c r="M1425" s="0" t="n">
        <v>-3.973</v>
      </c>
      <c r="N1425" s="3" t="n">
        <v>0.0682</v>
      </c>
      <c r="O1425" s="3" t="n">
        <v>0.003</v>
      </c>
      <c r="P1425" s="4" t="n">
        <v>3.46E-005</v>
      </c>
      <c r="Q1425" s="3" t="n">
        <v>0.0578</v>
      </c>
      <c r="R1425" s="3" t="n">
        <v>0.504</v>
      </c>
      <c r="S1425" s="3" t="str">
        <f aca="false">IF(R1425 &gt;= 0.5, "Positive", "Negative")</f>
        <v>Positive</v>
      </c>
      <c r="T1425" s="2" t="n">
        <v>120.163</v>
      </c>
      <c r="U1425" s="0" t="s">
        <v>24</v>
      </c>
    </row>
    <row r="1426" customFormat="false" ht="14.25" hidden="false" customHeight="false" outlineLevel="0" collapsed="false">
      <c r="A1426" s="0" t="n">
        <v>37</v>
      </c>
      <c r="B1426" s="0" t="str">
        <f aca="false">_xlfn.xlookup(A1426, artists!A$2:A$836, artists!B$2:B$836)</f>
        <v>Avant</v>
      </c>
      <c r="C1426" s="1" t="s">
        <v>1454</v>
      </c>
      <c r="D1426" s="2" t="n">
        <v>255600</v>
      </c>
      <c r="E1426" s="2" t="n">
        <f aca="false">D1426/1000</f>
        <v>255.6</v>
      </c>
      <c r="F1426" s="10" t="b">
        <f aca="false">FALSE()</f>
        <v>0</v>
      </c>
      <c r="G1426" s="0" t="n">
        <v>3</v>
      </c>
      <c r="H1426" s="0" t="n">
        <f aca="false">_xlfn.xlookup(G1426, years!A$2:A$836, years!B$2:B$836)</f>
        <v>2000</v>
      </c>
      <c r="I1426" s="2" t="n">
        <v>55</v>
      </c>
      <c r="J1426" s="0" t="n">
        <v>0.798</v>
      </c>
      <c r="K1426" s="0" t="n">
        <v>0.48</v>
      </c>
      <c r="L1426" s="3" t="str">
        <f aca="false">IF(K1426&gt;0.66,"High",IF(K1426&gt;0.33&amp;K1426&lt;=0.66,"Medium","Low"))</f>
        <v>Low</v>
      </c>
      <c r="M1426" s="0" t="n">
        <v>-5.564</v>
      </c>
      <c r="N1426" s="3" t="n">
        <v>0.0276</v>
      </c>
      <c r="O1426" s="3" t="n">
        <v>0.247</v>
      </c>
      <c r="P1426" s="4" t="n">
        <v>0</v>
      </c>
      <c r="Q1426" s="3" t="n">
        <v>0.237</v>
      </c>
      <c r="R1426" s="3" t="n">
        <v>0.643</v>
      </c>
      <c r="S1426" s="3" t="str">
        <f aca="false">IF(R1426 &gt;= 0.5, "Positive", "Negative")</f>
        <v>Positive</v>
      </c>
      <c r="T1426" s="2" t="n">
        <v>108.241</v>
      </c>
      <c r="U1426" s="0" t="s">
        <v>33</v>
      </c>
    </row>
    <row r="1427" customFormat="false" ht="14.25" hidden="false" customHeight="false" outlineLevel="0" collapsed="false">
      <c r="A1427" s="0" t="n">
        <v>436</v>
      </c>
      <c r="B1427" s="0" t="str">
        <f aca="false">_xlfn.xlookup(A1427, artists!A$2:A$836, artists!B$2:B$836)</f>
        <v>Adele</v>
      </c>
      <c r="C1427" s="1" t="s">
        <v>1455</v>
      </c>
      <c r="D1427" s="2" t="n">
        <v>242973</v>
      </c>
      <c r="E1427" s="2" t="n">
        <f aca="false">D1427/1000</f>
        <v>242.973</v>
      </c>
      <c r="F1427" s="10" t="b">
        <f aca="false">FALSE()</f>
        <v>0</v>
      </c>
      <c r="G1427" s="0" t="n">
        <v>14</v>
      </c>
      <c r="H1427" s="0" t="n">
        <f aca="false">_xlfn.xlookup(G1427, years!A$2:A$836, years!B$2:B$836)</f>
        <v>2011</v>
      </c>
      <c r="I1427" s="2" t="n">
        <v>2</v>
      </c>
      <c r="J1427" s="0" t="n">
        <v>0.603</v>
      </c>
      <c r="K1427" s="0" t="n">
        <v>0.67</v>
      </c>
      <c r="L1427" s="3" t="str">
        <f aca="false">IF(K1427&gt;0.66,"High",IF(K1427&gt;0.33&amp;K1427&lt;=0.66,"Medium","Low"))</f>
        <v>High</v>
      </c>
      <c r="M1427" s="0" t="n">
        <v>-3.882</v>
      </c>
      <c r="N1427" s="3" t="n">
        <v>0.0249</v>
      </c>
      <c r="O1427" s="3" t="n">
        <v>0.00408</v>
      </c>
      <c r="P1427" s="4" t="n">
        <v>1.66E-006</v>
      </c>
      <c r="Q1427" s="3" t="n">
        <v>0.112</v>
      </c>
      <c r="R1427" s="3" t="n">
        <v>0.445</v>
      </c>
      <c r="S1427" s="3" t="str">
        <f aca="false">IF(R1427 &gt;= 0.5, "Positive", "Negative")</f>
        <v>Negative</v>
      </c>
      <c r="T1427" s="2" t="n">
        <v>107.995</v>
      </c>
      <c r="U1427" s="0" t="s">
        <v>33</v>
      </c>
    </row>
    <row r="1428" customFormat="false" ht="14.25" hidden="false" customHeight="false" outlineLevel="0" collapsed="false">
      <c r="A1428" s="0" t="n">
        <v>203</v>
      </c>
      <c r="B1428" s="0" t="str">
        <f aca="false">_xlfn.xlookup(A1428, artists!A$2:A$836, artists!B$2:B$836)</f>
        <v>The White Stripes</v>
      </c>
      <c r="C1428" s="1" t="s">
        <v>1456</v>
      </c>
      <c r="D1428" s="2" t="n">
        <v>231920</v>
      </c>
      <c r="E1428" s="2" t="n">
        <f aca="false">D1428/1000</f>
        <v>231.92</v>
      </c>
      <c r="F1428" s="10" t="b">
        <f aca="false">FALSE()</f>
        <v>0</v>
      </c>
      <c r="G1428" s="0" t="n">
        <v>6</v>
      </c>
      <c r="H1428" s="0" t="n">
        <f aca="false">_xlfn.xlookup(G1428, years!A$2:A$836, years!B$2:B$836)</f>
        <v>2003</v>
      </c>
      <c r="I1428" s="2" t="n">
        <v>3</v>
      </c>
      <c r="J1428" s="0" t="n">
        <v>0.741</v>
      </c>
      <c r="K1428" s="0" t="n">
        <v>0.469</v>
      </c>
      <c r="L1428" s="3" t="str">
        <f aca="false">IF(K1428&gt;0.66,"High",IF(K1428&gt;0.33&amp;K1428&lt;=0.66,"Medium","Low"))</f>
        <v>Low</v>
      </c>
      <c r="M1428" s="0" t="n">
        <v>-7.627</v>
      </c>
      <c r="N1428" s="3" t="n">
        <v>0.0805</v>
      </c>
      <c r="O1428" s="3" t="n">
        <v>0.00601</v>
      </c>
      <c r="P1428" s="4" t="n">
        <v>0.447</v>
      </c>
      <c r="Q1428" s="3" t="n">
        <v>0.306</v>
      </c>
      <c r="R1428" s="3" t="n">
        <v>0.313</v>
      </c>
      <c r="S1428" s="3" t="str">
        <f aca="false">IF(R1428 &gt;= 0.5, "Positive", "Negative")</f>
        <v>Negative</v>
      </c>
      <c r="T1428" s="2" t="n">
        <v>123.904</v>
      </c>
      <c r="U1428" s="0" t="s">
        <v>140</v>
      </c>
    </row>
    <row r="1429" customFormat="false" ht="14.25" hidden="false" customHeight="false" outlineLevel="0" collapsed="false">
      <c r="A1429" s="0" t="n">
        <v>236</v>
      </c>
      <c r="B1429" s="0" t="str">
        <f aca="false">_xlfn.xlookup(A1429, artists!A$2:A$836, artists!B$2:B$836)</f>
        <v>Maroon 5</v>
      </c>
      <c r="C1429" s="1" t="s">
        <v>1457</v>
      </c>
      <c r="D1429" s="2" t="n">
        <v>234308</v>
      </c>
      <c r="E1429" s="2" t="n">
        <f aca="false">D1429/1000</f>
        <v>234.308</v>
      </c>
      <c r="F1429" s="10" t="b">
        <f aca="false">TRUE()</f>
        <v>1</v>
      </c>
      <c r="G1429" s="0" t="n">
        <v>20</v>
      </c>
      <c r="H1429" s="0" t="n">
        <f aca="false">_xlfn.xlookup(G1429, years!A$2:A$836, years!B$2:B$836)</f>
        <v>2017</v>
      </c>
      <c r="I1429" s="2" t="n">
        <v>0</v>
      </c>
      <c r="J1429" s="0" t="n">
        <v>0.697</v>
      </c>
      <c r="K1429" s="0" t="n">
        <v>0.716</v>
      </c>
      <c r="L1429" s="3" t="str">
        <f aca="false">IF(K1429&gt;0.66,"High",IF(K1429&gt;0.33&amp;K1429&lt;=0.66,"Medium","Low"))</f>
        <v>High</v>
      </c>
      <c r="M1429" s="0" t="n">
        <v>-6.288</v>
      </c>
      <c r="N1429" s="3" t="n">
        <v>0.113</v>
      </c>
      <c r="O1429" s="3" t="n">
        <v>0.118</v>
      </c>
      <c r="P1429" s="4" t="n">
        <v>0</v>
      </c>
      <c r="Q1429" s="3" t="n">
        <v>0.0424</v>
      </c>
      <c r="R1429" s="3" t="n">
        <v>0.506</v>
      </c>
      <c r="S1429" s="3" t="str">
        <f aca="false">IF(R1429 &gt;= 0.5, "Positive", "Negative")</f>
        <v>Positive</v>
      </c>
      <c r="T1429" s="2" t="n">
        <v>99.905</v>
      </c>
      <c r="U1429" s="0" t="s">
        <v>39</v>
      </c>
    </row>
    <row r="1430" customFormat="false" ht="14.25" hidden="false" customHeight="false" outlineLevel="0" collapsed="false">
      <c r="A1430" s="0" t="n">
        <v>428</v>
      </c>
      <c r="B1430" s="0" t="str">
        <f aca="false">_xlfn.xlookup(A1430, artists!A$2:A$836, artists!B$2:B$836)</f>
        <v>Kings of Leon</v>
      </c>
      <c r="C1430" s="1" t="s">
        <v>1458</v>
      </c>
      <c r="D1430" s="2" t="n">
        <v>203346</v>
      </c>
      <c r="E1430" s="2" t="n">
        <f aca="false">D1430/1000</f>
        <v>203.346</v>
      </c>
      <c r="F1430" s="10" t="b">
        <f aca="false">FALSE()</f>
        <v>0</v>
      </c>
      <c r="G1430" s="0" t="n">
        <v>11</v>
      </c>
      <c r="H1430" s="0" t="n">
        <f aca="false">_xlfn.xlookup(G1430, years!A$2:A$836, years!B$2:B$836)</f>
        <v>2008</v>
      </c>
      <c r="I1430" s="2" t="n">
        <v>80</v>
      </c>
      <c r="J1430" s="0" t="n">
        <v>0.542</v>
      </c>
      <c r="K1430" s="0" t="n">
        <v>0.905</v>
      </c>
      <c r="L1430" s="3" t="str">
        <f aca="false">IF(K1430&gt;0.66,"High",IF(K1430&gt;0.33&amp;K1430&lt;=0.66,"Medium","Low"))</f>
        <v>High</v>
      </c>
      <c r="M1430" s="0" t="n">
        <v>-5.653</v>
      </c>
      <c r="N1430" s="3" t="n">
        <v>0.054</v>
      </c>
      <c r="O1430" s="3" t="n">
        <v>0.00172</v>
      </c>
      <c r="P1430" s="4" t="n">
        <v>0.0104</v>
      </c>
      <c r="Q1430" s="3" t="n">
        <v>0.136</v>
      </c>
      <c r="R1430" s="3" t="n">
        <v>0.374</v>
      </c>
      <c r="S1430" s="3" t="str">
        <f aca="false">IF(R1430 &gt;= 0.5, "Positive", "Negative")</f>
        <v>Negative</v>
      </c>
      <c r="T1430" s="2" t="n">
        <v>153.398</v>
      </c>
      <c r="U1430" s="0" t="s">
        <v>43</v>
      </c>
    </row>
    <row r="1431" customFormat="false" ht="14.25" hidden="false" customHeight="false" outlineLevel="0" collapsed="false">
      <c r="A1431" s="0" t="n">
        <v>21</v>
      </c>
      <c r="B1431" s="0" t="str">
        <f aca="false">_xlfn.xlookup(A1431, artists!A$2:A$836, artists!B$2:B$836)</f>
        <v>Tom Jones</v>
      </c>
      <c r="C1431" s="1" t="s">
        <v>1459</v>
      </c>
      <c r="D1431" s="2" t="n">
        <v>211893</v>
      </c>
      <c r="E1431" s="2" t="n">
        <f aca="false">D1431/1000</f>
        <v>211.893</v>
      </c>
      <c r="F1431" s="10" t="b">
        <f aca="false">FALSE()</f>
        <v>0</v>
      </c>
      <c r="G1431" s="0" t="n">
        <v>2</v>
      </c>
      <c r="H1431" s="0" t="n">
        <f aca="false">_xlfn.xlookup(G1431, years!A$2:A$836, years!B$2:B$836)</f>
        <v>1999</v>
      </c>
      <c r="I1431" s="2" t="n">
        <v>65</v>
      </c>
      <c r="J1431" s="0" t="n">
        <v>0.801</v>
      </c>
      <c r="K1431" s="0" t="n">
        <v>0.876</v>
      </c>
      <c r="L1431" s="3" t="str">
        <f aca="false">IF(K1431&gt;0.66,"High",IF(K1431&gt;0.33&amp;K1431&lt;=0.66,"Medium","Low"))</f>
        <v>High</v>
      </c>
      <c r="M1431" s="0" t="n">
        <v>-3.94</v>
      </c>
      <c r="N1431" s="3" t="n">
        <v>0.0446</v>
      </c>
      <c r="O1431" s="3" t="n">
        <v>0.144</v>
      </c>
      <c r="P1431" s="4" t="n">
        <v>1.38E-005</v>
      </c>
      <c r="Q1431" s="3" t="n">
        <v>0.104</v>
      </c>
      <c r="R1431" s="3" t="n">
        <v>0.932</v>
      </c>
      <c r="S1431" s="3" t="str">
        <f aca="false">IF(R1431 &gt;= 0.5, "Positive", "Negative")</f>
        <v>Positive</v>
      </c>
      <c r="T1431" s="2" t="n">
        <v>122.979</v>
      </c>
      <c r="U1431" s="0" t="s">
        <v>1460</v>
      </c>
    </row>
    <row r="1432" customFormat="false" ht="14.25" hidden="false" customHeight="false" outlineLevel="0" collapsed="false">
      <c r="A1432" s="0" t="n">
        <v>509</v>
      </c>
      <c r="B1432" s="0" t="str">
        <f aca="false">_xlfn.xlookup(A1432, artists!A$2:A$836, artists!B$2:B$836)</f>
        <v>LMFAO</v>
      </c>
      <c r="C1432" s="1" t="s">
        <v>1461</v>
      </c>
      <c r="D1432" s="2" t="n">
        <v>199480</v>
      </c>
      <c r="E1432" s="2" t="n">
        <f aca="false">D1432/1000</f>
        <v>199.48</v>
      </c>
      <c r="F1432" s="10" t="b">
        <f aca="false">FALSE()</f>
        <v>0</v>
      </c>
      <c r="G1432" s="0" t="n">
        <v>14</v>
      </c>
      <c r="H1432" s="0" t="n">
        <f aca="false">_xlfn.xlookup(G1432, years!A$2:A$836, years!B$2:B$836)</f>
        <v>2011</v>
      </c>
      <c r="I1432" s="2" t="n">
        <v>67</v>
      </c>
      <c r="J1432" s="0" t="n">
        <v>0.707</v>
      </c>
      <c r="K1432" s="0" t="n">
        <v>0.861</v>
      </c>
      <c r="L1432" s="3" t="str">
        <f aca="false">IF(K1432&gt;0.66,"High",IF(K1432&gt;0.33&amp;K1432&lt;=0.66,"Medium","Low"))</f>
        <v>High</v>
      </c>
      <c r="M1432" s="0" t="n">
        <v>-4.225</v>
      </c>
      <c r="N1432" s="3" t="n">
        <v>0.316</v>
      </c>
      <c r="O1432" s="3" t="n">
        <v>0.1</v>
      </c>
      <c r="P1432" s="4" t="n">
        <v>0</v>
      </c>
      <c r="Q1432" s="3" t="n">
        <v>0.191</v>
      </c>
      <c r="R1432" s="3" t="n">
        <v>0.795</v>
      </c>
      <c r="S1432" s="3" t="str">
        <f aca="false">IF(R1432 &gt;= 0.5, "Positive", "Negative")</f>
        <v>Positive</v>
      </c>
      <c r="T1432" s="2" t="n">
        <v>130.021</v>
      </c>
      <c r="U1432" s="0" t="s">
        <v>53</v>
      </c>
    </row>
    <row r="1433" customFormat="false" ht="14.25" hidden="false" customHeight="false" outlineLevel="0" collapsed="false">
      <c r="A1433" s="0" t="n">
        <v>438</v>
      </c>
      <c r="B1433" s="0" t="str">
        <f aca="false">_xlfn.xlookup(A1433, artists!A$2:A$836, artists!B$2:B$836)</f>
        <v>David Guetta</v>
      </c>
      <c r="C1433" s="1" t="s">
        <v>1462</v>
      </c>
      <c r="D1433" s="2" t="n">
        <v>195853</v>
      </c>
      <c r="E1433" s="2" t="n">
        <f aca="false">D1433/1000</f>
        <v>195.853</v>
      </c>
      <c r="F1433" s="10" t="b">
        <f aca="false">TRUE()</f>
        <v>1</v>
      </c>
      <c r="G1433" s="0" t="n">
        <v>13</v>
      </c>
      <c r="H1433" s="0" t="n">
        <f aca="false">_xlfn.xlookup(G1433, years!A$2:A$836, years!B$2:B$836)</f>
        <v>2010</v>
      </c>
      <c r="I1433" s="2" t="n">
        <v>75</v>
      </c>
      <c r="J1433" s="0" t="n">
        <v>0.813</v>
      </c>
      <c r="K1433" s="0" t="n">
        <v>0.627</v>
      </c>
      <c r="L1433" s="3" t="str">
        <f aca="false">IF(K1433&gt;0.66,"High",IF(K1433&gt;0.33&amp;K1433&lt;=0.66,"Medium","Low"))</f>
        <v>Low</v>
      </c>
      <c r="M1433" s="0" t="n">
        <v>-5.018</v>
      </c>
      <c r="N1433" s="3" t="n">
        <v>0.0486</v>
      </c>
      <c r="O1433" s="3" t="n">
        <v>0.0771</v>
      </c>
      <c r="P1433" s="4" t="n">
        <v>0.000616</v>
      </c>
      <c r="Q1433" s="3" t="n">
        <v>0.131</v>
      </c>
      <c r="R1433" s="3" t="n">
        <v>0.801</v>
      </c>
      <c r="S1433" s="3" t="str">
        <f aca="false">IF(R1433 &gt;= 0.5, "Positive", "Negative")</f>
        <v>Positive</v>
      </c>
      <c r="T1433" s="2" t="n">
        <v>130.011</v>
      </c>
      <c r="U1433" s="0" t="s">
        <v>53</v>
      </c>
    </row>
    <row r="1434" customFormat="false" ht="14.25" hidden="false" customHeight="false" outlineLevel="0" collapsed="false">
      <c r="A1434" s="0" t="n">
        <v>306</v>
      </c>
      <c r="B1434" s="0" t="str">
        <f aca="false">_xlfn.xlookup(A1434, artists!A$2:A$836, artists!B$2:B$836)</f>
        <v>Ray J</v>
      </c>
      <c r="C1434" s="1" t="s">
        <v>1463</v>
      </c>
      <c r="D1434" s="2" t="n">
        <v>204040</v>
      </c>
      <c r="E1434" s="2" t="n">
        <f aca="false">D1434/1000</f>
        <v>204.04</v>
      </c>
      <c r="F1434" s="10" t="b">
        <f aca="false">TRUE()</f>
        <v>1</v>
      </c>
      <c r="G1434" s="0" t="n">
        <v>11</v>
      </c>
      <c r="H1434" s="0" t="n">
        <f aca="false">_xlfn.xlookup(G1434, years!A$2:A$836, years!B$2:B$836)</f>
        <v>2008</v>
      </c>
      <c r="I1434" s="2" t="n">
        <v>1</v>
      </c>
      <c r="J1434" s="0" t="n">
        <v>0.575</v>
      </c>
      <c r="K1434" s="0" t="n">
        <v>0.684</v>
      </c>
      <c r="L1434" s="3" t="str">
        <f aca="false">IF(K1434&gt;0.66,"High",IF(K1434&gt;0.33&amp;K1434&lt;=0.66,"Medium","Low"))</f>
        <v>High</v>
      </c>
      <c r="M1434" s="0" t="n">
        <v>-6.007</v>
      </c>
      <c r="N1434" s="3" t="n">
        <v>0.325</v>
      </c>
      <c r="O1434" s="3" t="n">
        <v>0.299</v>
      </c>
      <c r="P1434" s="4" t="n">
        <v>0</v>
      </c>
      <c r="Q1434" s="3" t="n">
        <v>0.614</v>
      </c>
      <c r="R1434" s="3" t="n">
        <v>0.926</v>
      </c>
      <c r="S1434" s="3" t="str">
        <f aca="false">IF(R1434 &gt;= 0.5, "Positive", "Negative")</f>
        <v>Positive</v>
      </c>
      <c r="T1434" s="2" t="n">
        <v>172.155</v>
      </c>
      <c r="U1434" s="0" t="s">
        <v>31</v>
      </c>
    </row>
    <row r="1435" customFormat="false" ht="14.25" hidden="false" customHeight="false" outlineLevel="0" collapsed="false">
      <c r="A1435" s="0" t="n">
        <v>343</v>
      </c>
      <c r="B1435" s="0" t="str">
        <f aca="false">_xlfn.xlookup(A1435, artists!A$2:A$836, artists!B$2:B$836)</f>
        <v>Ne-Yo</v>
      </c>
      <c r="C1435" s="1" t="s">
        <v>1464</v>
      </c>
      <c r="D1435" s="2" t="n">
        <v>220853</v>
      </c>
      <c r="E1435" s="2" t="n">
        <f aca="false">D1435/1000</f>
        <v>220.853</v>
      </c>
      <c r="F1435" s="10" t="b">
        <f aca="false">FALSE()</f>
        <v>0</v>
      </c>
      <c r="G1435" s="0" t="n">
        <v>9</v>
      </c>
      <c r="H1435" s="0" t="n">
        <f aca="false">_xlfn.xlookup(G1435, years!A$2:A$836, years!B$2:B$836)</f>
        <v>2006</v>
      </c>
      <c r="I1435" s="2" t="n">
        <v>67</v>
      </c>
      <c r="J1435" s="0" t="n">
        <v>0.693</v>
      </c>
      <c r="K1435" s="0" t="n">
        <v>0.516</v>
      </c>
      <c r="L1435" s="3" t="str">
        <f aca="false">IF(K1435&gt;0.66,"High",IF(K1435&gt;0.33&amp;K1435&lt;=0.66,"Medium","Low"))</f>
        <v>Low</v>
      </c>
      <c r="M1435" s="0" t="n">
        <v>-6.446</v>
      </c>
      <c r="N1435" s="3" t="n">
        <v>0.0413</v>
      </c>
      <c r="O1435" s="3" t="n">
        <v>0.297</v>
      </c>
      <c r="P1435" s="4" t="n">
        <v>0.000127</v>
      </c>
      <c r="Q1435" s="3" t="n">
        <v>0.0604</v>
      </c>
      <c r="R1435" s="3" t="n">
        <v>0.494</v>
      </c>
      <c r="S1435" s="3" t="str">
        <f aca="false">IF(R1435 &gt;= 0.5, "Positive", "Negative")</f>
        <v>Negative</v>
      </c>
      <c r="T1435" s="2" t="n">
        <v>94.02</v>
      </c>
      <c r="U1435" s="0" t="s">
        <v>33</v>
      </c>
    </row>
    <row r="1436" customFormat="false" ht="14.25" hidden="false" customHeight="false" outlineLevel="0" collapsed="false">
      <c r="A1436" s="0" t="n">
        <v>176</v>
      </c>
      <c r="B1436" s="0" t="str">
        <f aca="false">_xlfn.xlookup(A1436, artists!A$2:A$836, artists!B$2:B$836)</f>
        <v>Justin Timberlake</v>
      </c>
      <c r="C1436" s="1" t="s">
        <v>1465</v>
      </c>
      <c r="D1436" s="2" t="n">
        <v>242733</v>
      </c>
      <c r="E1436" s="2" t="n">
        <f aca="false">D1436/1000</f>
        <v>242.733</v>
      </c>
      <c r="F1436" s="10" t="b">
        <f aca="false">TRUE()</f>
        <v>1</v>
      </c>
      <c r="G1436" s="0" t="n">
        <v>9</v>
      </c>
      <c r="H1436" s="0" t="n">
        <f aca="false">_xlfn.xlookup(G1436, years!A$2:A$836, years!B$2:B$836)</f>
        <v>2006</v>
      </c>
      <c r="I1436" s="2" t="n">
        <v>78</v>
      </c>
      <c r="J1436" s="0" t="n">
        <v>0.967</v>
      </c>
      <c r="K1436" s="0" t="n">
        <v>0.583</v>
      </c>
      <c r="L1436" s="3" t="str">
        <f aca="false">IF(K1436&gt;0.66,"High",IF(K1436&gt;0.33&amp;K1436&lt;=0.66,"Medium","Low"))</f>
        <v>Low</v>
      </c>
      <c r="M1436" s="0" t="n">
        <v>-5.562</v>
      </c>
      <c r="N1436" s="3" t="n">
        <v>0.0789</v>
      </c>
      <c r="O1436" s="3" t="n">
        <v>0.0584</v>
      </c>
      <c r="P1436" s="4" t="n">
        <v>0</v>
      </c>
      <c r="Q1436" s="3" t="n">
        <v>0.0519</v>
      </c>
      <c r="R1436" s="3" t="n">
        <v>0.964</v>
      </c>
      <c r="S1436" s="3" t="str">
        <f aca="false">IF(R1436 &gt;= 0.5, "Positive", "Negative")</f>
        <v>Positive</v>
      </c>
      <c r="T1436" s="2" t="n">
        <v>117</v>
      </c>
      <c r="U1436" s="0" t="s">
        <v>39</v>
      </c>
    </row>
    <row r="1437" customFormat="false" ht="14.25" hidden="false" customHeight="false" outlineLevel="0" collapsed="false">
      <c r="A1437" s="0" t="n">
        <v>45</v>
      </c>
      <c r="B1437" s="0" t="str">
        <f aca="false">_xlfn.xlookup(A1437, artists!A$2:A$836, artists!B$2:B$836)</f>
        <v>Mary Mary</v>
      </c>
      <c r="C1437" s="1" t="s">
        <v>1466</v>
      </c>
      <c r="D1437" s="2" t="n">
        <v>198346</v>
      </c>
      <c r="E1437" s="2" t="n">
        <f aca="false">D1437/1000</f>
        <v>198.346</v>
      </c>
      <c r="F1437" s="10" t="b">
        <f aca="false">FALSE()</f>
        <v>0</v>
      </c>
      <c r="G1437" s="0" t="n">
        <v>3</v>
      </c>
      <c r="H1437" s="0" t="n">
        <f aca="false">_xlfn.xlookup(G1437, years!A$2:A$836, years!B$2:B$836)</f>
        <v>2000</v>
      </c>
      <c r="I1437" s="2" t="n">
        <v>64</v>
      </c>
      <c r="J1437" s="0" t="n">
        <v>0.779</v>
      </c>
      <c r="K1437" s="0" t="n">
        <v>0.834</v>
      </c>
      <c r="L1437" s="3" t="str">
        <f aca="false">IF(K1437&gt;0.66,"High",IF(K1437&gt;0.33&amp;K1437&lt;=0.66,"Medium","Low"))</f>
        <v>High</v>
      </c>
      <c r="M1437" s="0" t="n">
        <v>-2.773</v>
      </c>
      <c r="N1437" s="3" t="n">
        <v>0.162</v>
      </c>
      <c r="O1437" s="3" t="n">
        <v>0.0343</v>
      </c>
      <c r="P1437" s="4" t="n">
        <v>0</v>
      </c>
      <c r="Q1437" s="3" t="n">
        <v>0.0886</v>
      </c>
      <c r="R1437" s="3" t="n">
        <v>0.8</v>
      </c>
      <c r="S1437" s="3" t="str">
        <f aca="false">IF(R1437 &gt;= 0.5, "Positive", "Negative")</f>
        <v>Positive</v>
      </c>
      <c r="T1437" s="2" t="n">
        <v>100.46</v>
      </c>
      <c r="U1437" s="0" t="s">
        <v>128</v>
      </c>
    </row>
    <row r="1438" customFormat="false" ht="14.25" hidden="false" customHeight="false" outlineLevel="0" collapsed="false">
      <c r="A1438" s="0" t="n">
        <v>423</v>
      </c>
      <c r="B1438" s="0" t="str">
        <f aca="false">_xlfn.xlookup(A1438, artists!A$2:A$836, artists!B$2:B$836)</f>
        <v>Metro Station</v>
      </c>
      <c r="C1438" s="1" t="s">
        <v>1467</v>
      </c>
      <c r="D1438" s="2" t="n">
        <v>179946</v>
      </c>
      <c r="E1438" s="2" t="n">
        <f aca="false">D1438/1000</f>
        <v>179.946</v>
      </c>
      <c r="F1438" s="10" t="b">
        <f aca="false">FALSE()</f>
        <v>0</v>
      </c>
      <c r="G1438" s="0" t="n">
        <v>10</v>
      </c>
      <c r="H1438" s="0" t="n">
        <f aca="false">_xlfn.xlookup(G1438, years!A$2:A$836, years!B$2:B$836)</f>
        <v>2007</v>
      </c>
      <c r="I1438" s="2" t="n">
        <v>67</v>
      </c>
      <c r="J1438" s="0" t="n">
        <v>0.618</v>
      </c>
      <c r="K1438" s="0" t="n">
        <v>0.955</v>
      </c>
      <c r="L1438" s="3" t="str">
        <f aca="false">IF(K1438&gt;0.66,"High",IF(K1438&gt;0.33&amp;K1438&lt;=0.66,"Medium","Low"))</f>
        <v>High</v>
      </c>
      <c r="M1438" s="0" t="n">
        <v>-3.836</v>
      </c>
      <c r="N1438" s="3" t="n">
        <v>0.0798</v>
      </c>
      <c r="O1438" s="3" t="n">
        <v>0.00221</v>
      </c>
      <c r="P1438" s="4" t="n">
        <v>3.09E-006</v>
      </c>
      <c r="Q1438" s="3" t="n">
        <v>0.486</v>
      </c>
      <c r="R1438" s="3" t="n">
        <v>0.79</v>
      </c>
      <c r="S1438" s="3" t="str">
        <f aca="false">IF(R1438 &gt;= 0.5, "Positive", "Negative")</f>
        <v>Positive</v>
      </c>
      <c r="T1438" s="2" t="n">
        <v>150.034</v>
      </c>
      <c r="U1438" s="0" t="s">
        <v>210</v>
      </c>
    </row>
    <row r="1439" customFormat="false" ht="14.25" hidden="false" customHeight="false" outlineLevel="0" collapsed="false">
      <c r="A1439" s="0" t="n">
        <v>439</v>
      </c>
      <c r="B1439" s="0" t="str">
        <f aca="false">_xlfn.xlookup(A1439, artists!A$2:A$836, artists!B$2:B$836)</f>
        <v>Taylor Swift</v>
      </c>
      <c r="C1439" s="1" t="s">
        <v>1468</v>
      </c>
      <c r="D1439" s="2" t="n">
        <v>219200</v>
      </c>
      <c r="E1439" s="2" t="n">
        <f aca="false">D1439/1000</f>
        <v>219.2</v>
      </c>
      <c r="F1439" s="10" t="b">
        <f aca="false">FALSE()</f>
        <v>0</v>
      </c>
      <c r="G1439" s="0" t="n">
        <v>17</v>
      </c>
      <c r="H1439" s="0" t="n">
        <f aca="false">_xlfn.xlookup(G1439, years!A$2:A$836, years!B$2:B$836)</f>
        <v>2014</v>
      </c>
      <c r="I1439" s="2" t="n">
        <v>79</v>
      </c>
      <c r="J1439" s="0" t="n">
        <v>0.647</v>
      </c>
      <c r="K1439" s="0" t="n">
        <v>0.8</v>
      </c>
      <c r="L1439" s="3" t="str">
        <f aca="false">IF(K1439&gt;0.66,"High",IF(K1439&gt;0.33&amp;K1439&lt;=0.66,"Medium","Low"))</f>
        <v>High</v>
      </c>
      <c r="M1439" s="0" t="n">
        <v>-5.384</v>
      </c>
      <c r="N1439" s="3" t="n">
        <v>0.165</v>
      </c>
      <c r="O1439" s="3" t="n">
        <v>0.0647</v>
      </c>
      <c r="P1439" s="4" t="n">
        <v>0</v>
      </c>
      <c r="Q1439" s="3" t="n">
        <v>0.334</v>
      </c>
      <c r="R1439" s="3" t="n">
        <v>0.942</v>
      </c>
      <c r="S1439" s="3" t="str">
        <f aca="false">IF(R1439 &gt;= 0.5, "Positive", "Negative")</f>
        <v>Positive</v>
      </c>
      <c r="T1439" s="2" t="n">
        <v>160.078</v>
      </c>
      <c r="U1439" s="0" t="s">
        <v>39</v>
      </c>
    </row>
    <row r="1440" customFormat="false" ht="14.25" hidden="false" customHeight="false" outlineLevel="0" collapsed="false">
      <c r="A1440" s="0" t="n">
        <v>7</v>
      </c>
      <c r="B1440" s="0" t="str">
        <f aca="false">_xlfn.xlookup(A1440, artists!A$2:A$836, artists!B$2:B$836)</f>
        <v>Eminem</v>
      </c>
      <c r="C1440" s="1" t="s">
        <v>1469</v>
      </c>
      <c r="D1440" s="2" t="n">
        <v>274440</v>
      </c>
      <c r="E1440" s="2" t="n">
        <f aca="false">D1440/1000</f>
        <v>274.44</v>
      </c>
      <c r="F1440" s="10" t="b">
        <f aca="false">TRUE()</f>
        <v>1</v>
      </c>
      <c r="G1440" s="0" t="n">
        <v>8</v>
      </c>
      <c r="H1440" s="0" t="n">
        <f aca="false">_xlfn.xlookup(G1440, years!A$2:A$836, years!B$2:B$836)</f>
        <v>2005</v>
      </c>
      <c r="I1440" s="2" t="n">
        <v>74</v>
      </c>
      <c r="J1440" s="0" t="n">
        <v>0.963</v>
      </c>
      <c r="K1440" s="0" t="n">
        <v>0.643</v>
      </c>
      <c r="L1440" s="3" t="str">
        <f aca="false">IF(K1440&gt;0.66,"High",IF(K1440&gt;0.33&amp;K1440&lt;=0.66,"Medium","Low"))</f>
        <v>Low</v>
      </c>
      <c r="M1440" s="0" t="n">
        <v>-5.785</v>
      </c>
      <c r="N1440" s="3" t="n">
        <v>0.117</v>
      </c>
      <c r="O1440" s="3" t="n">
        <v>0.0507</v>
      </c>
      <c r="P1440" s="4" t="n">
        <v>4.94E-005</v>
      </c>
      <c r="Q1440" s="3" t="n">
        <v>0.157</v>
      </c>
      <c r="R1440" s="3" t="n">
        <v>0.534</v>
      </c>
      <c r="S1440" s="3" t="str">
        <f aca="false">IF(R1440 &gt;= 0.5, "Positive", "Negative")</f>
        <v>Positive</v>
      </c>
      <c r="T1440" s="2" t="n">
        <v>107.005</v>
      </c>
      <c r="U1440" s="0" t="s">
        <v>29</v>
      </c>
    </row>
    <row r="1441" customFormat="false" ht="14.25" hidden="false" customHeight="false" outlineLevel="0" collapsed="false">
      <c r="A1441" s="0" t="n">
        <v>68</v>
      </c>
      <c r="B1441" s="0" t="str">
        <f aca="false">_xlfn.xlookup(A1441, artists!A$2:A$836, artists!B$2:B$836)</f>
        <v>Mystikal</v>
      </c>
      <c r="C1441" s="1" t="s">
        <v>1470</v>
      </c>
      <c r="D1441" s="2" t="n">
        <v>256973</v>
      </c>
      <c r="E1441" s="2" t="n">
        <f aca="false">D1441/1000</f>
        <v>256.973</v>
      </c>
      <c r="F1441" s="10" t="b">
        <f aca="false">TRUE()</f>
        <v>1</v>
      </c>
      <c r="G1441" s="0" t="n">
        <v>3</v>
      </c>
      <c r="H1441" s="0" t="n">
        <f aca="false">_xlfn.xlookup(G1441, years!A$2:A$836, years!B$2:B$836)</f>
        <v>2000</v>
      </c>
      <c r="I1441" s="2" t="n">
        <v>57</v>
      </c>
      <c r="J1441" s="0" t="n">
        <v>0.914</v>
      </c>
      <c r="K1441" s="0" t="n">
        <v>0.607</v>
      </c>
      <c r="L1441" s="3" t="str">
        <f aca="false">IF(K1441&gt;0.66,"High",IF(K1441&gt;0.33&amp;K1441&lt;=0.66,"Medium","Low"))</f>
        <v>Low</v>
      </c>
      <c r="M1441" s="0" t="n">
        <v>-5.658</v>
      </c>
      <c r="N1441" s="3" t="n">
        <v>0.32</v>
      </c>
      <c r="O1441" s="3" t="n">
        <v>0.0626</v>
      </c>
      <c r="P1441" s="4" t="n">
        <v>0</v>
      </c>
      <c r="Q1441" s="3" t="n">
        <v>0.0515</v>
      </c>
      <c r="R1441" s="3" t="n">
        <v>0.666</v>
      </c>
      <c r="S1441" s="3" t="str">
        <f aca="false">IF(R1441 &gt;= 0.5, "Positive", "Negative")</f>
        <v>Positive</v>
      </c>
      <c r="T1441" s="2" t="n">
        <v>98.054</v>
      </c>
      <c r="U1441" s="0" t="s">
        <v>24</v>
      </c>
    </row>
    <row r="1442" customFormat="false" ht="14.25" hidden="false" customHeight="false" outlineLevel="0" collapsed="false">
      <c r="A1442" s="0" t="n">
        <v>719</v>
      </c>
      <c r="B1442" s="0" t="str">
        <f aca="false">_xlfn.xlookup(A1442, artists!A$2:A$836, artists!B$2:B$836)</f>
        <v>Luis Fonsi</v>
      </c>
      <c r="C1442" s="1" t="s">
        <v>1471</v>
      </c>
      <c r="D1442" s="2" t="n">
        <v>228200</v>
      </c>
      <c r="E1442" s="2" t="n">
        <f aca="false">D1442/1000</f>
        <v>228.2</v>
      </c>
      <c r="F1442" s="10" t="b">
        <f aca="false">FALSE()</f>
        <v>0</v>
      </c>
      <c r="G1442" s="0" t="n">
        <v>20</v>
      </c>
      <c r="H1442" s="0" t="n">
        <f aca="false">_xlfn.xlookup(G1442, years!A$2:A$836, years!B$2:B$836)</f>
        <v>2017</v>
      </c>
      <c r="I1442" s="2" t="n">
        <v>0</v>
      </c>
      <c r="J1442" s="0" t="n">
        <v>0.66</v>
      </c>
      <c r="K1442" s="0" t="n">
        <v>0.786</v>
      </c>
      <c r="L1442" s="3" t="str">
        <f aca="false">IF(K1442&gt;0.66,"High",IF(K1442&gt;0.33&amp;K1442&lt;=0.66,"Medium","Low"))</f>
        <v>High</v>
      </c>
      <c r="M1442" s="0" t="n">
        <v>-4.757</v>
      </c>
      <c r="N1442" s="3" t="n">
        <v>0.17</v>
      </c>
      <c r="O1442" s="3" t="n">
        <v>0.209</v>
      </c>
      <c r="P1442" s="4" t="n">
        <v>0</v>
      </c>
      <c r="Q1442" s="3" t="n">
        <v>0.112</v>
      </c>
      <c r="R1442" s="3" t="n">
        <v>0.846</v>
      </c>
      <c r="S1442" s="3" t="str">
        <f aca="false">IF(R1442 &gt;= 0.5, "Positive", "Negative")</f>
        <v>Positive</v>
      </c>
      <c r="T1442" s="2" t="n">
        <v>177.833</v>
      </c>
      <c r="U1442" s="0" t="s">
        <v>75</v>
      </c>
    </row>
    <row r="1443" customFormat="false" ht="14.25" hidden="false" customHeight="false" outlineLevel="0" collapsed="false">
      <c r="A1443" s="0" t="n">
        <v>62</v>
      </c>
      <c r="B1443" s="0" t="str">
        <f aca="false">_xlfn.xlookup(A1443, artists!A$2:A$836, artists!B$2:B$836)</f>
        <v>Vengaboys</v>
      </c>
      <c r="C1443" s="1" t="s">
        <v>1472</v>
      </c>
      <c r="D1443" s="2" t="n">
        <v>214819</v>
      </c>
      <c r="E1443" s="2" t="n">
        <f aca="false">D1443/1000</f>
        <v>214.819</v>
      </c>
      <c r="F1443" s="10" t="b">
        <f aca="false">FALSE()</f>
        <v>0</v>
      </c>
      <c r="G1443" s="0" t="n">
        <v>3</v>
      </c>
      <c r="H1443" s="0" t="n">
        <f aca="false">_xlfn.xlookup(G1443, years!A$2:A$836, years!B$2:B$836)</f>
        <v>2000</v>
      </c>
      <c r="I1443" s="2" t="n">
        <v>58</v>
      </c>
      <c r="J1443" s="0" t="n">
        <v>0.751</v>
      </c>
      <c r="K1443" s="0" t="n">
        <v>0.901</v>
      </c>
      <c r="L1443" s="3" t="str">
        <f aca="false">IF(K1443&gt;0.66,"High",IF(K1443&gt;0.33&amp;K1443&lt;=0.66,"Medium","Low"))</f>
        <v>High</v>
      </c>
      <c r="M1443" s="0" t="n">
        <v>-5.802</v>
      </c>
      <c r="N1443" s="3" t="n">
        <v>0.0328</v>
      </c>
      <c r="O1443" s="3" t="n">
        <v>0.0504</v>
      </c>
      <c r="P1443" s="4" t="n">
        <v>0.00308</v>
      </c>
      <c r="Q1443" s="3" t="n">
        <v>0.0395</v>
      </c>
      <c r="R1443" s="3" t="n">
        <v>0.973</v>
      </c>
      <c r="S1443" s="3" t="str">
        <f aca="false">IF(R1443 &gt;= 0.5, "Positive", "Negative")</f>
        <v>Positive</v>
      </c>
      <c r="T1443" s="2" t="n">
        <v>124.017</v>
      </c>
      <c r="U1443" s="0" t="s">
        <v>39</v>
      </c>
    </row>
    <row r="1444" customFormat="false" ht="14.25" hidden="false" customHeight="false" outlineLevel="0" collapsed="false">
      <c r="A1444" s="0" t="n">
        <v>437</v>
      </c>
      <c r="B1444" s="0" t="str">
        <f aca="false">_xlfn.xlookup(A1444, artists!A$2:A$836, artists!B$2:B$836)</f>
        <v>Lady Gaga</v>
      </c>
      <c r="C1444" s="1" t="s">
        <v>1473</v>
      </c>
      <c r="D1444" s="2" t="n">
        <v>215733</v>
      </c>
      <c r="E1444" s="2" t="n">
        <f aca="false">D1444/1000</f>
        <v>215.733</v>
      </c>
      <c r="F1444" s="10" t="b">
        <f aca="false">FALSE()</f>
        <v>0</v>
      </c>
      <c r="G1444" s="0" t="n">
        <v>21</v>
      </c>
      <c r="H1444" s="0" t="n">
        <f aca="false">_xlfn.xlookup(G1444, years!A$2:A$836, years!B$2:B$836)</f>
        <v>2018</v>
      </c>
      <c r="I1444" s="2" t="n">
        <v>82</v>
      </c>
      <c r="J1444" s="0" t="n">
        <v>0.572</v>
      </c>
      <c r="K1444" s="0" t="n">
        <v>0.385</v>
      </c>
      <c r="L1444" s="3" t="str">
        <f aca="false">IF(K1444&gt;0.66,"High",IF(K1444&gt;0.33&amp;K1444&lt;=0.66,"Medium","Low"))</f>
        <v>Low</v>
      </c>
      <c r="M1444" s="0" t="n">
        <v>-6.362</v>
      </c>
      <c r="N1444" s="3" t="n">
        <v>0.0308</v>
      </c>
      <c r="O1444" s="3" t="n">
        <v>0.371</v>
      </c>
      <c r="P1444" s="4" t="n">
        <v>0</v>
      </c>
      <c r="Q1444" s="3" t="n">
        <v>0.231</v>
      </c>
      <c r="R1444" s="3" t="n">
        <v>0.323</v>
      </c>
      <c r="S1444" s="3" t="str">
        <f aca="false">IF(R1444 &gt;= 0.5, "Positive", "Negative")</f>
        <v>Negative</v>
      </c>
      <c r="T1444" s="2" t="n">
        <v>95.799</v>
      </c>
      <c r="U1444" s="0" t="s">
        <v>39</v>
      </c>
    </row>
    <row r="1445" customFormat="false" ht="14.25" hidden="false" customHeight="false" outlineLevel="0" collapsed="false">
      <c r="A1445" s="0" t="n">
        <v>1</v>
      </c>
      <c r="B1445" s="0" t="str">
        <f aca="false">_xlfn.xlookup(A1445, artists!A$2:A$836, artists!B$2:B$836)</f>
        <v>Britney Spears</v>
      </c>
      <c r="C1445" s="1" t="s">
        <v>1474</v>
      </c>
      <c r="D1445" s="2" t="n">
        <v>198800</v>
      </c>
      <c r="E1445" s="2" t="n">
        <f aca="false">D1445/1000</f>
        <v>198.8</v>
      </c>
      <c r="F1445" s="10" t="b">
        <f aca="false">FALSE()</f>
        <v>0</v>
      </c>
      <c r="G1445" s="0" t="n">
        <v>6</v>
      </c>
      <c r="H1445" s="0" t="n">
        <f aca="false">_xlfn.xlookup(G1445, years!A$2:A$836, years!B$2:B$836)</f>
        <v>2003</v>
      </c>
      <c r="I1445" s="2" t="n">
        <v>81</v>
      </c>
      <c r="J1445" s="0" t="n">
        <v>0.774</v>
      </c>
      <c r="K1445" s="0" t="n">
        <v>0.838</v>
      </c>
      <c r="L1445" s="3" t="str">
        <f aca="false">IF(K1445&gt;0.66,"High",IF(K1445&gt;0.33&amp;K1445&lt;=0.66,"Medium","Low"))</f>
        <v>High</v>
      </c>
      <c r="M1445" s="0" t="n">
        <v>-3.914</v>
      </c>
      <c r="N1445" s="3" t="n">
        <v>0.114</v>
      </c>
      <c r="O1445" s="3" t="n">
        <v>0.0249</v>
      </c>
      <c r="P1445" s="4" t="n">
        <v>0.025</v>
      </c>
      <c r="Q1445" s="3" t="n">
        <v>0.242</v>
      </c>
      <c r="R1445" s="3" t="n">
        <v>0.924</v>
      </c>
      <c r="S1445" s="3" t="str">
        <f aca="false">IF(R1445 &gt;= 0.5, "Positive", "Negative")</f>
        <v>Positive</v>
      </c>
      <c r="T1445" s="2" t="n">
        <v>143.04</v>
      </c>
      <c r="U1445" s="0" t="s">
        <v>39</v>
      </c>
    </row>
    <row r="1446" customFormat="false" ht="14.25" hidden="false" customHeight="false" outlineLevel="0" collapsed="false">
      <c r="A1446" s="0" t="n">
        <v>628</v>
      </c>
      <c r="B1446" s="0" t="str">
        <f aca="false">_xlfn.xlookup(A1446, artists!A$2:A$836, artists!B$2:B$836)</f>
        <v>Ed Sheeran</v>
      </c>
      <c r="C1446" s="1" t="s">
        <v>1475</v>
      </c>
      <c r="D1446" s="2" t="n">
        <v>233712</v>
      </c>
      <c r="E1446" s="2" t="n">
        <f aca="false">D1446/1000</f>
        <v>233.712</v>
      </c>
      <c r="F1446" s="10" t="b">
        <f aca="false">FALSE()</f>
        <v>0</v>
      </c>
      <c r="G1446" s="0" t="n">
        <v>20</v>
      </c>
      <c r="H1446" s="0" t="n">
        <f aca="false">_xlfn.xlookup(G1446, years!A$2:A$836, years!B$2:B$836)</f>
        <v>2017</v>
      </c>
      <c r="I1446" s="2" t="n">
        <v>84</v>
      </c>
      <c r="J1446" s="0" t="n">
        <v>0.825</v>
      </c>
      <c r="K1446" s="0" t="n">
        <v>0.652</v>
      </c>
      <c r="L1446" s="3" t="str">
        <f aca="false">IF(K1446&gt;0.66,"High",IF(K1446&gt;0.33&amp;K1446&lt;=0.66,"Medium","Low"))</f>
        <v>Low</v>
      </c>
      <c r="M1446" s="0" t="n">
        <v>-3.183</v>
      </c>
      <c r="N1446" s="3" t="n">
        <v>0.0802</v>
      </c>
      <c r="O1446" s="3" t="n">
        <v>0.581</v>
      </c>
      <c r="P1446" s="4" t="n">
        <v>0</v>
      </c>
      <c r="Q1446" s="3" t="n">
        <v>0.0931</v>
      </c>
      <c r="R1446" s="3" t="n">
        <v>0.931</v>
      </c>
      <c r="S1446" s="3" t="str">
        <f aca="false">IF(R1446 &gt;= 0.5, "Positive", "Negative")</f>
        <v>Positive</v>
      </c>
      <c r="T1446" s="2" t="n">
        <v>95.977</v>
      </c>
      <c r="U1446" s="0" t="s">
        <v>39</v>
      </c>
    </row>
    <row r="1447" customFormat="false" ht="14.25" hidden="false" customHeight="false" outlineLevel="0" collapsed="false">
      <c r="A1447" s="0" t="n">
        <v>383</v>
      </c>
      <c r="B1447" s="0" t="str">
        <f aca="false">_xlfn.xlookup(A1447, artists!A$2:A$836, artists!B$2:B$836)</f>
        <v>Plies</v>
      </c>
      <c r="C1447" s="1" t="s">
        <v>1476</v>
      </c>
      <c r="D1447" s="2" t="n">
        <v>255413</v>
      </c>
      <c r="E1447" s="2" t="n">
        <f aca="false">D1447/1000</f>
        <v>255.413</v>
      </c>
      <c r="F1447" s="10" t="b">
        <f aca="false">TRUE()</f>
        <v>1</v>
      </c>
      <c r="G1447" s="0" t="n">
        <v>10</v>
      </c>
      <c r="H1447" s="0" t="n">
        <f aca="false">_xlfn.xlookup(G1447, years!A$2:A$836, years!B$2:B$836)</f>
        <v>2007</v>
      </c>
      <c r="I1447" s="2" t="n">
        <v>61</v>
      </c>
      <c r="J1447" s="0" t="n">
        <v>0.444</v>
      </c>
      <c r="K1447" s="0" t="n">
        <v>0.708</v>
      </c>
      <c r="L1447" s="3" t="str">
        <f aca="false">IF(K1447&gt;0.66,"High",IF(K1447&gt;0.33&amp;K1447&lt;=0.66,"Medium","Low"))</f>
        <v>High</v>
      </c>
      <c r="M1447" s="0" t="n">
        <v>-5.926</v>
      </c>
      <c r="N1447" s="3" t="n">
        <v>0.126</v>
      </c>
      <c r="O1447" s="3" t="n">
        <v>0.0419</v>
      </c>
      <c r="P1447" s="4" t="n">
        <v>0</v>
      </c>
      <c r="Q1447" s="3" t="n">
        <v>0.0775</v>
      </c>
      <c r="R1447" s="3" t="n">
        <v>0.26</v>
      </c>
      <c r="S1447" s="3" t="str">
        <f aca="false">IF(R1447 &gt;= 0.5, "Positive", "Negative")</f>
        <v>Negative</v>
      </c>
      <c r="T1447" s="2" t="n">
        <v>105.412</v>
      </c>
      <c r="U1447" s="0" t="s">
        <v>31</v>
      </c>
    </row>
    <row r="1448" customFormat="false" ht="14.25" hidden="false" customHeight="false" outlineLevel="0" collapsed="false">
      <c r="A1448" s="0" t="n">
        <v>48</v>
      </c>
      <c r="B1448" s="0" t="str">
        <f aca="false">_xlfn.xlookup(A1448, artists!A$2:A$836, artists!B$2:B$836)</f>
        <v>Ricky Martin</v>
      </c>
      <c r="C1448" s="1" t="s">
        <v>1477</v>
      </c>
      <c r="D1448" s="2" t="n">
        <v>280626</v>
      </c>
      <c r="E1448" s="2" t="n">
        <f aca="false">D1448/1000</f>
        <v>280.626</v>
      </c>
      <c r="F1448" s="10" t="b">
        <f aca="false">FALSE()</f>
        <v>0</v>
      </c>
      <c r="G1448" s="0" t="n">
        <v>3</v>
      </c>
      <c r="H1448" s="0" t="n">
        <f aca="false">_xlfn.xlookup(G1448, years!A$2:A$836, years!B$2:B$836)</f>
        <v>2000</v>
      </c>
      <c r="I1448" s="2" t="n">
        <v>60</v>
      </c>
      <c r="J1448" s="0" t="n">
        <v>0.63</v>
      </c>
      <c r="K1448" s="0" t="n">
        <v>0.95</v>
      </c>
      <c r="L1448" s="3" t="str">
        <f aca="false">IF(K1448&gt;0.66,"High",IF(K1448&gt;0.33&amp;K1448&lt;=0.66,"Medium","Low"))</f>
        <v>High</v>
      </c>
      <c r="M1448" s="0" t="n">
        <v>-4.012</v>
      </c>
      <c r="N1448" s="3" t="n">
        <v>0.0806</v>
      </c>
      <c r="O1448" s="3" t="n">
        <v>0.000915</v>
      </c>
      <c r="P1448" s="4" t="n">
        <v>6.51E-006</v>
      </c>
      <c r="Q1448" s="3" t="n">
        <v>0.373</v>
      </c>
      <c r="R1448" s="3" t="n">
        <v>0.858</v>
      </c>
      <c r="S1448" s="3" t="str">
        <f aca="false">IF(R1448 &gt;= 0.5, "Positive", "Negative")</f>
        <v>Positive</v>
      </c>
      <c r="T1448" s="2" t="n">
        <v>143.866</v>
      </c>
      <c r="U1448" s="0" t="s">
        <v>75</v>
      </c>
    </row>
    <row r="1449" customFormat="false" ht="14.25" hidden="false" customHeight="false" outlineLevel="0" collapsed="false">
      <c r="A1449" s="0" t="n">
        <v>169</v>
      </c>
      <c r="B1449" s="0" t="str">
        <f aca="false">_xlfn.xlookup(A1449, artists!A$2:A$836, artists!B$2:B$836)</f>
        <v>Sean Paul</v>
      </c>
      <c r="C1449" s="1" t="s">
        <v>1478</v>
      </c>
      <c r="D1449" s="2" t="n">
        <v>227786</v>
      </c>
      <c r="E1449" s="2" t="n">
        <f aca="false">D1449/1000</f>
        <v>227.786</v>
      </c>
      <c r="F1449" s="10" t="b">
        <f aca="false">FALSE()</f>
        <v>0</v>
      </c>
      <c r="G1449" s="0" t="n">
        <v>15</v>
      </c>
      <c r="H1449" s="0" t="n">
        <f aca="false">_xlfn.xlookup(G1449, years!A$2:A$836, years!B$2:B$836)</f>
        <v>2012</v>
      </c>
      <c r="I1449" s="2" t="n">
        <v>70</v>
      </c>
      <c r="J1449" s="0" t="n">
        <v>0.718</v>
      </c>
      <c r="K1449" s="0" t="n">
        <v>0.776</v>
      </c>
      <c r="L1449" s="3" t="str">
        <f aca="false">IF(K1449&gt;0.66,"High",IF(K1449&gt;0.33&amp;K1449&lt;=0.66,"Medium","Low"))</f>
        <v>High</v>
      </c>
      <c r="M1449" s="0" t="n">
        <v>-5.208</v>
      </c>
      <c r="N1449" s="3" t="n">
        <v>0.0693</v>
      </c>
      <c r="O1449" s="3" t="n">
        <v>0.000624</v>
      </c>
      <c r="P1449" s="4" t="n">
        <v>5.3E-006</v>
      </c>
      <c r="Q1449" s="3" t="n">
        <v>0.207</v>
      </c>
      <c r="R1449" s="3" t="n">
        <v>0.622</v>
      </c>
      <c r="S1449" s="3" t="str">
        <f aca="false">IF(R1449 &gt;= 0.5, "Positive", "Negative")</f>
        <v>Positive</v>
      </c>
      <c r="T1449" s="2" t="n">
        <v>120.015</v>
      </c>
      <c r="U1449" s="0" t="s">
        <v>24</v>
      </c>
    </row>
    <row r="1450" customFormat="false" ht="14.25" hidden="false" customHeight="false" outlineLevel="0" collapsed="false">
      <c r="A1450" s="0" t="n">
        <v>187</v>
      </c>
      <c r="B1450" s="0" t="str">
        <f aca="false">_xlfn.xlookup(A1450, artists!A$2:A$836, artists!B$2:B$836)</f>
        <v>Puddle Of Mudd</v>
      </c>
      <c r="C1450" s="1" t="s">
        <v>1479</v>
      </c>
      <c r="D1450" s="2" t="n">
        <v>216760</v>
      </c>
      <c r="E1450" s="2" t="n">
        <f aca="false">D1450/1000</f>
        <v>216.76</v>
      </c>
      <c r="F1450" s="10" t="b">
        <f aca="false">TRUE()</f>
        <v>1</v>
      </c>
      <c r="G1450" s="0" t="n">
        <v>4</v>
      </c>
      <c r="H1450" s="0" t="n">
        <f aca="false">_xlfn.xlookup(G1450, years!A$2:A$836, years!B$2:B$836)</f>
        <v>2001</v>
      </c>
      <c r="I1450" s="2" t="n">
        <v>70</v>
      </c>
      <c r="J1450" s="0" t="n">
        <v>0.58</v>
      </c>
      <c r="K1450" s="0" t="n">
        <v>0.748</v>
      </c>
      <c r="L1450" s="3" t="str">
        <f aca="false">IF(K1450&gt;0.66,"High",IF(K1450&gt;0.33&amp;K1450&lt;=0.66,"Medium","Low"))</f>
        <v>High</v>
      </c>
      <c r="M1450" s="0" t="n">
        <v>-5.433</v>
      </c>
      <c r="N1450" s="3" t="n">
        <v>0.0323</v>
      </c>
      <c r="O1450" s="3" t="n">
        <v>0.00935</v>
      </c>
      <c r="P1450" s="4" t="n">
        <v>0</v>
      </c>
      <c r="Q1450" s="3" t="n">
        <v>0.753</v>
      </c>
      <c r="R1450" s="3" t="n">
        <v>0.584</v>
      </c>
      <c r="S1450" s="3" t="str">
        <f aca="false">IF(R1450 &gt;= 0.5, "Positive", "Negative")</f>
        <v>Positive</v>
      </c>
      <c r="T1450" s="2" t="n">
        <v>109.781</v>
      </c>
      <c r="U1450" s="0" t="s">
        <v>81</v>
      </c>
    </row>
    <row r="1451" customFormat="false" ht="14.25" hidden="false" customHeight="false" outlineLevel="0" collapsed="false">
      <c r="A1451" s="0" t="n">
        <v>633</v>
      </c>
      <c r="B1451" s="0" t="str">
        <f aca="false">_xlfn.xlookup(A1451, artists!A$2:A$836, artists!B$2:B$836)</f>
        <v>5 Seconds of Summer</v>
      </c>
      <c r="C1451" s="1" t="s">
        <v>1480</v>
      </c>
      <c r="D1451" s="2" t="n">
        <v>202496</v>
      </c>
      <c r="E1451" s="2" t="n">
        <f aca="false">D1451/1000</f>
        <v>202.496</v>
      </c>
      <c r="F1451" s="10" t="b">
        <f aca="false">FALSE()</f>
        <v>0</v>
      </c>
      <c r="G1451" s="0" t="n">
        <v>17</v>
      </c>
      <c r="H1451" s="0" t="n">
        <f aca="false">_xlfn.xlookup(G1451, years!A$2:A$836, years!B$2:B$836)</f>
        <v>2014</v>
      </c>
      <c r="I1451" s="2" t="n">
        <v>74</v>
      </c>
      <c r="J1451" s="0" t="n">
        <v>0.494</v>
      </c>
      <c r="K1451" s="0" t="n">
        <v>0.951</v>
      </c>
      <c r="L1451" s="3" t="str">
        <f aca="false">IF(K1451&gt;0.66,"High",IF(K1451&gt;0.33&amp;K1451&lt;=0.66,"Medium","Low"))</f>
        <v>High</v>
      </c>
      <c r="M1451" s="0" t="n">
        <v>-4.237</v>
      </c>
      <c r="N1451" s="3" t="n">
        <v>0.132</v>
      </c>
      <c r="O1451" s="3" t="n">
        <v>0.000569</v>
      </c>
      <c r="P1451" s="4" t="n">
        <v>0</v>
      </c>
      <c r="Q1451" s="3" t="n">
        <v>0.327</v>
      </c>
      <c r="R1451" s="3" t="n">
        <v>0.441</v>
      </c>
      <c r="S1451" s="3" t="str">
        <f aca="false">IF(R1451 &gt;= 0.5, "Positive", "Negative")</f>
        <v>Negative</v>
      </c>
      <c r="T1451" s="2" t="n">
        <v>160.025</v>
      </c>
      <c r="U1451" s="0" t="s">
        <v>39</v>
      </c>
    </row>
    <row r="1452" customFormat="false" ht="14.25" hidden="false" customHeight="false" outlineLevel="0" collapsed="false">
      <c r="A1452" s="0" t="n">
        <v>495</v>
      </c>
      <c r="B1452" s="0" t="str">
        <f aca="false">_xlfn.xlookup(A1452, artists!A$2:A$836, artists!B$2:B$836)</f>
        <v>Plan B</v>
      </c>
      <c r="C1452" s="1" t="s">
        <v>1481</v>
      </c>
      <c r="D1452" s="2" t="n">
        <v>208853</v>
      </c>
      <c r="E1452" s="2" t="n">
        <f aca="false">D1452/1000</f>
        <v>208.853</v>
      </c>
      <c r="F1452" s="10" t="b">
        <f aca="false">FALSE()</f>
        <v>0</v>
      </c>
      <c r="G1452" s="0" t="n">
        <v>13</v>
      </c>
      <c r="H1452" s="0" t="n">
        <f aca="false">_xlfn.xlookup(G1452, years!A$2:A$836, years!B$2:B$836)</f>
        <v>2010</v>
      </c>
      <c r="I1452" s="2" t="n">
        <v>62</v>
      </c>
      <c r="J1452" s="0" t="n">
        <v>0.72</v>
      </c>
      <c r="K1452" s="0" t="n">
        <v>0.538</v>
      </c>
      <c r="L1452" s="3" t="str">
        <f aca="false">IF(K1452&gt;0.66,"High",IF(K1452&gt;0.33&amp;K1452&lt;=0.66,"Medium","Low"))</f>
        <v>Low</v>
      </c>
      <c r="M1452" s="0" t="n">
        <v>-5.85</v>
      </c>
      <c r="N1452" s="3" t="n">
        <v>0.141</v>
      </c>
      <c r="O1452" s="3" t="n">
        <v>0.301</v>
      </c>
      <c r="P1452" s="4" t="n">
        <v>3.03E-006</v>
      </c>
      <c r="Q1452" s="3" t="n">
        <v>0.144</v>
      </c>
      <c r="R1452" s="3" t="n">
        <v>0.815</v>
      </c>
      <c r="S1452" s="3" t="str">
        <f aca="false">IF(R1452 &gt;= 0.5, "Positive", "Negative")</f>
        <v>Positive</v>
      </c>
      <c r="T1452" s="2" t="n">
        <v>147.007</v>
      </c>
      <c r="U1452" s="0" t="s">
        <v>48</v>
      </c>
    </row>
    <row r="1453" customFormat="false" ht="14.25" hidden="false" customHeight="false" outlineLevel="0" collapsed="false">
      <c r="A1453" s="0" t="n">
        <v>263</v>
      </c>
      <c r="B1453" s="0" t="str">
        <f aca="false">_xlfn.xlookup(A1453, artists!A$2:A$836, artists!B$2:B$836)</f>
        <v>N.E.R.D</v>
      </c>
      <c r="C1453" s="1" t="s">
        <v>1482</v>
      </c>
      <c r="D1453" s="2" t="n">
        <v>213786</v>
      </c>
      <c r="E1453" s="2" t="n">
        <f aca="false">D1453/1000</f>
        <v>213.786</v>
      </c>
      <c r="F1453" s="10" t="b">
        <f aca="false">FALSE()</f>
        <v>0</v>
      </c>
      <c r="G1453" s="0" t="n">
        <v>7</v>
      </c>
      <c r="H1453" s="0" t="n">
        <f aca="false">_xlfn.xlookup(G1453, years!A$2:A$836, years!B$2:B$836)</f>
        <v>2004</v>
      </c>
      <c r="I1453" s="2" t="n">
        <v>57</v>
      </c>
      <c r="J1453" s="0" t="n">
        <v>0.766</v>
      </c>
      <c r="K1453" s="0" t="n">
        <v>0.851</v>
      </c>
      <c r="L1453" s="3" t="str">
        <f aca="false">IF(K1453&gt;0.66,"High",IF(K1453&gt;0.33&amp;K1453&lt;=0.66,"Medium","Low"))</f>
        <v>High</v>
      </c>
      <c r="M1453" s="0" t="n">
        <v>-4.831</v>
      </c>
      <c r="N1453" s="3" t="n">
        <v>0.0786</v>
      </c>
      <c r="O1453" s="3" t="n">
        <v>0.00402</v>
      </c>
      <c r="P1453" s="4" t="n">
        <v>0.000744</v>
      </c>
      <c r="Q1453" s="3" t="n">
        <v>0.256</v>
      </c>
      <c r="R1453" s="3" t="n">
        <v>0.8</v>
      </c>
      <c r="S1453" s="3" t="str">
        <f aca="false">IF(R1453 &gt;= 0.5, "Positive", "Negative")</f>
        <v>Positive</v>
      </c>
      <c r="T1453" s="2" t="n">
        <v>115.012</v>
      </c>
      <c r="U1453" s="0" t="s">
        <v>29</v>
      </c>
    </row>
    <row r="1454" customFormat="false" ht="14.25" hidden="false" customHeight="false" outlineLevel="0" collapsed="false">
      <c r="A1454" s="0" t="n">
        <v>84</v>
      </c>
      <c r="B1454" s="0" t="str">
        <f aca="false">_xlfn.xlookup(A1454, artists!A$2:A$836, artists!B$2:B$836)</f>
        <v>Shakira</v>
      </c>
      <c r="C1454" s="1" t="s">
        <v>1483</v>
      </c>
      <c r="D1454" s="2" t="n">
        <v>188866</v>
      </c>
      <c r="E1454" s="2" t="n">
        <f aca="false">D1454/1000</f>
        <v>188.866</v>
      </c>
      <c r="F1454" s="10" t="b">
        <f aca="false">FALSE()</f>
        <v>0</v>
      </c>
      <c r="G1454" s="0" t="n">
        <v>12</v>
      </c>
      <c r="H1454" s="0" t="n">
        <f aca="false">_xlfn.xlookup(G1454, years!A$2:A$836, years!B$2:B$836)</f>
        <v>2009</v>
      </c>
      <c r="I1454" s="2" t="n">
        <v>68</v>
      </c>
      <c r="J1454" s="0" t="n">
        <v>0.865</v>
      </c>
      <c r="K1454" s="0" t="n">
        <v>0.69</v>
      </c>
      <c r="L1454" s="3" t="str">
        <f aca="false">IF(K1454&gt;0.66,"High",IF(K1454&gt;0.33&amp;K1454&lt;=0.66,"Medium","Low"))</f>
        <v>High</v>
      </c>
      <c r="M1454" s="0" t="n">
        <v>-7.448</v>
      </c>
      <c r="N1454" s="3" t="n">
        <v>0.0443</v>
      </c>
      <c r="O1454" s="3" t="n">
        <v>0.285</v>
      </c>
      <c r="P1454" s="4" t="n">
        <v>0.0162</v>
      </c>
      <c r="Q1454" s="3" t="n">
        <v>0.225</v>
      </c>
      <c r="R1454" s="3" t="n">
        <v>0.867</v>
      </c>
      <c r="S1454" s="3" t="str">
        <f aca="false">IF(R1454 &gt;= 0.5, "Positive", "Negative")</f>
        <v>Positive</v>
      </c>
      <c r="T1454" s="2" t="n">
        <v>121.983</v>
      </c>
      <c r="U1454" s="0" t="s">
        <v>75</v>
      </c>
    </row>
    <row r="1455" customFormat="false" ht="14.25" hidden="false" customHeight="false" outlineLevel="0" collapsed="false">
      <c r="A1455" s="0" t="n">
        <v>438</v>
      </c>
      <c r="B1455" s="0" t="str">
        <f aca="false">_xlfn.xlookup(A1455, artists!A$2:A$836, artists!B$2:B$836)</f>
        <v>David Guetta</v>
      </c>
      <c r="C1455" s="1" t="s">
        <v>1484</v>
      </c>
      <c r="D1455" s="2" t="n">
        <v>222500</v>
      </c>
      <c r="E1455" s="2" t="n">
        <f aca="false">D1455/1000</f>
        <v>222.5</v>
      </c>
      <c r="F1455" s="10" t="b">
        <f aca="false">FALSE()</f>
        <v>0</v>
      </c>
      <c r="G1455" s="0" t="n">
        <v>15</v>
      </c>
      <c r="H1455" s="0" t="n">
        <f aca="false">_xlfn.xlookup(G1455, years!A$2:A$836, years!B$2:B$836)</f>
        <v>2012</v>
      </c>
      <c r="I1455" s="2" t="n">
        <v>66</v>
      </c>
      <c r="J1455" s="0" t="n">
        <v>0.492</v>
      </c>
      <c r="K1455" s="0" t="n">
        <v>0.857</v>
      </c>
      <c r="L1455" s="3" t="str">
        <f aca="false">IF(K1455&gt;0.66,"High",IF(K1455&gt;0.33&amp;K1455&lt;=0.66,"Medium","Low"))</f>
        <v>High</v>
      </c>
      <c r="M1455" s="0" t="n">
        <v>-2.634</v>
      </c>
      <c r="N1455" s="3" t="n">
        <v>0.0655</v>
      </c>
      <c r="O1455" s="3" t="n">
        <v>0.0841</v>
      </c>
      <c r="P1455" s="4" t="n">
        <v>7.82E-006</v>
      </c>
      <c r="Q1455" s="3" t="n">
        <v>0.344</v>
      </c>
      <c r="R1455" s="3" t="n">
        <v>0.393</v>
      </c>
      <c r="S1455" s="3" t="str">
        <f aca="false">IF(R1455 &gt;= 0.5, "Positive", "Negative")</f>
        <v>Negative</v>
      </c>
      <c r="T1455" s="2" t="n">
        <v>129.973</v>
      </c>
      <c r="U1455" s="0" t="s">
        <v>53</v>
      </c>
    </row>
    <row r="1456" customFormat="false" ht="14.25" hidden="false" customHeight="false" outlineLevel="0" collapsed="false">
      <c r="A1456" s="0" t="n">
        <v>739</v>
      </c>
      <c r="B1456" s="0" t="str">
        <f aca="false">_xlfn.xlookup(A1456, artists!A$2:A$836, artists!B$2:B$836)</f>
        <v>A Boogie Wit da Hoodie</v>
      </c>
      <c r="C1456" s="1" t="s">
        <v>1485</v>
      </c>
      <c r="D1456" s="2" t="n">
        <v>209269</v>
      </c>
      <c r="E1456" s="2" t="n">
        <f aca="false">D1456/1000</f>
        <v>209.269</v>
      </c>
      <c r="F1456" s="10" t="b">
        <f aca="false">TRUE()</f>
        <v>1</v>
      </c>
      <c r="G1456" s="0" t="n">
        <v>20</v>
      </c>
      <c r="H1456" s="0" t="n">
        <f aca="false">_xlfn.xlookup(G1456, years!A$2:A$836, years!B$2:B$836)</f>
        <v>2017</v>
      </c>
      <c r="I1456" s="2" t="n">
        <v>0</v>
      </c>
      <c r="J1456" s="0" t="n">
        <v>0.839</v>
      </c>
      <c r="K1456" s="0" t="n">
        <v>0.81</v>
      </c>
      <c r="L1456" s="3" t="str">
        <f aca="false">IF(K1456&gt;0.66,"High",IF(K1456&gt;0.33&amp;K1456&lt;=0.66,"Medium","Low"))</f>
        <v>High</v>
      </c>
      <c r="M1456" s="0" t="n">
        <v>-5.274</v>
      </c>
      <c r="N1456" s="3" t="n">
        <v>0.0568</v>
      </c>
      <c r="O1456" s="3" t="n">
        <v>0.501</v>
      </c>
      <c r="P1456" s="4" t="n">
        <v>0</v>
      </c>
      <c r="Q1456" s="3" t="n">
        <v>0.117</v>
      </c>
      <c r="R1456" s="3" t="n">
        <v>0.814</v>
      </c>
      <c r="S1456" s="3" t="str">
        <f aca="false">IF(R1456 &gt;= 0.5, "Positive", "Negative")</f>
        <v>Positive</v>
      </c>
      <c r="T1456" s="2" t="n">
        <v>129.014</v>
      </c>
      <c r="U1456" s="0" t="s">
        <v>29</v>
      </c>
    </row>
    <row r="1457" customFormat="false" ht="14.25" hidden="false" customHeight="false" outlineLevel="0" collapsed="false">
      <c r="A1457" s="0" t="n">
        <v>302</v>
      </c>
      <c r="B1457" s="0" t="str">
        <f aca="false">_xlfn.xlookup(A1457, artists!A$2:A$836, artists!B$2:B$836)</f>
        <v>Natalie Imbruglia</v>
      </c>
      <c r="C1457" s="1" t="s">
        <v>1486</v>
      </c>
      <c r="D1457" s="2" t="n">
        <v>222653</v>
      </c>
      <c r="E1457" s="2" t="n">
        <f aca="false">D1457/1000</f>
        <v>222.653</v>
      </c>
      <c r="F1457" s="10" t="b">
        <f aca="false">FALSE()</f>
        <v>0</v>
      </c>
      <c r="G1457" s="0" t="n">
        <v>8</v>
      </c>
      <c r="H1457" s="0" t="n">
        <f aca="false">_xlfn.xlookup(G1457, years!A$2:A$836, years!B$2:B$836)</f>
        <v>2005</v>
      </c>
      <c r="I1457" s="2" t="n">
        <v>52</v>
      </c>
      <c r="J1457" s="0" t="n">
        <v>0.489</v>
      </c>
      <c r="K1457" s="0" t="n">
        <v>0.798</v>
      </c>
      <c r="L1457" s="3" t="str">
        <f aca="false">IF(K1457&gt;0.66,"High",IF(K1457&gt;0.33&amp;K1457&lt;=0.66,"Medium","Low"))</f>
        <v>High</v>
      </c>
      <c r="M1457" s="0" t="n">
        <v>-4.49</v>
      </c>
      <c r="N1457" s="3" t="n">
        <v>0.0316</v>
      </c>
      <c r="O1457" s="3" t="n">
        <v>0.00115</v>
      </c>
      <c r="P1457" s="4" t="n">
        <v>2.81E-006</v>
      </c>
      <c r="Q1457" s="3" t="n">
        <v>0.149</v>
      </c>
      <c r="R1457" s="3" t="n">
        <v>0.309</v>
      </c>
      <c r="S1457" s="3" t="str">
        <f aca="false">IF(R1457 &gt;= 0.5, "Positive", "Negative")</f>
        <v>Negative</v>
      </c>
      <c r="T1457" s="2" t="n">
        <v>94.163</v>
      </c>
      <c r="U1457" s="0" t="s">
        <v>116</v>
      </c>
    </row>
    <row r="1458" customFormat="false" ht="14.25" hidden="false" customHeight="false" outlineLevel="0" collapsed="false">
      <c r="A1458" s="0" t="n">
        <v>798</v>
      </c>
      <c r="B1458" s="0" t="str">
        <f aca="false">_xlfn.xlookup(A1458, artists!A$2:A$836, artists!B$2:B$836)</f>
        <v>NLE Choppa</v>
      </c>
      <c r="C1458" s="1" t="s">
        <v>1487</v>
      </c>
      <c r="D1458" s="2" t="n">
        <v>176631</v>
      </c>
      <c r="E1458" s="2" t="n">
        <f aca="false">D1458/1000</f>
        <v>176.631</v>
      </c>
      <c r="F1458" s="10" t="b">
        <f aca="false">TRUE()</f>
        <v>1</v>
      </c>
      <c r="G1458" s="0" t="n">
        <v>22</v>
      </c>
      <c r="H1458" s="0" t="n">
        <f aca="false">_xlfn.xlookup(G1458, years!A$2:A$836, years!B$2:B$836)</f>
        <v>2019</v>
      </c>
      <c r="I1458" s="2" t="n">
        <v>0</v>
      </c>
      <c r="J1458" s="0" t="n">
        <v>0.894</v>
      </c>
      <c r="K1458" s="0" t="n">
        <v>0.511</v>
      </c>
      <c r="L1458" s="3" t="str">
        <f aca="false">IF(K1458&gt;0.66,"High",IF(K1458&gt;0.33&amp;K1458&lt;=0.66,"Medium","Low"))</f>
        <v>Low</v>
      </c>
      <c r="M1458" s="0" t="n">
        <v>-4.768</v>
      </c>
      <c r="N1458" s="3" t="n">
        <v>0.42</v>
      </c>
      <c r="O1458" s="3" t="n">
        <v>0.0251</v>
      </c>
      <c r="P1458" s="4" t="n">
        <v>0</v>
      </c>
      <c r="Q1458" s="3" t="n">
        <v>0.14</v>
      </c>
      <c r="R1458" s="3" t="n">
        <v>0.568</v>
      </c>
      <c r="S1458" s="3" t="str">
        <f aca="false">IF(R1458 &gt;= 0.5, "Positive", "Negative")</f>
        <v>Positive</v>
      </c>
      <c r="T1458" s="2" t="n">
        <v>120.08</v>
      </c>
      <c r="U1458" s="0" t="s">
        <v>29</v>
      </c>
    </row>
    <row r="1459" customFormat="false" ht="14.25" hidden="false" customHeight="false" outlineLevel="0" collapsed="false">
      <c r="A1459" s="0" t="n">
        <v>687</v>
      </c>
      <c r="B1459" s="0" t="str">
        <f aca="false">_xlfn.xlookup(A1459, artists!A$2:A$836, artists!B$2:B$836)</f>
        <v>G-Eazy</v>
      </c>
      <c r="C1459" s="1" t="s">
        <v>1488</v>
      </c>
      <c r="D1459" s="2" t="n">
        <v>268866</v>
      </c>
      <c r="E1459" s="2" t="n">
        <f aca="false">D1459/1000</f>
        <v>268.866</v>
      </c>
      <c r="F1459" s="10" t="b">
        <f aca="false">TRUE()</f>
        <v>1</v>
      </c>
      <c r="G1459" s="0" t="n">
        <v>20</v>
      </c>
      <c r="H1459" s="0" t="n">
        <f aca="false">_xlfn.xlookup(G1459, years!A$2:A$836, years!B$2:B$836)</f>
        <v>2017</v>
      </c>
      <c r="I1459" s="2" t="n">
        <v>0</v>
      </c>
      <c r="J1459" s="0" t="n">
        <v>0.589</v>
      </c>
      <c r="K1459" s="0" t="n">
        <v>0.731</v>
      </c>
      <c r="L1459" s="3" t="str">
        <f aca="false">IF(K1459&gt;0.66,"High",IF(K1459&gt;0.33&amp;K1459&lt;=0.66,"Medium","Low"))</f>
        <v>High</v>
      </c>
      <c r="M1459" s="0" t="n">
        <v>-6.343</v>
      </c>
      <c r="N1459" s="3" t="n">
        <v>0.0868</v>
      </c>
      <c r="O1459" s="3" t="n">
        <v>0.0534</v>
      </c>
      <c r="P1459" s="4" t="n">
        <v>0</v>
      </c>
      <c r="Q1459" s="3" t="n">
        <v>0.308</v>
      </c>
      <c r="R1459" s="3" t="n">
        <v>0.191</v>
      </c>
      <c r="S1459" s="3" t="str">
        <f aca="false">IF(R1459 &gt;= 0.5, "Positive", "Negative")</f>
        <v>Negative</v>
      </c>
      <c r="T1459" s="2" t="n">
        <v>87.908</v>
      </c>
      <c r="U1459" s="0" t="s">
        <v>24</v>
      </c>
    </row>
    <row r="1460" customFormat="false" ht="14.25" hidden="false" customHeight="false" outlineLevel="0" collapsed="false">
      <c r="A1460" s="0" t="n">
        <v>625</v>
      </c>
      <c r="B1460" s="0" t="str">
        <f aca="false">_xlfn.xlookup(A1460, artists!A$2:A$836, artists!B$2:B$836)</f>
        <v>Kid Ink</v>
      </c>
      <c r="C1460" s="1" t="s">
        <v>1489</v>
      </c>
      <c r="D1460" s="2" t="n">
        <v>217800</v>
      </c>
      <c r="E1460" s="2" t="n">
        <f aca="false">D1460/1000</f>
        <v>217.8</v>
      </c>
      <c r="F1460" s="10" t="b">
        <f aca="false">TRUE()</f>
        <v>1</v>
      </c>
      <c r="G1460" s="0" t="n">
        <v>17</v>
      </c>
      <c r="H1460" s="0" t="n">
        <f aca="false">_xlfn.xlookup(G1460, years!A$2:A$836, years!B$2:B$836)</f>
        <v>2014</v>
      </c>
      <c r="I1460" s="2" t="n">
        <v>68</v>
      </c>
      <c r="J1460" s="0" t="n">
        <v>0.711</v>
      </c>
      <c r="K1460" s="0" t="n">
        <v>0.508</v>
      </c>
      <c r="L1460" s="3" t="str">
        <f aca="false">IF(K1460&gt;0.66,"High",IF(K1460&gt;0.33&amp;K1460&lt;=0.66,"Medium","Low"))</f>
        <v>Low</v>
      </c>
      <c r="M1460" s="0" t="n">
        <v>-7.299</v>
      </c>
      <c r="N1460" s="3" t="n">
        <v>0.0502</v>
      </c>
      <c r="O1460" s="3" t="n">
        <v>0.0355</v>
      </c>
      <c r="P1460" s="4" t="n">
        <v>0</v>
      </c>
      <c r="Q1460" s="3" t="n">
        <v>0.141</v>
      </c>
      <c r="R1460" s="3" t="n">
        <v>0.663</v>
      </c>
      <c r="S1460" s="3" t="str">
        <f aca="false">IF(R1460 &gt;= 0.5, "Positive", "Negative")</f>
        <v>Positive</v>
      </c>
      <c r="T1460" s="2" t="n">
        <v>98.098</v>
      </c>
      <c r="U1460" s="0" t="s">
        <v>24</v>
      </c>
    </row>
    <row r="1461" customFormat="false" ht="14.25" hidden="false" customHeight="false" outlineLevel="0" collapsed="false">
      <c r="A1461" s="0" t="n">
        <v>192</v>
      </c>
      <c r="B1461" s="0" t="str">
        <f aca="false">_xlfn.xlookup(A1461, artists!A$2:A$836, artists!B$2:B$836)</f>
        <v>Beyoncé</v>
      </c>
      <c r="C1461" s="1" t="s">
        <v>1490</v>
      </c>
      <c r="D1461" s="2" t="n">
        <v>211186</v>
      </c>
      <c r="E1461" s="2" t="n">
        <f aca="false">D1461/1000</f>
        <v>211.186</v>
      </c>
      <c r="F1461" s="10" t="b">
        <f aca="false">FALSE()</f>
        <v>0</v>
      </c>
      <c r="G1461" s="0" t="n">
        <v>9</v>
      </c>
      <c r="H1461" s="0" t="n">
        <f aca="false">_xlfn.xlookup(G1461, years!A$2:A$836, years!B$2:B$836)</f>
        <v>2006</v>
      </c>
      <c r="I1461" s="2" t="n">
        <v>45</v>
      </c>
      <c r="J1461" s="0" t="n">
        <v>0.7</v>
      </c>
      <c r="K1461" s="0" t="n">
        <v>0.887</v>
      </c>
      <c r="L1461" s="3" t="str">
        <f aca="false">IF(K1461&gt;0.66,"High",IF(K1461&gt;0.33&amp;K1461&lt;=0.66,"Medium","Low"))</f>
        <v>High</v>
      </c>
      <c r="M1461" s="0" t="n">
        <v>-3.887</v>
      </c>
      <c r="N1461" s="3" t="n">
        <v>0.218</v>
      </c>
      <c r="O1461" s="3" t="n">
        <v>0.0805</v>
      </c>
      <c r="P1461" s="4" t="n">
        <v>0</v>
      </c>
      <c r="Q1461" s="3" t="n">
        <v>0.376</v>
      </c>
      <c r="R1461" s="3" t="n">
        <v>0.883</v>
      </c>
      <c r="S1461" s="3" t="str">
        <f aca="false">IF(R1461 &gt;= 0.5, "Positive", "Negative")</f>
        <v>Positive</v>
      </c>
      <c r="T1461" s="2" t="n">
        <v>166.104</v>
      </c>
      <c r="U1461" s="0" t="s">
        <v>33</v>
      </c>
    </row>
    <row r="1462" customFormat="false" ht="14.25" hidden="false" customHeight="false" outlineLevel="0" collapsed="false">
      <c r="A1462" s="0" t="n">
        <v>617</v>
      </c>
      <c r="B1462" s="0" t="str">
        <f aca="false">_xlfn.xlookup(A1462, artists!A$2:A$836, artists!B$2:B$836)</f>
        <v>Becky G</v>
      </c>
      <c r="C1462" s="1" t="s">
        <v>1491</v>
      </c>
      <c r="D1462" s="2" t="n">
        <v>206166</v>
      </c>
      <c r="E1462" s="2" t="n">
        <f aca="false">D1462/1000</f>
        <v>206.166</v>
      </c>
      <c r="F1462" s="10" t="b">
        <f aca="false">FALSE()</f>
        <v>0</v>
      </c>
      <c r="G1462" s="0" t="n">
        <v>17</v>
      </c>
      <c r="H1462" s="0" t="n">
        <f aca="false">_xlfn.xlookup(G1462, years!A$2:A$836, years!B$2:B$836)</f>
        <v>2014</v>
      </c>
      <c r="I1462" s="2" t="n">
        <v>78</v>
      </c>
      <c r="J1462" s="0" t="n">
        <v>0.699</v>
      </c>
      <c r="K1462" s="0" t="n">
        <v>0.529</v>
      </c>
      <c r="L1462" s="3" t="str">
        <f aca="false">IF(K1462&gt;0.66,"High",IF(K1462&gt;0.33&amp;K1462&lt;=0.66,"Medium","Low"))</f>
        <v>Low</v>
      </c>
      <c r="M1462" s="0" t="n">
        <v>-7.548</v>
      </c>
      <c r="N1462" s="3" t="n">
        <v>0.0487</v>
      </c>
      <c r="O1462" s="3" t="n">
        <v>0.0317</v>
      </c>
      <c r="P1462" s="4" t="n">
        <v>3.59E-005</v>
      </c>
      <c r="Q1462" s="3" t="n">
        <v>0.285</v>
      </c>
      <c r="R1462" s="3" t="n">
        <v>0.121</v>
      </c>
      <c r="S1462" s="3" t="str">
        <f aca="false">IF(R1462 &gt;= 0.5, "Positive", "Negative")</f>
        <v>Negative</v>
      </c>
      <c r="T1462" s="2" t="n">
        <v>119.987</v>
      </c>
      <c r="U1462" s="0" t="s">
        <v>75</v>
      </c>
    </row>
    <row r="1463" customFormat="false" ht="14.25" hidden="false" customHeight="false" outlineLevel="0" collapsed="false">
      <c r="A1463" s="0" t="n">
        <v>789</v>
      </c>
      <c r="B1463" s="0" t="str">
        <f aca="false">_xlfn.xlookup(A1463, artists!A$2:A$836, artists!B$2:B$836)</f>
        <v>Bazzi</v>
      </c>
      <c r="C1463" s="1" t="s">
        <v>1492</v>
      </c>
      <c r="D1463" s="2" t="n">
        <v>131064</v>
      </c>
      <c r="E1463" s="2" t="n">
        <f aca="false">D1463/1000</f>
        <v>131.064</v>
      </c>
      <c r="F1463" s="10" t="b">
        <f aca="false">TRUE()</f>
        <v>1</v>
      </c>
      <c r="G1463" s="0" t="n">
        <v>21</v>
      </c>
      <c r="H1463" s="0" t="n">
        <f aca="false">_xlfn.xlookup(G1463, years!A$2:A$836, years!B$2:B$836)</f>
        <v>2018</v>
      </c>
      <c r="I1463" s="2" t="n">
        <v>75</v>
      </c>
      <c r="J1463" s="0" t="n">
        <v>0.71</v>
      </c>
      <c r="K1463" s="0" t="n">
        <v>0.789</v>
      </c>
      <c r="L1463" s="3" t="str">
        <f aca="false">IF(K1463&gt;0.66,"High",IF(K1463&gt;0.33&amp;K1463&lt;=0.66,"Medium","Low"))</f>
        <v>High</v>
      </c>
      <c r="M1463" s="0" t="n">
        <v>-3.874</v>
      </c>
      <c r="N1463" s="3" t="n">
        <v>0.0722</v>
      </c>
      <c r="O1463" s="3" t="n">
        <v>0.0161</v>
      </c>
      <c r="P1463" s="4" t="n">
        <v>2.77E-006</v>
      </c>
      <c r="Q1463" s="3" t="n">
        <v>0.451</v>
      </c>
      <c r="R1463" s="3" t="n">
        <v>0.717</v>
      </c>
      <c r="S1463" s="3" t="str">
        <f aca="false">IF(R1463 &gt;= 0.5, "Positive", "Negative")</f>
        <v>Positive</v>
      </c>
      <c r="T1463" s="2" t="n">
        <v>142.929</v>
      </c>
      <c r="U1463" s="0" t="s">
        <v>22</v>
      </c>
    </row>
    <row r="1464" customFormat="false" ht="14.25" hidden="false" customHeight="false" outlineLevel="0" collapsed="false">
      <c r="A1464" s="0" t="n">
        <v>283</v>
      </c>
      <c r="B1464" s="0" t="str">
        <f aca="false">_xlfn.xlookup(A1464, artists!A$2:A$836, artists!B$2:B$836)</f>
        <v>Rihanna</v>
      </c>
      <c r="C1464" s="1" t="s">
        <v>1493</v>
      </c>
      <c r="D1464" s="2" t="n">
        <v>212280</v>
      </c>
      <c r="E1464" s="2" t="n">
        <f aca="false">D1464/1000</f>
        <v>212.28</v>
      </c>
      <c r="F1464" s="10" t="b">
        <f aca="false">FALSE()</f>
        <v>0</v>
      </c>
      <c r="G1464" s="0" t="n">
        <v>11</v>
      </c>
      <c r="H1464" s="0" t="n">
        <f aca="false">_xlfn.xlookup(G1464, years!A$2:A$836, years!B$2:B$836)</f>
        <v>2008</v>
      </c>
      <c r="I1464" s="2" t="n">
        <v>69</v>
      </c>
      <c r="J1464" s="0" t="n">
        <v>0.735</v>
      </c>
      <c r="K1464" s="0" t="n">
        <v>0.826</v>
      </c>
      <c r="L1464" s="3" t="str">
        <f aca="false">IF(K1464&gt;0.66,"High",IF(K1464&gt;0.33&amp;K1464&lt;=0.66,"Medium","Low"))</f>
        <v>High</v>
      </c>
      <c r="M1464" s="0" t="n">
        <v>-4.902</v>
      </c>
      <c r="N1464" s="3" t="n">
        <v>0.0349</v>
      </c>
      <c r="O1464" s="3" t="n">
        <v>0.00101</v>
      </c>
      <c r="P1464" s="4" t="n">
        <v>0.129</v>
      </c>
      <c r="Q1464" s="3" t="n">
        <v>0.197</v>
      </c>
      <c r="R1464" s="3" t="n">
        <v>0.74</v>
      </c>
      <c r="S1464" s="3" t="str">
        <f aca="false">IF(R1464 &gt;= 0.5, "Positive", "Negative")</f>
        <v>Positive</v>
      </c>
      <c r="T1464" s="2" t="n">
        <v>132.964</v>
      </c>
      <c r="U1464" s="0" t="s">
        <v>31</v>
      </c>
    </row>
    <row r="1465" customFormat="false" ht="14.25" hidden="false" customHeight="false" outlineLevel="0" collapsed="false">
      <c r="A1465" s="0" t="n">
        <v>418</v>
      </c>
      <c r="B1465" s="0" t="str">
        <f aca="false">_xlfn.xlookup(A1465, artists!A$2:A$836, artists!B$2:B$836)</f>
        <v>The Ting Tings</v>
      </c>
      <c r="C1465" s="1" t="s">
        <v>1494</v>
      </c>
      <c r="D1465" s="2" t="n">
        <v>171226</v>
      </c>
      <c r="E1465" s="2" t="n">
        <f aca="false">D1465/1000</f>
        <v>171.226</v>
      </c>
      <c r="F1465" s="10" t="b">
        <f aca="false">FALSE()</f>
        <v>0</v>
      </c>
      <c r="G1465" s="0" t="n">
        <v>10</v>
      </c>
      <c r="H1465" s="0" t="n">
        <f aca="false">_xlfn.xlookup(G1465, years!A$2:A$836, years!B$2:B$836)</f>
        <v>2007</v>
      </c>
      <c r="I1465" s="2" t="n">
        <v>55</v>
      </c>
      <c r="J1465" s="0" t="n">
        <v>0.852</v>
      </c>
      <c r="K1465" s="0" t="n">
        <v>0.927</v>
      </c>
      <c r="L1465" s="3" t="str">
        <f aca="false">IF(K1465&gt;0.66,"High",IF(K1465&gt;0.33&amp;K1465&lt;=0.66,"Medium","Low"))</f>
        <v>High</v>
      </c>
      <c r="M1465" s="0" t="n">
        <v>-4.497</v>
      </c>
      <c r="N1465" s="3" t="n">
        <v>0.0581</v>
      </c>
      <c r="O1465" s="3" t="n">
        <v>0.0109</v>
      </c>
      <c r="P1465" s="4" t="n">
        <v>0.00268</v>
      </c>
      <c r="Q1465" s="3" t="n">
        <v>0.054</v>
      </c>
      <c r="R1465" s="3" t="n">
        <v>0.887</v>
      </c>
      <c r="S1465" s="3" t="str">
        <f aca="false">IF(R1465 &gt;= 0.5, "Positive", "Negative")</f>
        <v>Positive</v>
      </c>
      <c r="T1465" s="2" t="n">
        <v>107.993</v>
      </c>
      <c r="U1465" s="0" t="s">
        <v>292</v>
      </c>
    </row>
    <row r="1466" customFormat="false" ht="14.25" hidden="false" customHeight="false" outlineLevel="0" collapsed="false">
      <c r="A1466" s="0" t="n">
        <v>17</v>
      </c>
      <c r="B1466" s="0" t="str">
        <f aca="false">_xlfn.xlookup(A1466, artists!A$2:A$836, artists!B$2:B$836)</f>
        <v>Anastacia</v>
      </c>
      <c r="C1466" s="1" t="s">
        <v>1495</v>
      </c>
      <c r="D1466" s="2" t="n">
        <v>212266</v>
      </c>
      <c r="E1466" s="2" t="n">
        <f aca="false">D1466/1000</f>
        <v>212.266</v>
      </c>
      <c r="F1466" s="10" t="b">
        <f aca="false">FALSE()</f>
        <v>0</v>
      </c>
      <c r="G1466" s="0" t="n">
        <v>2</v>
      </c>
      <c r="H1466" s="0" t="n">
        <f aca="false">_xlfn.xlookup(G1466, years!A$2:A$836, years!B$2:B$836)</f>
        <v>1999</v>
      </c>
      <c r="I1466" s="2" t="n">
        <v>56</v>
      </c>
      <c r="J1466" s="0" t="n">
        <v>0.598</v>
      </c>
      <c r="K1466" s="0" t="n">
        <v>0.868</v>
      </c>
      <c r="L1466" s="3" t="str">
        <f aca="false">IF(K1466&gt;0.66,"High",IF(K1466&gt;0.33&amp;K1466&lt;=0.66,"Medium","Low"))</f>
        <v>High</v>
      </c>
      <c r="M1466" s="0" t="n">
        <v>-4.552</v>
      </c>
      <c r="N1466" s="3" t="n">
        <v>0.0373</v>
      </c>
      <c r="O1466" s="3" t="n">
        <v>0.00908</v>
      </c>
      <c r="P1466" s="4" t="n">
        <v>0</v>
      </c>
      <c r="Q1466" s="3" t="n">
        <v>0.279</v>
      </c>
      <c r="R1466" s="3" t="n">
        <v>0.47</v>
      </c>
      <c r="S1466" s="3" t="str">
        <f aca="false">IF(R1466 &gt;= 0.5, "Positive", "Negative")</f>
        <v>Negative</v>
      </c>
      <c r="T1466" s="2" t="n">
        <v>99.848</v>
      </c>
      <c r="U1466" s="0" t="s">
        <v>39</v>
      </c>
    </row>
    <row r="1467" customFormat="false" ht="14.25" hidden="false" customHeight="false" outlineLevel="0" collapsed="false">
      <c r="A1467" s="0" t="n">
        <v>619</v>
      </c>
      <c r="B1467" s="0" t="str">
        <f aca="false">_xlfn.xlookup(A1467, artists!A$2:A$836, artists!B$2:B$836)</f>
        <v>The Chainsmokers</v>
      </c>
      <c r="C1467" s="1" t="s">
        <v>1496</v>
      </c>
      <c r="D1467" s="2" t="n">
        <v>193200</v>
      </c>
      <c r="E1467" s="2" t="n">
        <f aca="false">D1467/1000</f>
        <v>193.2</v>
      </c>
      <c r="F1467" s="10" t="b">
        <f aca="false">FALSE()</f>
        <v>0</v>
      </c>
      <c r="G1467" s="0" t="n">
        <v>21</v>
      </c>
      <c r="H1467" s="0" t="n">
        <f aca="false">_xlfn.xlookup(G1467, years!A$2:A$836, years!B$2:B$836)</f>
        <v>2018</v>
      </c>
      <c r="I1467" s="2" t="n">
        <v>69</v>
      </c>
      <c r="J1467" s="0" t="n">
        <v>0.663</v>
      </c>
      <c r="K1467" s="0" t="n">
        <v>0.577</v>
      </c>
      <c r="L1467" s="3" t="str">
        <f aca="false">IF(K1467&gt;0.66,"High",IF(K1467&gt;0.33&amp;K1467&lt;=0.66,"Medium","Low"))</f>
        <v>Low</v>
      </c>
      <c r="M1467" s="0" t="n">
        <v>-7.518</v>
      </c>
      <c r="N1467" s="3" t="n">
        <v>0.0531</v>
      </c>
      <c r="O1467" s="3" t="n">
        <v>0.109</v>
      </c>
      <c r="P1467" s="4" t="n">
        <v>0</v>
      </c>
      <c r="Q1467" s="3" t="n">
        <v>0.12</v>
      </c>
      <c r="R1467" s="3" t="n">
        <v>0.454</v>
      </c>
      <c r="S1467" s="3" t="str">
        <f aca="false">IF(R1467 &gt;= 0.5, "Positive", "Negative")</f>
        <v>Negative</v>
      </c>
      <c r="T1467" s="2" t="n">
        <v>89.996</v>
      </c>
      <c r="U1467" s="0" t="s">
        <v>22</v>
      </c>
    </row>
    <row r="1468" customFormat="false" ht="14.25" hidden="false" customHeight="false" outlineLevel="0" collapsed="false">
      <c r="A1468" s="0" t="n">
        <v>561</v>
      </c>
      <c r="B1468" s="0" t="str">
        <f aca="false">_xlfn.xlookup(A1468, artists!A$2:A$836, artists!B$2:B$836)</f>
        <v>Lana Del Rey</v>
      </c>
      <c r="C1468" s="1" t="s">
        <v>1497</v>
      </c>
      <c r="D1468" s="2" t="n">
        <v>264011</v>
      </c>
      <c r="E1468" s="2" t="n">
        <f aca="false">D1468/1000</f>
        <v>264.011</v>
      </c>
      <c r="F1468" s="10" t="b">
        <f aca="false">FALSE()</f>
        <v>0</v>
      </c>
      <c r="G1468" s="0" t="n">
        <v>20</v>
      </c>
      <c r="H1468" s="0" t="n">
        <f aca="false">_xlfn.xlookup(G1468, years!A$2:A$836, years!B$2:B$836)</f>
        <v>2017</v>
      </c>
      <c r="I1468" s="2" t="n">
        <v>0</v>
      </c>
      <c r="J1468" s="0" t="n">
        <v>0.499</v>
      </c>
      <c r="K1468" s="0" t="n">
        <v>0.676</v>
      </c>
      <c r="L1468" s="3" t="str">
        <f aca="false">IF(K1468&gt;0.66,"High",IF(K1468&gt;0.33&amp;K1468&lt;=0.66,"Medium","Low"))</f>
        <v>High</v>
      </c>
      <c r="M1468" s="0" t="n">
        <v>-8.618</v>
      </c>
      <c r="N1468" s="3" t="n">
        <v>0.0582</v>
      </c>
      <c r="O1468" s="3" t="n">
        <v>0.588</v>
      </c>
      <c r="P1468" s="4" t="n">
        <v>0.00484</v>
      </c>
      <c r="Q1468" s="3" t="n">
        <v>0.358</v>
      </c>
      <c r="R1468" s="3" t="n">
        <v>0.295</v>
      </c>
      <c r="S1468" s="3" t="str">
        <f aca="false">IF(R1468 &gt;= 0.5, "Positive", "Negative")</f>
        <v>Negative</v>
      </c>
      <c r="T1468" s="2" t="n">
        <v>99.979</v>
      </c>
      <c r="U1468" s="0" t="s">
        <v>39</v>
      </c>
    </row>
    <row r="1469" customFormat="false" ht="14.25" hidden="false" customHeight="false" outlineLevel="0" collapsed="false">
      <c r="A1469" s="0" t="n">
        <v>675</v>
      </c>
      <c r="B1469" s="0" t="str">
        <f aca="false">_xlfn.xlookup(A1469, artists!A$2:A$836, artists!B$2:B$836)</f>
        <v>Shawn Mendes</v>
      </c>
      <c r="C1469" s="1" t="s">
        <v>1093</v>
      </c>
      <c r="D1469" s="2" t="n">
        <v>208733</v>
      </c>
      <c r="E1469" s="2" t="n">
        <f aca="false">D1469/1000</f>
        <v>208.733</v>
      </c>
      <c r="F1469" s="10" t="b">
        <f aca="false">FALSE()</f>
        <v>0</v>
      </c>
      <c r="G1469" s="0" t="n">
        <v>20</v>
      </c>
      <c r="H1469" s="0" t="n">
        <f aca="false">_xlfn.xlookup(G1469, years!A$2:A$836, years!B$2:B$836)</f>
        <v>2017</v>
      </c>
      <c r="I1469" s="2" t="n">
        <v>0</v>
      </c>
      <c r="J1469" s="0" t="n">
        <v>0.561</v>
      </c>
      <c r="K1469" s="0" t="n">
        <v>0.674</v>
      </c>
      <c r="L1469" s="3" t="str">
        <f aca="false">IF(K1469&gt;0.66,"High",IF(K1469&gt;0.33&amp;K1469&lt;=0.66,"Medium","Low"))</f>
        <v>High</v>
      </c>
      <c r="M1469" s="0" t="n">
        <v>-4.882</v>
      </c>
      <c r="N1469" s="3" t="n">
        <v>0.0818</v>
      </c>
      <c r="O1469" s="3" t="n">
        <v>0.118</v>
      </c>
      <c r="P1469" s="4" t="n">
        <v>0</v>
      </c>
      <c r="Q1469" s="3" t="n">
        <v>0.111</v>
      </c>
      <c r="R1469" s="3" t="n">
        <v>0.383</v>
      </c>
      <c r="S1469" s="3" t="str">
        <f aca="false">IF(R1469 &gt;= 0.5, "Positive", "Negative")</f>
        <v>Negative</v>
      </c>
      <c r="T1469" s="2" t="n">
        <v>148.127</v>
      </c>
      <c r="U1469" s="0" t="s">
        <v>39</v>
      </c>
    </row>
    <row r="1470" customFormat="false" ht="14.25" hidden="false" customHeight="false" outlineLevel="0" collapsed="false">
      <c r="A1470" s="0" t="n">
        <v>216</v>
      </c>
      <c r="B1470" s="0" t="str">
        <f aca="false">_xlfn.xlookup(A1470, artists!A$2:A$836, artists!B$2:B$836)</f>
        <v>Snoop Dogg</v>
      </c>
      <c r="C1470" s="1" t="s">
        <v>1498</v>
      </c>
      <c r="D1470" s="2" t="n">
        <v>236813</v>
      </c>
      <c r="E1470" s="2" t="n">
        <f aca="false">D1470/1000</f>
        <v>236.813</v>
      </c>
      <c r="F1470" s="10" t="b">
        <f aca="false">TRUE()</f>
        <v>1</v>
      </c>
      <c r="G1470" s="0" t="n">
        <v>7</v>
      </c>
      <c r="H1470" s="0" t="n">
        <f aca="false">_xlfn.xlookup(G1470, years!A$2:A$836, years!B$2:B$836)</f>
        <v>2004</v>
      </c>
      <c r="I1470" s="2" t="n">
        <v>54</v>
      </c>
      <c r="J1470" s="0" t="n">
        <v>0.94</v>
      </c>
      <c r="K1470" s="0" t="n">
        <v>0.713</v>
      </c>
      <c r="L1470" s="3" t="str">
        <f aca="false">IF(K1470&gt;0.66,"High",IF(K1470&gt;0.33&amp;K1470&lt;=0.66,"Medium","Low"))</f>
        <v>High</v>
      </c>
      <c r="M1470" s="0" t="n">
        <v>-5.308</v>
      </c>
      <c r="N1470" s="3" t="n">
        <v>0.127</v>
      </c>
      <c r="O1470" s="3" t="n">
        <v>0.0319</v>
      </c>
      <c r="P1470" s="4" t="n">
        <v>0.00076</v>
      </c>
      <c r="Q1470" s="3" t="n">
        <v>0.325</v>
      </c>
      <c r="R1470" s="3" t="n">
        <v>0.666</v>
      </c>
      <c r="S1470" s="3" t="str">
        <f aca="false">IF(R1470 &gt;= 0.5, "Positive", "Negative")</f>
        <v>Positive</v>
      </c>
      <c r="T1470" s="2" t="n">
        <v>112.955</v>
      </c>
      <c r="U1470" s="0" t="s">
        <v>24</v>
      </c>
    </row>
    <row r="1471" customFormat="false" ht="14.25" hidden="false" customHeight="false" outlineLevel="0" collapsed="false">
      <c r="A1471" s="0" t="n">
        <v>696</v>
      </c>
      <c r="B1471" s="0" t="str">
        <f aca="false">_xlfn.xlookup(A1471, artists!A$2:A$836, artists!B$2:B$836)</f>
        <v>Marshmello</v>
      </c>
      <c r="C1471" s="1" t="s">
        <v>1499</v>
      </c>
      <c r="D1471" s="2" t="n">
        <v>180822</v>
      </c>
      <c r="E1471" s="2" t="n">
        <f aca="false">D1471/1000</f>
        <v>180.822</v>
      </c>
      <c r="F1471" s="10" t="b">
        <f aca="false">FALSE()</f>
        <v>0</v>
      </c>
      <c r="G1471" s="0" t="n">
        <v>20</v>
      </c>
      <c r="H1471" s="0" t="n">
        <f aca="false">_xlfn.xlookup(G1471, years!A$2:A$836, years!B$2:B$836)</f>
        <v>2017</v>
      </c>
      <c r="I1471" s="2" t="n">
        <v>80</v>
      </c>
      <c r="J1471" s="0" t="n">
        <v>0.52</v>
      </c>
      <c r="K1471" s="0" t="n">
        <v>0.761</v>
      </c>
      <c r="L1471" s="3" t="str">
        <f aca="false">IF(K1471&gt;0.66,"High",IF(K1471&gt;0.33&amp;K1471&lt;=0.66,"Medium","Low"))</f>
        <v>High</v>
      </c>
      <c r="M1471" s="0" t="n">
        <v>-3.093</v>
      </c>
      <c r="N1471" s="3" t="n">
        <v>0.0853</v>
      </c>
      <c r="O1471" s="3" t="n">
        <v>0.256</v>
      </c>
      <c r="P1471" s="4" t="n">
        <v>4.96E-006</v>
      </c>
      <c r="Q1471" s="3" t="n">
        <v>0.17</v>
      </c>
      <c r="R1471" s="3" t="n">
        <v>0.286</v>
      </c>
      <c r="S1471" s="3" t="str">
        <f aca="false">IF(R1471 &gt;= 0.5, "Positive", "Negative")</f>
        <v>Negative</v>
      </c>
      <c r="T1471" s="2" t="n">
        <v>141.971</v>
      </c>
      <c r="U1471" s="0" t="s">
        <v>22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1500</v>
      </c>
      <c r="D1472" s="2" t="n">
        <v>211880</v>
      </c>
      <c r="E1472" s="2" t="n">
        <f aca="false">D1472/1000</f>
        <v>211.88</v>
      </c>
      <c r="F1472" s="10" t="b">
        <f aca="false">FALSE()</f>
        <v>0</v>
      </c>
      <c r="G1472" s="0" t="n">
        <v>15</v>
      </c>
      <c r="H1472" s="0" t="n">
        <f aca="false">_xlfn.xlookup(G1472, years!A$2:A$836, years!B$2:B$836)</f>
        <v>2012</v>
      </c>
      <c r="I1472" s="2" t="n">
        <v>53</v>
      </c>
      <c r="J1472" s="0" t="n">
        <v>0.605</v>
      </c>
      <c r="K1472" s="0" t="n">
        <v>0.8</v>
      </c>
      <c r="L1472" s="3" t="str">
        <f aca="false">IF(K1472&gt;0.66,"High",IF(K1472&gt;0.33&amp;K1472&lt;=0.66,"Medium","Low"))</f>
        <v>High</v>
      </c>
      <c r="M1472" s="0" t="n">
        <v>-6.235</v>
      </c>
      <c r="N1472" s="3" t="n">
        <v>0.0545</v>
      </c>
      <c r="O1472" s="3" t="n">
        <v>0.155</v>
      </c>
      <c r="P1472" s="4" t="n">
        <v>0.0562</v>
      </c>
      <c r="Q1472" s="3" t="n">
        <v>0.121</v>
      </c>
      <c r="R1472" s="3" t="n">
        <v>0.836</v>
      </c>
      <c r="S1472" s="3" t="str">
        <f aca="false">IF(R1472 &gt;= 0.5, "Positive", "Negative")</f>
        <v>Positive</v>
      </c>
      <c r="T1472" s="2" t="n">
        <v>128.074</v>
      </c>
      <c r="U1472" s="0" t="s">
        <v>22</v>
      </c>
    </row>
    <row r="1473" customFormat="false" ht="14.25" hidden="false" customHeight="false" outlineLevel="0" collapsed="false">
      <c r="A1473" s="0" t="n">
        <v>1</v>
      </c>
      <c r="B1473" s="0" t="str">
        <f aca="false">_xlfn.xlookup(A1473, artists!A$2:A$836, artists!B$2:B$836)</f>
        <v>Britney Spears</v>
      </c>
      <c r="C1473" s="1" t="s">
        <v>1501</v>
      </c>
      <c r="D1473" s="2" t="n">
        <v>196053</v>
      </c>
      <c r="E1473" s="2" t="n">
        <f aca="false">D1473/1000</f>
        <v>196.053</v>
      </c>
      <c r="F1473" s="10" t="b">
        <f aca="false">FALSE()</f>
        <v>0</v>
      </c>
      <c r="G1473" s="0" t="n">
        <v>10</v>
      </c>
      <c r="H1473" s="0" t="n">
        <f aca="false">_xlfn.xlookup(G1473, years!A$2:A$836, years!B$2:B$836)</f>
        <v>2007</v>
      </c>
      <c r="I1473" s="2" t="n">
        <v>61</v>
      </c>
      <c r="J1473" s="0" t="n">
        <v>0.712</v>
      </c>
      <c r="K1473" s="0" t="n">
        <v>0.911</v>
      </c>
      <c r="L1473" s="3" t="str">
        <f aca="false">IF(K1473&gt;0.66,"High",IF(K1473&gt;0.33&amp;K1473&lt;=0.66,"Medium","Low"))</f>
        <v>High</v>
      </c>
      <c r="M1473" s="0" t="n">
        <v>-3.866</v>
      </c>
      <c r="N1473" s="3" t="n">
        <v>0.0445</v>
      </c>
      <c r="O1473" s="3" t="n">
        <v>0.689</v>
      </c>
      <c r="P1473" s="4" t="n">
        <v>8.02E-006</v>
      </c>
      <c r="Q1473" s="3" t="n">
        <v>0.107</v>
      </c>
      <c r="R1473" s="3" t="n">
        <v>0.85</v>
      </c>
      <c r="S1473" s="3" t="str">
        <f aca="false">IF(R1473 &gt;= 0.5, "Positive", "Negative")</f>
        <v>Positive</v>
      </c>
      <c r="T1473" s="2" t="n">
        <v>117.533</v>
      </c>
      <c r="U1473" s="0" t="s">
        <v>39</v>
      </c>
    </row>
    <row r="1474" customFormat="false" ht="14.25" hidden="false" customHeight="false" outlineLevel="0" collapsed="false">
      <c r="A1474" s="0" t="n">
        <v>230</v>
      </c>
      <c r="B1474" s="0" t="str">
        <f aca="false">_xlfn.xlookup(A1474, artists!A$2:A$836, artists!B$2:B$836)</f>
        <v>Kelly Clarkson</v>
      </c>
      <c r="C1474" s="1" t="s">
        <v>1502</v>
      </c>
      <c r="D1474" s="2" t="n">
        <v>188960</v>
      </c>
      <c r="E1474" s="2" t="n">
        <f aca="false">D1474/1000</f>
        <v>188.96</v>
      </c>
      <c r="F1474" s="10" t="b">
        <f aca="false">FALSE()</f>
        <v>0</v>
      </c>
      <c r="G1474" s="0" t="n">
        <v>7</v>
      </c>
      <c r="H1474" s="0" t="n">
        <f aca="false">_xlfn.xlookup(G1474, years!A$2:A$836, years!B$2:B$836)</f>
        <v>2004</v>
      </c>
      <c r="I1474" s="2" t="n">
        <v>71</v>
      </c>
      <c r="J1474" s="0" t="n">
        <v>0.662</v>
      </c>
      <c r="K1474" s="0" t="n">
        <v>0.739</v>
      </c>
      <c r="L1474" s="3" t="str">
        <f aca="false">IF(K1474&gt;0.66,"High",IF(K1474&gt;0.33&amp;K1474&lt;=0.66,"Medium","Low"))</f>
        <v>High</v>
      </c>
      <c r="M1474" s="0" t="n">
        <v>-5.354</v>
      </c>
      <c r="N1474" s="3" t="n">
        <v>0.0322</v>
      </c>
      <c r="O1474" s="3" t="n">
        <v>0.00206</v>
      </c>
      <c r="P1474" s="4" t="n">
        <v>0.0603</v>
      </c>
      <c r="Q1474" s="3" t="n">
        <v>0.113</v>
      </c>
      <c r="R1474" s="3" t="n">
        <v>0.382</v>
      </c>
      <c r="S1474" s="3" t="str">
        <f aca="false">IF(R1474 &gt;= 0.5, "Positive", "Negative")</f>
        <v>Negative</v>
      </c>
      <c r="T1474" s="2" t="n">
        <v>130.999</v>
      </c>
      <c r="U1474" s="0" t="s">
        <v>33</v>
      </c>
    </row>
    <row r="1475" customFormat="false" ht="14.25" hidden="false" customHeight="false" outlineLevel="0" collapsed="false">
      <c r="A1475" s="0" t="n">
        <v>139</v>
      </c>
      <c r="B1475" s="0" t="str">
        <f aca="false">_xlfn.xlookup(A1475, artists!A$2:A$836, artists!B$2:B$836)</f>
        <v>Travis</v>
      </c>
      <c r="C1475" s="1" t="s">
        <v>1503</v>
      </c>
      <c r="D1475" s="2" t="n">
        <v>228800</v>
      </c>
      <c r="E1475" s="2" t="n">
        <f aca="false">D1475/1000</f>
        <v>228.8</v>
      </c>
      <c r="F1475" s="10" t="b">
        <f aca="false">FALSE()</f>
        <v>0</v>
      </c>
      <c r="G1475" s="0" t="n">
        <v>4</v>
      </c>
      <c r="H1475" s="0" t="n">
        <f aca="false">_xlfn.xlookup(G1475, years!A$2:A$836, years!B$2:B$836)</f>
        <v>2001</v>
      </c>
      <c r="I1475" s="2" t="n">
        <v>68</v>
      </c>
      <c r="J1475" s="0" t="n">
        <v>0.33</v>
      </c>
      <c r="K1475" s="0" t="n">
        <v>0.905</v>
      </c>
      <c r="L1475" s="3" t="str">
        <f aca="false">IF(K1475&gt;0.66,"High",IF(K1475&gt;0.33&amp;K1475&lt;=0.66,"Medium","Low"))</f>
        <v>High</v>
      </c>
      <c r="M1475" s="0" t="n">
        <v>-5.047</v>
      </c>
      <c r="N1475" s="3" t="n">
        <v>0.0497</v>
      </c>
      <c r="O1475" s="3" t="n">
        <v>0.000233</v>
      </c>
      <c r="P1475" s="4" t="n">
        <v>8.14E-006</v>
      </c>
      <c r="Q1475" s="3" t="n">
        <v>0.0712</v>
      </c>
      <c r="R1475" s="3" t="n">
        <v>0.259</v>
      </c>
      <c r="S1475" s="3" t="str">
        <f aca="false">IF(R1475 &gt;= 0.5, "Positive", "Negative")</f>
        <v>Negative</v>
      </c>
      <c r="T1475" s="2" t="n">
        <v>163.142</v>
      </c>
      <c r="U1475" s="0" t="s">
        <v>35</v>
      </c>
    </row>
    <row r="1476" customFormat="false" ht="14.25" hidden="false" customHeight="false" outlineLevel="0" collapsed="false">
      <c r="A1476" s="0" t="n">
        <v>628</v>
      </c>
      <c r="B1476" s="0" t="str">
        <f aca="false">_xlfn.xlookup(A1476, artists!A$2:A$836, artists!B$2:B$836)</f>
        <v>Ed Sheeran</v>
      </c>
      <c r="C1476" s="1" t="s">
        <v>1503</v>
      </c>
      <c r="D1476" s="2" t="n">
        <v>235382</v>
      </c>
      <c r="E1476" s="2" t="n">
        <f aca="false">D1476/1000</f>
        <v>235.382</v>
      </c>
      <c r="F1476" s="10" t="b">
        <f aca="false">FALSE()</f>
        <v>0</v>
      </c>
      <c r="G1476" s="0" t="n">
        <v>17</v>
      </c>
      <c r="H1476" s="0" t="n">
        <f aca="false">_xlfn.xlookup(G1476, years!A$2:A$836, years!B$2:B$836)</f>
        <v>2014</v>
      </c>
      <c r="I1476" s="2" t="n">
        <v>69</v>
      </c>
      <c r="J1476" s="0" t="n">
        <v>0.818</v>
      </c>
      <c r="K1476" s="0" t="n">
        <v>0.67</v>
      </c>
      <c r="L1476" s="3" t="str">
        <f aca="false">IF(K1476&gt;0.66,"High",IF(K1476&gt;0.33&amp;K1476&lt;=0.66,"Medium","Low"))</f>
        <v>High</v>
      </c>
      <c r="M1476" s="0" t="n">
        <v>-4.451</v>
      </c>
      <c r="N1476" s="3" t="n">
        <v>0.0472</v>
      </c>
      <c r="O1476" s="3" t="n">
        <v>0.304</v>
      </c>
      <c r="P1476" s="4" t="n">
        <v>1.22E-006</v>
      </c>
      <c r="Q1476" s="3" t="n">
        <v>0.0601</v>
      </c>
      <c r="R1476" s="3" t="n">
        <v>0.939</v>
      </c>
      <c r="S1476" s="3" t="str">
        <f aca="false">IF(R1476 &gt;= 0.5, "Positive", "Negative")</f>
        <v>Positive</v>
      </c>
      <c r="T1476" s="2" t="n">
        <v>119.988</v>
      </c>
      <c r="U1476" s="0" t="s">
        <v>39</v>
      </c>
    </row>
    <row r="1477" customFormat="false" ht="14.25" hidden="false" customHeight="false" outlineLevel="0" collapsed="false">
      <c r="A1477" s="0" t="n">
        <v>7</v>
      </c>
      <c r="B1477" s="0" t="str">
        <f aca="false">_xlfn.xlookup(A1477, artists!A$2:A$836, artists!B$2:B$836)</f>
        <v>Eminem</v>
      </c>
      <c r="C1477" s="1" t="s">
        <v>1504</v>
      </c>
      <c r="D1477" s="2" t="n">
        <v>339546</v>
      </c>
      <c r="E1477" s="2" t="n">
        <f aca="false">D1477/1000</f>
        <v>339.546</v>
      </c>
      <c r="F1477" s="10" t="b">
        <f aca="false">TRUE()</f>
        <v>1</v>
      </c>
      <c r="G1477" s="0" t="n">
        <v>5</v>
      </c>
      <c r="H1477" s="0" t="n">
        <f aca="false">_xlfn.xlookup(G1477, years!A$2:A$836, years!B$2:B$836)</f>
        <v>2002</v>
      </c>
      <c r="I1477" s="2" t="n">
        <v>71</v>
      </c>
      <c r="J1477" s="0" t="n">
        <v>0.668</v>
      </c>
      <c r="K1477" s="0" t="n">
        <v>0.824</v>
      </c>
      <c r="L1477" s="3" t="str">
        <f aca="false">IF(K1477&gt;0.66,"High",IF(K1477&gt;0.33&amp;K1477&lt;=0.66,"Medium","Low"))</f>
        <v>High</v>
      </c>
      <c r="M1477" s="0" t="n">
        <v>-4.164</v>
      </c>
      <c r="N1477" s="3" t="n">
        <v>0.137</v>
      </c>
      <c r="O1477" s="3" t="n">
        <v>0.0017</v>
      </c>
      <c r="P1477" s="4" t="n">
        <v>3.05E-006</v>
      </c>
      <c r="Q1477" s="3" t="n">
        <v>0.0426</v>
      </c>
      <c r="R1477" s="3" t="n">
        <v>0.185</v>
      </c>
      <c r="S1477" s="3" t="str">
        <f aca="false">IF(R1477 &gt;= 0.5, "Positive", "Negative")</f>
        <v>Negative</v>
      </c>
      <c r="T1477" s="2" t="n">
        <v>163.961</v>
      </c>
      <c r="U1477" s="0" t="s">
        <v>29</v>
      </c>
    </row>
    <row r="1478" customFormat="false" ht="14.25" hidden="false" customHeight="false" outlineLevel="0" collapsed="false">
      <c r="A1478" s="0" t="n">
        <v>192</v>
      </c>
      <c r="B1478" s="0" t="str">
        <f aca="false">_xlfn.xlookup(A1478, artists!A$2:A$836, artists!B$2:B$836)</f>
        <v>Beyoncé</v>
      </c>
      <c r="C1478" s="1" t="s">
        <v>1505</v>
      </c>
      <c r="D1478" s="2" t="n">
        <v>193213</v>
      </c>
      <c r="E1478" s="2" t="n">
        <f aca="false">D1478/1000</f>
        <v>193.213</v>
      </c>
      <c r="F1478" s="10" t="b">
        <f aca="false">FALSE()</f>
        <v>0</v>
      </c>
      <c r="G1478" s="0" t="n">
        <v>11</v>
      </c>
      <c r="H1478" s="0" t="n">
        <f aca="false">_xlfn.xlookup(G1478, years!A$2:A$836, years!B$2:B$836)</f>
        <v>2008</v>
      </c>
      <c r="I1478" s="2" t="n">
        <v>67</v>
      </c>
      <c r="J1478" s="0" t="n">
        <v>0.426</v>
      </c>
      <c r="K1478" s="0" t="n">
        <v>0.584</v>
      </c>
      <c r="L1478" s="3" t="str">
        <f aca="false">IF(K1478&gt;0.66,"High",IF(K1478&gt;0.33&amp;K1478&lt;=0.66,"Medium","Low"))</f>
        <v>Low</v>
      </c>
      <c r="M1478" s="0" t="n">
        <v>-5.293</v>
      </c>
      <c r="N1478" s="3" t="n">
        <v>0.296</v>
      </c>
      <c r="O1478" s="3" t="n">
        <v>0.0383</v>
      </c>
      <c r="P1478" s="4" t="n">
        <v>0</v>
      </c>
      <c r="Q1478" s="3" t="n">
        <v>0.188</v>
      </c>
      <c r="R1478" s="3" t="n">
        <v>0.272</v>
      </c>
      <c r="S1478" s="3" t="str">
        <f aca="false">IF(R1478 &gt;= 0.5, "Positive", "Negative")</f>
        <v>Negative</v>
      </c>
      <c r="T1478" s="2" t="n">
        <v>193.437</v>
      </c>
      <c r="U1478" s="0" t="s">
        <v>33</v>
      </c>
    </row>
    <row r="1479" customFormat="false" ht="14.25" hidden="false" customHeight="false" outlineLevel="0" collapsed="false">
      <c r="A1479" s="0" t="n">
        <v>726</v>
      </c>
      <c r="B1479" s="0" t="str">
        <f aca="false">_xlfn.xlookup(A1479, artists!A$2:A$836, artists!B$2:B$836)</f>
        <v>Axwell /\ Ingrosso</v>
      </c>
      <c r="C1479" s="1" t="s">
        <v>1506</v>
      </c>
      <c r="D1479" s="2" t="n">
        <v>203000</v>
      </c>
      <c r="E1479" s="2" t="n">
        <f aca="false">D1479/1000</f>
        <v>203</v>
      </c>
      <c r="F1479" s="10" t="b">
        <f aca="false">FALSE()</f>
        <v>0</v>
      </c>
      <c r="G1479" s="0" t="n">
        <v>20</v>
      </c>
      <c r="H1479" s="0" t="n">
        <f aca="false">_xlfn.xlookup(G1479, years!A$2:A$836, years!B$2:B$836)</f>
        <v>2017</v>
      </c>
      <c r="I1479" s="2" t="n">
        <v>0</v>
      </c>
      <c r="J1479" s="0" t="n">
        <v>0.645</v>
      </c>
      <c r="K1479" s="0" t="n">
        <v>0.741</v>
      </c>
      <c r="L1479" s="3" t="str">
        <f aca="false">IF(K1479&gt;0.66,"High",IF(K1479&gt;0.33&amp;K1479&lt;=0.66,"Medium","Low"))</f>
        <v>High</v>
      </c>
      <c r="M1479" s="0" t="n">
        <v>-4.989</v>
      </c>
      <c r="N1479" s="3" t="n">
        <v>0.0339</v>
      </c>
      <c r="O1479" s="3" t="n">
        <v>0.0323</v>
      </c>
      <c r="P1479" s="4" t="n">
        <v>0</v>
      </c>
      <c r="Q1479" s="3" t="n">
        <v>0.29</v>
      </c>
      <c r="R1479" s="3" t="n">
        <v>0.534</v>
      </c>
      <c r="S1479" s="3" t="str">
        <f aca="false">IF(R1479 &gt;= 0.5, "Positive", "Negative")</f>
        <v>Positive</v>
      </c>
      <c r="T1479" s="2" t="n">
        <v>123.07</v>
      </c>
      <c r="U1479" s="0" t="s">
        <v>22</v>
      </c>
    </row>
    <row r="1480" customFormat="false" ht="14.25" hidden="false" customHeight="false" outlineLevel="0" collapsed="false">
      <c r="A1480" s="0" t="n">
        <v>146</v>
      </c>
      <c r="B1480" s="0" t="str">
        <f aca="false">_xlfn.xlookup(A1480, artists!A$2:A$836, artists!B$2:B$836)</f>
        <v>Avril Lavigne</v>
      </c>
      <c r="C1480" s="1" t="s">
        <v>1507</v>
      </c>
      <c r="D1480" s="2" t="n">
        <v>204000</v>
      </c>
      <c r="E1480" s="2" t="n">
        <f aca="false">D1480/1000</f>
        <v>204</v>
      </c>
      <c r="F1480" s="10" t="b">
        <f aca="false">FALSE()</f>
        <v>0</v>
      </c>
      <c r="G1480" s="0" t="n">
        <v>5</v>
      </c>
      <c r="H1480" s="0" t="n">
        <f aca="false">_xlfn.xlookup(G1480, years!A$2:A$836, years!B$2:B$836)</f>
        <v>2002</v>
      </c>
      <c r="I1480" s="2" t="n">
        <v>75</v>
      </c>
      <c r="J1480" s="0" t="n">
        <v>0.487</v>
      </c>
      <c r="K1480" s="0" t="n">
        <v>0.9</v>
      </c>
      <c r="L1480" s="3" t="str">
        <f aca="false">IF(K1480&gt;0.66,"High",IF(K1480&gt;0.33&amp;K1480&lt;=0.66,"Medium","Low"))</f>
        <v>High</v>
      </c>
      <c r="M1480" s="0" t="n">
        <v>-4.417</v>
      </c>
      <c r="N1480" s="3" t="n">
        <v>0.0482</v>
      </c>
      <c r="O1480" s="3" t="n">
        <v>6.79E-005</v>
      </c>
      <c r="P1480" s="4" t="n">
        <v>0</v>
      </c>
      <c r="Q1480" s="3" t="n">
        <v>0.358</v>
      </c>
      <c r="R1480" s="3" t="n">
        <v>0.484</v>
      </c>
      <c r="S1480" s="3" t="str">
        <f aca="false">IF(R1480 &gt;= 0.5, "Positive", "Negative")</f>
        <v>Negative</v>
      </c>
      <c r="T1480" s="2" t="n">
        <v>149.937</v>
      </c>
      <c r="U1480" s="0" t="s">
        <v>39</v>
      </c>
    </row>
    <row r="1481" customFormat="false" ht="14.25" hidden="false" customHeight="false" outlineLevel="0" collapsed="false">
      <c r="A1481" s="0" t="n">
        <v>687</v>
      </c>
      <c r="B1481" s="0" t="str">
        <f aca="false">_xlfn.xlookup(A1481, artists!A$2:A$836, artists!B$2:B$836)</f>
        <v>G-Eazy</v>
      </c>
      <c r="C1481" s="1" t="s">
        <v>1508</v>
      </c>
      <c r="D1481" s="2" t="n">
        <v>245386</v>
      </c>
      <c r="E1481" s="2" t="n">
        <f aca="false">D1481/1000</f>
        <v>245.386</v>
      </c>
      <c r="F1481" s="10" t="b">
        <f aca="false">TRUE()</f>
        <v>1</v>
      </c>
      <c r="G1481" s="0" t="n">
        <v>20</v>
      </c>
      <c r="H1481" s="0" t="n">
        <f aca="false">_xlfn.xlookup(G1481, years!A$2:A$836, years!B$2:B$836)</f>
        <v>2017</v>
      </c>
      <c r="I1481" s="2" t="n">
        <v>0</v>
      </c>
      <c r="J1481" s="0" t="n">
        <v>0.838</v>
      </c>
      <c r="K1481" s="0" t="n">
        <v>0.771</v>
      </c>
      <c r="L1481" s="3" t="str">
        <f aca="false">IF(K1481&gt;0.66,"High",IF(K1481&gt;0.33&amp;K1481&lt;=0.66,"Medium","Low"))</f>
        <v>High</v>
      </c>
      <c r="M1481" s="0" t="n">
        <v>-3.791</v>
      </c>
      <c r="N1481" s="3" t="n">
        <v>0.244</v>
      </c>
      <c r="O1481" s="3" t="n">
        <v>0.0117</v>
      </c>
      <c r="P1481" s="4" t="n">
        <v>0</v>
      </c>
      <c r="Q1481" s="3" t="n">
        <v>0.0853</v>
      </c>
      <c r="R1481" s="3" t="n">
        <v>0.405</v>
      </c>
      <c r="S1481" s="3" t="str">
        <f aca="false">IF(R1481 &gt;= 0.5, "Positive", "Negative")</f>
        <v>Negative</v>
      </c>
      <c r="T1481" s="2" t="n">
        <v>175.957</v>
      </c>
      <c r="U1481" s="0" t="s">
        <v>24</v>
      </c>
    </row>
    <row r="1482" customFormat="false" ht="14.25" hidden="false" customHeight="false" outlineLevel="0" collapsed="false">
      <c r="A1482" s="0" t="n">
        <v>436</v>
      </c>
      <c r="B1482" s="0" t="str">
        <f aca="false">_xlfn.xlookup(A1482, artists!A$2:A$836, artists!B$2:B$836)</f>
        <v>Adele</v>
      </c>
      <c r="C1482" s="1" t="s">
        <v>1509</v>
      </c>
      <c r="D1482" s="2" t="n">
        <v>286480</v>
      </c>
      <c r="E1482" s="2" t="n">
        <f aca="false">D1482/1000</f>
        <v>286.48</v>
      </c>
      <c r="F1482" s="10" t="b">
        <f aca="false">FALSE()</f>
        <v>0</v>
      </c>
      <c r="G1482" s="0" t="n">
        <v>15</v>
      </c>
      <c r="H1482" s="0" t="n">
        <f aca="false">_xlfn.xlookup(G1482, years!A$2:A$836, years!B$2:B$836)</f>
        <v>2012</v>
      </c>
      <c r="I1482" s="2" t="n">
        <v>74</v>
      </c>
      <c r="J1482" s="0" t="n">
        <v>0.346</v>
      </c>
      <c r="K1482" s="0" t="n">
        <v>0.552</v>
      </c>
      <c r="L1482" s="3" t="str">
        <f aca="false">IF(K1482&gt;0.66,"High",IF(K1482&gt;0.33&amp;K1482&lt;=0.66,"Medium","Low"))</f>
        <v>Low</v>
      </c>
      <c r="M1482" s="0" t="n">
        <v>-6.864</v>
      </c>
      <c r="N1482" s="3" t="n">
        <v>0.0282</v>
      </c>
      <c r="O1482" s="3" t="n">
        <v>0.417</v>
      </c>
      <c r="P1482" s="4" t="n">
        <v>0</v>
      </c>
      <c r="Q1482" s="3" t="n">
        <v>0.114</v>
      </c>
      <c r="R1482" s="3" t="n">
        <v>0.0789</v>
      </c>
      <c r="S1482" s="3" t="str">
        <f aca="false">IF(R1482 &gt;= 0.5, "Positive", "Negative")</f>
        <v>Negative</v>
      </c>
      <c r="T1482" s="2" t="n">
        <v>75.881</v>
      </c>
      <c r="U1482" s="0" t="s">
        <v>33</v>
      </c>
    </row>
    <row r="1483" customFormat="false" ht="14.25" hidden="false" customHeight="false" outlineLevel="0" collapsed="false">
      <c r="A1483" s="0" t="n">
        <v>169</v>
      </c>
      <c r="B1483" s="0" t="str">
        <f aca="false">_xlfn.xlookup(A1483, artists!A$2:A$836, artists!B$2:B$836)</f>
        <v>Sean Paul</v>
      </c>
      <c r="C1483" s="1" t="s">
        <v>1510</v>
      </c>
      <c r="D1483" s="2" t="n">
        <v>221176</v>
      </c>
      <c r="E1483" s="2" t="n">
        <f aca="false">D1483/1000</f>
        <v>221.176</v>
      </c>
      <c r="F1483" s="10" t="b">
        <f aca="false">FALSE()</f>
        <v>0</v>
      </c>
      <c r="G1483" s="0" t="n">
        <v>21</v>
      </c>
      <c r="H1483" s="0" t="n">
        <f aca="false">_xlfn.xlookup(G1483, years!A$2:A$836, years!B$2:B$836)</f>
        <v>2018</v>
      </c>
      <c r="I1483" s="2" t="n">
        <v>84</v>
      </c>
      <c r="J1483" s="0" t="n">
        <v>0.742</v>
      </c>
      <c r="K1483" s="0" t="n">
        <v>0.882</v>
      </c>
      <c r="L1483" s="3" t="str">
        <f aca="false">IF(K1483&gt;0.66,"High",IF(K1483&gt;0.33&amp;K1483&lt;=0.66,"Medium","Low"))</f>
        <v>High</v>
      </c>
      <c r="M1483" s="0" t="n">
        <v>-2.862</v>
      </c>
      <c r="N1483" s="3" t="n">
        <v>0.117</v>
      </c>
      <c r="O1483" s="3" t="n">
        <v>0.0466</v>
      </c>
      <c r="P1483" s="4" t="n">
        <v>0</v>
      </c>
      <c r="Q1483" s="3" t="n">
        <v>0.206</v>
      </c>
      <c r="R1483" s="3" t="n">
        <v>0.463</v>
      </c>
      <c r="S1483" s="3" t="str">
        <f aca="false">IF(R1483 &gt;= 0.5, "Positive", "Negative")</f>
        <v>Negative</v>
      </c>
      <c r="T1483" s="2" t="n">
        <v>102.04</v>
      </c>
      <c r="U1483" s="0" t="s">
        <v>24</v>
      </c>
    </row>
    <row r="1484" customFormat="false" ht="14.25" hidden="false" customHeight="false" outlineLevel="0" collapsed="false">
      <c r="A1484" s="0" t="n">
        <v>593</v>
      </c>
      <c r="B1484" s="0" t="str">
        <f aca="false">_xlfn.xlookup(A1484, artists!A$2:A$836, artists!B$2:B$836)</f>
        <v>Bridgit Mendler</v>
      </c>
      <c r="C1484" s="1" t="s">
        <v>1511</v>
      </c>
      <c r="D1484" s="2" t="n">
        <v>200946</v>
      </c>
      <c r="E1484" s="2" t="n">
        <f aca="false">D1484/1000</f>
        <v>200.946</v>
      </c>
      <c r="F1484" s="10" t="b">
        <f aca="false">FALSE()</f>
        <v>0</v>
      </c>
      <c r="G1484" s="0" t="n">
        <v>15</v>
      </c>
      <c r="H1484" s="0" t="n">
        <f aca="false">_xlfn.xlookup(G1484, years!A$2:A$836, years!B$2:B$836)</f>
        <v>2012</v>
      </c>
      <c r="I1484" s="2" t="n">
        <v>72</v>
      </c>
      <c r="J1484" s="0" t="n">
        <v>0.715</v>
      </c>
      <c r="K1484" s="0" t="n">
        <v>0.872</v>
      </c>
      <c r="L1484" s="3" t="str">
        <f aca="false">IF(K1484&gt;0.66,"High",IF(K1484&gt;0.33&amp;K1484&lt;=0.66,"Medium","Low"))</f>
        <v>High</v>
      </c>
      <c r="M1484" s="0" t="n">
        <v>-3.835</v>
      </c>
      <c r="N1484" s="3" t="n">
        <v>0.0509</v>
      </c>
      <c r="O1484" s="3" t="n">
        <v>0.00351</v>
      </c>
      <c r="P1484" s="4" t="n">
        <v>3.84E-005</v>
      </c>
      <c r="Q1484" s="3" t="n">
        <v>0.107</v>
      </c>
      <c r="R1484" s="3" t="n">
        <v>0.748</v>
      </c>
      <c r="S1484" s="3" t="str">
        <f aca="false">IF(R1484 &gt;= 0.5, "Positive", "Negative")</f>
        <v>Positive</v>
      </c>
      <c r="T1484" s="2" t="n">
        <v>93.043</v>
      </c>
      <c r="U1484" s="0" t="s">
        <v>39</v>
      </c>
    </row>
    <row r="1485" customFormat="false" ht="14.25" hidden="false" customHeight="false" outlineLevel="0" collapsed="false">
      <c r="A1485" s="0" t="n">
        <v>262</v>
      </c>
      <c r="B1485" s="0" t="str">
        <f aca="false">_xlfn.xlookup(A1485, artists!A$2:A$836, artists!B$2:B$836)</f>
        <v>Twista</v>
      </c>
      <c r="C1485" s="1" t="s">
        <v>1512</v>
      </c>
      <c r="D1485" s="2" t="n">
        <v>316053</v>
      </c>
      <c r="E1485" s="2" t="n">
        <f aca="false">D1485/1000</f>
        <v>316.053</v>
      </c>
      <c r="F1485" s="10" t="b">
        <f aca="false">TRUE()</f>
        <v>1</v>
      </c>
      <c r="G1485" s="0" t="n">
        <v>7</v>
      </c>
      <c r="H1485" s="0" t="n">
        <f aca="false">_xlfn.xlookup(G1485, years!A$2:A$836, years!B$2:B$836)</f>
        <v>2004</v>
      </c>
      <c r="I1485" s="2" t="n">
        <v>72</v>
      </c>
      <c r="J1485" s="0" t="n">
        <v>0.559</v>
      </c>
      <c r="K1485" s="0" t="n">
        <v>0.733</v>
      </c>
      <c r="L1485" s="3" t="str">
        <f aca="false">IF(K1485&gt;0.66,"High",IF(K1485&gt;0.33&amp;K1485&lt;=0.66,"Medium","Low"))</f>
        <v>High</v>
      </c>
      <c r="M1485" s="0" t="n">
        <v>-5.659</v>
      </c>
      <c r="N1485" s="3" t="n">
        <v>0.171</v>
      </c>
      <c r="O1485" s="3" t="n">
        <v>0.314</v>
      </c>
      <c r="P1485" s="4" t="n">
        <v>0</v>
      </c>
      <c r="Q1485" s="3" t="n">
        <v>0.284</v>
      </c>
      <c r="R1485" s="3" t="n">
        <v>0.611</v>
      </c>
      <c r="S1485" s="3" t="str">
        <f aca="false">IF(R1485 &gt;= 0.5, "Positive", "Negative")</f>
        <v>Positive</v>
      </c>
      <c r="T1485" s="2" t="n">
        <v>145.115</v>
      </c>
      <c r="U1485" s="0" t="s">
        <v>31</v>
      </c>
    </row>
    <row r="1486" customFormat="false" ht="14.25" hidden="false" customHeight="false" outlineLevel="0" collapsed="false">
      <c r="A1486" s="0" t="n">
        <v>279</v>
      </c>
      <c r="B1486" s="0" t="str">
        <f aca="false">_xlfn.xlookup(A1486, artists!A$2:A$836, artists!B$2:B$836)</f>
        <v>JUVENILE</v>
      </c>
      <c r="C1486" s="1" t="s">
        <v>1513</v>
      </c>
      <c r="D1486" s="2" t="n">
        <v>248200</v>
      </c>
      <c r="E1486" s="2" t="n">
        <f aca="false">D1486/1000</f>
        <v>248.2</v>
      </c>
      <c r="F1486" s="10" t="b">
        <f aca="false">TRUE()</f>
        <v>1</v>
      </c>
      <c r="G1486" s="0" t="n">
        <v>6</v>
      </c>
      <c r="H1486" s="0" t="n">
        <f aca="false">_xlfn.xlookup(G1486, years!A$2:A$836, years!B$2:B$836)</f>
        <v>2003</v>
      </c>
      <c r="I1486" s="2" t="n">
        <v>64</v>
      </c>
      <c r="J1486" s="0" t="n">
        <v>0.713</v>
      </c>
      <c r="K1486" s="0" t="n">
        <v>0.734</v>
      </c>
      <c r="L1486" s="3" t="str">
        <f aca="false">IF(K1486&gt;0.66,"High",IF(K1486&gt;0.33&amp;K1486&lt;=0.66,"Medium","Low"))</f>
        <v>High</v>
      </c>
      <c r="M1486" s="0" t="n">
        <v>-4.894</v>
      </c>
      <c r="N1486" s="3" t="n">
        <v>0.325</v>
      </c>
      <c r="O1486" s="3" t="n">
        <v>0.548</v>
      </c>
      <c r="P1486" s="4" t="n">
        <v>0</v>
      </c>
      <c r="Q1486" s="3" t="n">
        <v>0.0687</v>
      </c>
      <c r="R1486" s="3" t="n">
        <v>0.89</v>
      </c>
      <c r="S1486" s="3" t="str">
        <f aca="false">IF(R1486 &gt;= 0.5, "Positive", "Negative")</f>
        <v>Positive</v>
      </c>
      <c r="T1486" s="2" t="n">
        <v>172.872</v>
      </c>
      <c r="U1486" s="0" t="s">
        <v>24</v>
      </c>
    </row>
    <row r="1487" customFormat="false" ht="14.25" hidden="false" customHeight="false" outlineLevel="0" collapsed="false">
      <c r="A1487" s="0" t="n">
        <v>245</v>
      </c>
      <c r="B1487" s="0" t="str">
        <f aca="false">_xlfn.xlookup(A1487, artists!A$2:A$836, artists!B$2:B$836)</f>
        <v>Akon</v>
      </c>
      <c r="C1487" s="1" t="s">
        <v>1514</v>
      </c>
      <c r="D1487" s="2" t="n">
        <v>212360</v>
      </c>
      <c r="E1487" s="2" t="n">
        <f aca="false">D1487/1000</f>
        <v>212.36</v>
      </c>
      <c r="F1487" s="10" t="b">
        <f aca="false">TRUE()</f>
        <v>1</v>
      </c>
      <c r="G1487" s="0" t="n">
        <v>9</v>
      </c>
      <c r="H1487" s="0" t="n">
        <f aca="false">_xlfn.xlookup(G1487, years!A$2:A$836, years!B$2:B$836)</f>
        <v>2006</v>
      </c>
      <c r="I1487" s="2" t="n">
        <v>58</v>
      </c>
      <c r="J1487" s="0" t="n">
        <v>0.94</v>
      </c>
      <c r="K1487" s="0" t="n">
        <v>0.743</v>
      </c>
      <c r="L1487" s="3" t="str">
        <f aca="false">IF(K1487&gt;0.66,"High",IF(K1487&gt;0.33&amp;K1487&lt;=0.66,"Medium","Low"))</f>
        <v>High</v>
      </c>
      <c r="M1487" s="0" t="n">
        <v>-5.166</v>
      </c>
      <c r="N1487" s="3" t="n">
        <v>0.0475</v>
      </c>
      <c r="O1487" s="3" t="n">
        <v>0.317</v>
      </c>
      <c r="P1487" s="4" t="n">
        <v>0</v>
      </c>
      <c r="Q1487" s="3" t="n">
        <v>0.0909</v>
      </c>
      <c r="R1487" s="3" t="n">
        <v>0.932</v>
      </c>
      <c r="S1487" s="3" t="str">
        <f aca="false">IF(R1487 &gt;= 0.5, "Positive", "Negative")</f>
        <v>Positive</v>
      </c>
      <c r="T1487" s="2" t="n">
        <v>118.988</v>
      </c>
      <c r="U1487" s="0" t="s">
        <v>39</v>
      </c>
    </row>
    <row r="1488" customFormat="false" ht="14.25" hidden="false" customHeight="false" outlineLevel="0" collapsed="false">
      <c r="A1488" s="0" t="n">
        <v>342</v>
      </c>
      <c r="B1488" s="0" t="str">
        <f aca="false">_xlfn.xlookup(A1488, artists!A$2:A$836, artists!B$2:B$836)</f>
        <v>Lily Allen</v>
      </c>
      <c r="C1488" s="1" t="s">
        <v>1515</v>
      </c>
      <c r="D1488" s="2" t="n">
        <v>196893</v>
      </c>
      <c r="E1488" s="2" t="n">
        <f aca="false">D1488/1000</f>
        <v>196.893</v>
      </c>
      <c r="F1488" s="10" t="b">
        <f aca="false">TRUE()</f>
        <v>1</v>
      </c>
      <c r="G1488" s="0" t="n">
        <v>9</v>
      </c>
      <c r="H1488" s="0" t="n">
        <f aca="false">_xlfn.xlookup(G1488, years!A$2:A$836, years!B$2:B$836)</f>
        <v>2006</v>
      </c>
      <c r="I1488" s="2" t="n">
        <v>68</v>
      </c>
      <c r="J1488" s="0" t="n">
        <v>0.632</v>
      </c>
      <c r="K1488" s="0" t="n">
        <v>0.639</v>
      </c>
      <c r="L1488" s="3" t="str">
        <f aca="false">IF(K1488&gt;0.66,"High",IF(K1488&gt;0.33&amp;K1488&lt;=0.66,"Medium","Low"))</f>
        <v>Low</v>
      </c>
      <c r="M1488" s="0" t="n">
        <v>-5.938</v>
      </c>
      <c r="N1488" s="3" t="n">
        <v>0.0259</v>
      </c>
      <c r="O1488" s="3" t="n">
        <v>0.00143</v>
      </c>
      <c r="P1488" s="4" t="n">
        <v>0</v>
      </c>
      <c r="Q1488" s="3" t="n">
        <v>0.221</v>
      </c>
      <c r="R1488" s="3" t="n">
        <v>0.733</v>
      </c>
      <c r="S1488" s="3" t="str">
        <f aca="false">IF(R1488 &gt;= 0.5, "Positive", "Negative")</f>
        <v>Positive</v>
      </c>
      <c r="T1488" s="2" t="n">
        <v>95.506</v>
      </c>
      <c r="U1488" s="0" t="s">
        <v>39</v>
      </c>
    </row>
    <row r="1489" customFormat="false" ht="14.25" hidden="false" customHeight="false" outlineLevel="0" collapsed="false">
      <c r="A1489" s="0" t="n">
        <v>117</v>
      </c>
      <c r="B1489" s="0" t="str">
        <f aca="false">_xlfn.xlookup(A1489, artists!A$2:A$836, artists!B$2:B$836)</f>
        <v>Alien Ant Farm</v>
      </c>
      <c r="C1489" s="1" t="s">
        <v>1516</v>
      </c>
      <c r="D1489" s="2" t="n">
        <v>209266</v>
      </c>
      <c r="E1489" s="2" t="n">
        <f aca="false">D1489/1000</f>
        <v>209.266</v>
      </c>
      <c r="F1489" s="10" t="b">
        <f aca="false">FALSE()</f>
        <v>0</v>
      </c>
      <c r="G1489" s="0" t="n">
        <v>4</v>
      </c>
      <c r="H1489" s="0" t="n">
        <f aca="false">_xlfn.xlookup(G1489, years!A$2:A$836, years!B$2:B$836)</f>
        <v>2001</v>
      </c>
      <c r="I1489" s="2" t="n">
        <v>75</v>
      </c>
      <c r="J1489" s="0" t="n">
        <v>0.653</v>
      </c>
      <c r="K1489" s="0" t="n">
        <v>0.964</v>
      </c>
      <c r="L1489" s="3" t="str">
        <f aca="false">IF(K1489&gt;0.66,"High",IF(K1489&gt;0.33&amp;K1489&lt;=0.66,"Medium","Low"))</f>
        <v>High</v>
      </c>
      <c r="M1489" s="0" t="n">
        <v>-4.261</v>
      </c>
      <c r="N1489" s="3" t="n">
        <v>0.0582</v>
      </c>
      <c r="O1489" s="3" t="n">
        <v>0.00316</v>
      </c>
      <c r="P1489" s="4" t="n">
        <v>0.00512</v>
      </c>
      <c r="Q1489" s="3" t="n">
        <v>0.144</v>
      </c>
      <c r="R1489" s="3" t="n">
        <v>0.87</v>
      </c>
      <c r="S1489" s="3" t="str">
        <f aca="false">IF(R1489 &gt;= 0.5, "Positive", "Negative")</f>
        <v>Positive</v>
      </c>
      <c r="T1489" s="2" t="n">
        <v>126.928</v>
      </c>
      <c r="U1489" s="0" t="s">
        <v>81</v>
      </c>
    </row>
    <row r="1490" customFormat="false" ht="14.25" hidden="false" customHeight="false" outlineLevel="0" collapsed="false">
      <c r="A1490" s="0" t="n">
        <v>327</v>
      </c>
      <c r="B1490" s="0" t="str">
        <f aca="false">_xlfn.xlookup(A1490, artists!A$2:A$836, artists!B$2:B$836)</f>
        <v>Lil Jon</v>
      </c>
      <c r="C1490" s="1" t="s">
        <v>1517</v>
      </c>
      <c r="D1490" s="2" t="n">
        <v>274386</v>
      </c>
      <c r="E1490" s="2" t="n">
        <f aca="false">D1490/1000</f>
        <v>274.386</v>
      </c>
      <c r="F1490" s="10" t="b">
        <f aca="false">FALSE()</f>
        <v>0</v>
      </c>
      <c r="G1490" s="0" t="n">
        <v>9</v>
      </c>
      <c r="H1490" s="0" t="n">
        <f aca="false">_xlfn.xlookup(G1490, years!A$2:A$836, years!B$2:B$836)</f>
        <v>2006</v>
      </c>
      <c r="I1490" s="2" t="n">
        <v>67</v>
      </c>
      <c r="J1490" s="0" t="n">
        <v>0.835</v>
      </c>
      <c r="K1490" s="0" t="n">
        <v>0.757</v>
      </c>
      <c r="L1490" s="3" t="str">
        <f aca="false">IF(K1490&gt;0.66,"High",IF(K1490&gt;0.33&amp;K1490&lt;=0.66,"Medium","Low"))</f>
        <v>High</v>
      </c>
      <c r="M1490" s="0" t="n">
        <v>-5.029</v>
      </c>
      <c r="N1490" s="3" t="n">
        <v>0.23</v>
      </c>
      <c r="O1490" s="3" t="n">
        <v>0.00647</v>
      </c>
      <c r="P1490" s="4" t="n">
        <v>0</v>
      </c>
      <c r="Q1490" s="3" t="n">
        <v>0.29</v>
      </c>
      <c r="R1490" s="3" t="n">
        <v>0.626</v>
      </c>
      <c r="S1490" s="3" t="str">
        <f aca="false">IF(R1490 &gt;= 0.5, "Positive", "Negative")</f>
        <v>Positive</v>
      </c>
      <c r="T1490" s="2" t="n">
        <v>82.038</v>
      </c>
      <c r="U1490" s="0" t="s">
        <v>24</v>
      </c>
    </row>
    <row r="1491" customFormat="false" ht="14.25" hidden="false" customHeight="false" outlineLevel="0" collapsed="false">
      <c r="A1491" s="0" t="n">
        <v>58</v>
      </c>
      <c r="B1491" s="0" t="str">
        <f aca="false">_xlfn.xlookup(A1491, artists!A$2:A$836, artists!B$2:B$836)</f>
        <v>Red Hot Chili Peppers</v>
      </c>
      <c r="C1491" s="1" t="s">
        <v>1518</v>
      </c>
      <c r="D1491" s="2" t="n">
        <v>334666</v>
      </c>
      <c r="E1491" s="2" t="n">
        <f aca="false">D1491/1000</f>
        <v>334.666</v>
      </c>
      <c r="F1491" s="10" t="b">
        <f aca="false">FALSE()</f>
        <v>0</v>
      </c>
      <c r="G1491" s="0" t="n">
        <v>9</v>
      </c>
      <c r="H1491" s="0" t="n">
        <f aca="false">_xlfn.xlookup(G1491, years!A$2:A$836, years!B$2:B$836)</f>
        <v>2006</v>
      </c>
      <c r="I1491" s="2" t="n">
        <v>79</v>
      </c>
      <c r="J1491" s="0" t="n">
        <v>0.427</v>
      </c>
      <c r="K1491" s="0" t="n">
        <v>0.9</v>
      </c>
      <c r="L1491" s="3" t="str">
        <f aca="false">IF(K1491&gt;0.66,"High",IF(K1491&gt;0.33&amp;K1491&lt;=0.66,"Medium","Low"))</f>
        <v>High</v>
      </c>
      <c r="M1491" s="0" t="n">
        <v>-3.674</v>
      </c>
      <c r="N1491" s="3" t="n">
        <v>0.0499</v>
      </c>
      <c r="O1491" s="3" t="n">
        <v>0.116</v>
      </c>
      <c r="P1491" s="4" t="n">
        <v>1.75E-005</v>
      </c>
      <c r="Q1491" s="3" t="n">
        <v>0.119</v>
      </c>
      <c r="R1491" s="3" t="n">
        <v>0.599</v>
      </c>
      <c r="S1491" s="3" t="str">
        <f aca="false">IF(R1491 &gt;= 0.5, "Positive", "Negative")</f>
        <v>Positive</v>
      </c>
      <c r="T1491" s="2" t="n">
        <v>104.655</v>
      </c>
      <c r="U1491" s="0" t="s">
        <v>43</v>
      </c>
    </row>
    <row r="1492" customFormat="false" ht="14.25" hidden="false" customHeight="false" outlineLevel="0" collapsed="false">
      <c r="A1492" s="0" t="n">
        <v>815</v>
      </c>
      <c r="B1492" s="0" t="str">
        <f aca="false">_xlfn.xlookup(A1492, artists!A$2:A$836, artists!B$2:B$836)</f>
        <v>Ava Max</v>
      </c>
      <c r="C1492" s="1" t="s">
        <v>1519</v>
      </c>
      <c r="D1492" s="2" t="n">
        <v>183026</v>
      </c>
      <c r="E1492" s="2" t="n">
        <f aca="false">D1492/1000</f>
        <v>183.026</v>
      </c>
      <c r="F1492" s="10" t="b">
        <f aca="false">FALSE()</f>
        <v>0</v>
      </c>
      <c r="G1492" s="0" t="n">
        <v>22</v>
      </c>
      <c r="H1492" s="0" t="n">
        <f aca="false">_xlfn.xlookup(G1492, years!A$2:A$836, years!B$2:B$836)</f>
        <v>2019</v>
      </c>
      <c r="I1492" s="2" t="n">
        <v>4</v>
      </c>
      <c r="J1492" s="0" t="n">
        <v>0.682</v>
      </c>
      <c r="K1492" s="0" t="n">
        <v>0.656</v>
      </c>
      <c r="L1492" s="3" t="str">
        <f aca="false">IF(K1492&gt;0.66,"High",IF(K1492&gt;0.33&amp;K1492&lt;=0.66,"Medium","Low"))</f>
        <v>Low</v>
      </c>
      <c r="M1492" s="0" t="n">
        <v>-4.67</v>
      </c>
      <c r="N1492" s="3" t="n">
        <v>0.0435</v>
      </c>
      <c r="O1492" s="3" t="n">
        <v>0.0737</v>
      </c>
      <c r="P1492" s="4" t="n">
        <v>0</v>
      </c>
      <c r="Q1492" s="3" t="n">
        <v>0.353</v>
      </c>
      <c r="R1492" s="3" t="n">
        <v>0.607</v>
      </c>
      <c r="S1492" s="3" t="str">
        <f aca="false">IF(R1492 &gt;= 0.5, "Positive", "Negative")</f>
        <v>Positive</v>
      </c>
      <c r="T1492" s="2" t="n">
        <v>130.089</v>
      </c>
      <c r="U1492" s="0" t="s">
        <v>39</v>
      </c>
    </row>
    <row r="1493" customFormat="false" ht="14.25" hidden="false" customHeight="false" outlineLevel="0" collapsed="false">
      <c r="A1493" s="0" t="n">
        <v>227</v>
      </c>
      <c r="B1493" s="0" t="str">
        <f aca="false">_xlfn.xlookup(A1493, artists!A$2:A$836, artists!B$2:B$836)</f>
        <v>Monica</v>
      </c>
      <c r="C1493" s="1" t="s">
        <v>1520</v>
      </c>
      <c r="D1493" s="2" t="n">
        <v>242773</v>
      </c>
      <c r="E1493" s="2" t="n">
        <f aca="false">D1493/1000</f>
        <v>242.773</v>
      </c>
      <c r="F1493" s="10" t="b">
        <f aca="false">FALSE()</f>
        <v>0</v>
      </c>
      <c r="G1493" s="0" t="n">
        <v>6</v>
      </c>
      <c r="H1493" s="0" t="n">
        <f aca="false">_xlfn.xlookup(G1493, years!A$2:A$836, years!B$2:B$836)</f>
        <v>2003</v>
      </c>
      <c r="I1493" s="2" t="n">
        <v>64</v>
      </c>
      <c r="J1493" s="0" t="n">
        <v>0.618</v>
      </c>
      <c r="K1493" s="0" t="n">
        <v>0.552</v>
      </c>
      <c r="L1493" s="3" t="str">
        <f aca="false">IF(K1493&gt;0.66,"High",IF(K1493&gt;0.33&amp;K1493&lt;=0.66,"Medium","Low"))</f>
        <v>Low</v>
      </c>
      <c r="M1493" s="0" t="n">
        <v>-6.863</v>
      </c>
      <c r="N1493" s="3" t="n">
        <v>0.0981</v>
      </c>
      <c r="O1493" s="3" t="n">
        <v>0.176</v>
      </c>
      <c r="P1493" s="4" t="n">
        <v>0</v>
      </c>
      <c r="Q1493" s="3" t="n">
        <v>0.252</v>
      </c>
      <c r="R1493" s="3" t="n">
        <v>0.586</v>
      </c>
      <c r="S1493" s="3" t="str">
        <f aca="false">IF(R1493 &gt;= 0.5, "Positive", "Negative")</f>
        <v>Positive</v>
      </c>
      <c r="T1493" s="2" t="n">
        <v>81.975</v>
      </c>
      <c r="U1493" s="0" t="s">
        <v>33</v>
      </c>
    </row>
    <row r="1494" customFormat="false" ht="14.25" hidden="false" customHeight="false" outlineLevel="0" collapsed="false">
      <c r="A1494" s="0" t="n">
        <v>343</v>
      </c>
      <c r="B1494" s="0" t="str">
        <f aca="false">_xlfn.xlookup(A1494, artists!A$2:A$836, artists!B$2:B$836)</f>
        <v>Ne-Yo</v>
      </c>
      <c r="C1494" s="1" t="s">
        <v>1521</v>
      </c>
      <c r="D1494" s="2" t="n">
        <v>207186</v>
      </c>
      <c r="E1494" s="2" t="n">
        <f aca="false">D1494/1000</f>
        <v>207.186</v>
      </c>
      <c r="F1494" s="10" t="b">
        <f aca="false">FALSE()</f>
        <v>0</v>
      </c>
      <c r="G1494" s="0" t="n">
        <v>9</v>
      </c>
      <c r="H1494" s="0" t="n">
        <f aca="false">_xlfn.xlookup(G1494, years!A$2:A$836, years!B$2:B$836)</f>
        <v>2006</v>
      </c>
      <c r="I1494" s="2" t="n">
        <v>75</v>
      </c>
      <c r="J1494" s="0" t="n">
        <v>0.452</v>
      </c>
      <c r="K1494" s="0" t="n">
        <v>0.574</v>
      </c>
      <c r="L1494" s="3" t="str">
        <f aca="false">IF(K1494&gt;0.66,"High",IF(K1494&gt;0.33&amp;K1494&lt;=0.66,"Medium","Low"))</f>
        <v>Low</v>
      </c>
      <c r="M1494" s="0" t="n">
        <v>-8.336</v>
      </c>
      <c r="N1494" s="3" t="n">
        <v>0.31</v>
      </c>
      <c r="O1494" s="3" t="n">
        <v>0.246</v>
      </c>
      <c r="P1494" s="4" t="n">
        <v>0</v>
      </c>
      <c r="Q1494" s="3" t="n">
        <v>0.189</v>
      </c>
      <c r="R1494" s="3" t="n">
        <v>0.58</v>
      </c>
      <c r="S1494" s="3" t="str">
        <f aca="false">IF(R1494 &gt;= 0.5, "Positive", "Negative")</f>
        <v>Positive</v>
      </c>
      <c r="T1494" s="2" t="n">
        <v>92.791</v>
      </c>
      <c r="U1494" s="0" t="s">
        <v>33</v>
      </c>
    </row>
    <row r="1495" customFormat="false" ht="14.25" hidden="false" customHeight="false" outlineLevel="0" collapsed="false">
      <c r="A1495" s="0" t="n">
        <v>55</v>
      </c>
      <c r="B1495" s="0" t="str">
        <f aca="false">_xlfn.xlookup(A1495, artists!A$2:A$836, artists!B$2:B$836)</f>
        <v>P!nk</v>
      </c>
      <c r="C1495" s="1" t="s">
        <v>1522</v>
      </c>
      <c r="D1495" s="2" t="n">
        <v>215160</v>
      </c>
      <c r="E1495" s="2" t="n">
        <f aca="false">D1495/1000</f>
        <v>215.16</v>
      </c>
      <c r="F1495" s="10" t="b">
        <f aca="false">TRUE()</f>
        <v>1</v>
      </c>
      <c r="G1495" s="0" t="n">
        <v>11</v>
      </c>
      <c r="H1495" s="0" t="n">
        <f aca="false">_xlfn.xlookup(G1495, years!A$2:A$836, years!B$2:B$836)</f>
        <v>2008</v>
      </c>
      <c r="I1495" s="2" t="n">
        <v>76</v>
      </c>
      <c r="J1495" s="0" t="n">
        <v>0.534</v>
      </c>
      <c r="K1495" s="0" t="n">
        <v>0.87</v>
      </c>
      <c r="L1495" s="3" t="str">
        <f aca="false">IF(K1495&gt;0.66,"High",IF(K1495&gt;0.33&amp;K1495&lt;=0.66,"Medium","Low"))</f>
        <v>High</v>
      </c>
      <c r="M1495" s="0" t="n">
        <v>-3.078</v>
      </c>
      <c r="N1495" s="3" t="n">
        <v>0.0425</v>
      </c>
      <c r="O1495" s="3" t="n">
        <v>0.000334</v>
      </c>
      <c r="P1495" s="4" t="n">
        <v>0</v>
      </c>
      <c r="Q1495" s="3" t="n">
        <v>0.241</v>
      </c>
      <c r="R1495" s="3" t="n">
        <v>0.462</v>
      </c>
      <c r="S1495" s="3" t="str">
        <f aca="false">IF(R1495 &gt;= 0.5, "Positive", "Negative")</f>
        <v>Negative</v>
      </c>
      <c r="T1495" s="2" t="n">
        <v>126.019</v>
      </c>
      <c r="U1495" s="0" t="s">
        <v>39</v>
      </c>
    </row>
    <row r="1496" customFormat="false" ht="14.25" hidden="false" customHeight="false" outlineLevel="0" collapsed="false">
      <c r="A1496" s="0" t="n">
        <v>55</v>
      </c>
      <c r="B1496" s="0" t="str">
        <f aca="false">_xlfn.xlookup(A1496, artists!A$2:A$836, artists!B$2:B$836)</f>
        <v>P!nk</v>
      </c>
      <c r="C1496" s="1" t="s">
        <v>1523</v>
      </c>
      <c r="D1496" s="2" t="n">
        <v>251440</v>
      </c>
      <c r="E1496" s="2" t="n">
        <f aca="false">D1496/1000</f>
        <v>251.44</v>
      </c>
      <c r="F1496" s="10" t="b">
        <f aca="false">FALSE()</f>
        <v>0</v>
      </c>
      <c r="G1496" s="0" t="n">
        <v>13</v>
      </c>
      <c r="H1496" s="0" t="n">
        <f aca="false">_xlfn.xlookup(G1496, years!A$2:A$836, years!B$2:B$836)</f>
        <v>2010</v>
      </c>
      <c r="I1496" s="2" t="n">
        <v>46</v>
      </c>
      <c r="J1496" s="0" t="n">
        <v>0.614</v>
      </c>
      <c r="K1496" s="0" t="n">
        <v>0.792</v>
      </c>
      <c r="L1496" s="3" t="str">
        <f aca="false">IF(K1496&gt;0.66,"High",IF(K1496&gt;0.33&amp;K1496&lt;=0.66,"Medium","Low"))</f>
        <v>High</v>
      </c>
      <c r="M1496" s="0" t="n">
        <v>-4.907</v>
      </c>
      <c r="N1496" s="3" t="n">
        <v>0.0299</v>
      </c>
      <c r="O1496" s="3" t="n">
        <v>0.0653</v>
      </c>
      <c r="P1496" s="4" t="n">
        <v>0</v>
      </c>
      <c r="Q1496" s="3" t="n">
        <v>0.195</v>
      </c>
      <c r="R1496" s="3" t="n">
        <v>0.407</v>
      </c>
      <c r="S1496" s="3" t="str">
        <f aca="false">IF(R1496 &gt;= 0.5, "Positive", "Negative")</f>
        <v>Negative</v>
      </c>
      <c r="T1496" s="2" t="n">
        <v>91.066</v>
      </c>
      <c r="U1496" s="0" t="s">
        <v>39</v>
      </c>
    </row>
    <row r="1497" customFormat="false" ht="14.25" hidden="false" customHeight="false" outlineLevel="0" collapsed="false">
      <c r="A1497" s="0" t="n">
        <v>9</v>
      </c>
      <c r="B1497" s="0" t="str">
        <f aca="false">_xlfn.xlookup(A1497, artists!A$2:A$836, artists!B$2:B$836)</f>
        <v>Destiny's Child</v>
      </c>
      <c r="C1497" s="1" t="s">
        <v>1524</v>
      </c>
      <c r="D1497" s="2" t="n">
        <v>325573</v>
      </c>
      <c r="E1497" s="2" t="n">
        <f aca="false">D1497/1000</f>
        <v>325.573</v>
      </c>
      <c r="F1497" s="10" t="b">
        <f aca="false">FALSE()</f>
        <v>0</v>
      </c>
      <c r="G1497" s="0" t="n">
        <v>7</v>
      </c>
      <c r="H1497" s="0" t="n">
        <f aca="false">_xlfn.xlookup(G1497, years!A$2:A$836, years!B$2:B$836)</f>
        <v>2004</v>
      </c>
      <c r="I1497" s="2" t="n">
        <v>63</v>
      </c>
      <c r="J1497" s="0" t="n">
        <v>0.878</v>
      </c>
      <c r="K1497" s="0" t="n">
        <v>0.417</v>
      </c>
      <c r="L1497" s="3" t="str">
        <f aca="false">IF(K1497&gt;0.66,"High",IF(K1497&gt;0.33&amp;K1497&lt;=0.66,"Medium","Low"))</f>
        <v>Low</v>
      </c>
      <c r="M1497" s="0" t="n">
        <v>-6.799</v>
      </c>
      <c r="N1497" s="3" t="n">
        <v>0.361</v>
      </c>
      <c r="O1497" s="3" t="n">
        <v>0.0444</v>
      </c>
      <c r="P1497" s="4" t="n">
        <v>0</v>
      </c>
      <c r="Q1497" s="3" t="n">
        <v>0.0833</v>
      </c>
      <c r="R1497" s="3" t="n">
        <v>0.904</v>
      </c>
      <c r="S1497" s="3" t="str">
        <f aca="false">IF(R1497 &gt;= 0.5, "Positive", "Negative")</f>
        <v>Positive</v>
      </c>
      <c r="T1497" s="2" t="n">
        <v>77.49</v>
      </c>
      <c r="U1497" s="0" t="s">
        <v>33</v>
      </c>
    </row>
    <row r="1498" customFormat="false" ht="14.25" hidden="false" customHeight="false" outlineLevel="0" collapsed="false">
      <c r="A1498" s="0" t="n">
        <v>635</v>
      </c>
      <c r="B1498" s="0" t="str">
        <f aca="false">_xlfn.xlookup(A1498, artists!A$2:A$836, artists!B$2:B$836)</f>
        <v>Clean Bandit</v>
      </c>
      <c r="C1498" s="1" t="s">
        <v>1525</v>
      </c>
      <c r="D1498" s="2" t="n">
        <v>222653</v>
      </c>
      <c r="E1498" s="2" t="n">
        <f aca="false">D1498/1000</f>
        <v>222.653</v>
      </c>
      <c r="F1498" s="10" t="b">
        <f aca="false">FALSE()</f>
        <v>0</v>
      </c>
      <c r="G1498" s="0" t="n">
        <v>21</v>
      </c>
      <c r="H1498" s="0" t="n">
        <f aca="false">_xlfn.xlookup(G1498, years!A$2:A$836, years!B$2:B$836)</f>
        <v>2018</v>
      </c>
      <c r="I1498" s="2" t="n">
        <v>71</v>
      </c>
      <c r="J1498" s="0" t="n">
        <v>0.737</v>
      </c>
      <c r="K1498" s="0" t="n">
        <v>0.636</v>
      </c>
      <c r="L1498" s="3" t="str">
        <f aca="false">IF(K1498&gt;0.66,"High",IF(K1498&gt;0.33&amp;K1498&lt;=0.66,"Medium","Low"))</f>
        <v>Low</v>
      </c>
      <c r="M1498" s="0" t="n">
        <v>-4.546</v>
      </c>
      <c r="N1498" s="3" t="n">
        <v>0.0437</v>
      </c>
      <c r="O1498" s="3" t="n">
        <v>0.0441</v>
      </c>
      <c r="P1498" s="4" t="n">
        <v>6.66E-005</v>
      </c>
      <c r="Q1498" s="3" t="n">
        <v>0.35</v>
      </c>
      <c r="R1498" s="3" t="n">
        <v>0.565</v>
      </c>
      <c r="S1498" s="3" t="str">
        <f aca="false">IF(R1498 &gt;= 0.5, "Positive", "Negative")</f>
        <v>Positive</v>
      </c>
      <c r="T1498" s="2" t="n">
        <v>105.005</v>
      </c>
      <c r="U1498" s="0" t="s">
        <v>22</v>
      </c>
    </row>
    <row r="1499" customFormat="false" ht="14.25" hidden="false" customHeight="false" outlineLevel="0" collapsed="false">
      <c r="A1499" s="0" t="n">
        <v>743</v>
      </c>
      <c r="B1499" s="0" t="str">
        <f aca="false">_xlfn.xlookup(A1499, artists!A$2:A$836, artists!B$2:B$836)</f>
        <v>Martin Jensen</v>
      </c>
      <c r="C1499" s="1" t="s">
        <v>1526</v>
      </c>
      <c r="D1499" s="2" t="n">
        <v>174933</v>
      </c>
      <c r="E1499" s="2" t="n">
        <f aca="false">D1499/1000</f>
        <v>174.933</v>
      </c>
      <c r="F1499" s="10" t="b">
        <f aca="false">FALSE()</f>
        <v>0</v>
      </c>
      <c r="G1499" s="0" t="n">
        <v>19</v>
      </c>
      <c r="H1499" s="0" t="n">
        <f aca="false">_xlfn.xlookup(G1499, years!A$2:A$836, years!B$2:B$836)</f>
        <v>2016</v>
      </c>
      <c r="I1499" s="2" t="n">
        <v>0</v>
      </c>
      <c r="J1499" s="0" t="n">
        <v>0.744</v>
      </c>
      <c r="K1499" s="0" t="n">
        <v>0.836</v>
      </c>
      <c r="L1499" s="3" t="str">
        <f aca="false">IF(K1499&gt;0.66,"High",IF(K1499&gt;0.33&amp;K1499&lt;=0.66,"Medium","Low"))</f>
        <v>High</v>
      </c>
      <c r="M1499" s="0" t="n">
        <v>-2.396</v>
      </c>
      <c r="N1499" s="3" t="n">
        <v>0.0507</v>
      </c>
      <c r="O1499" s="3" t="n">
        <v>0.0435</v>
      </c>
      <c r="P1499" s="4" t="n">
        <v>0</v>
      </c>
      <c r="Q1499" s="3" t="n">
        <v>0.194</v>
      </c>
      <c r="R1499" s="3" t="n">
        <v>0.36</v>
      </c>
      <c r="S1499" s="3" t="str">
        <f aca="false">IF(R1499 &gt;= 0.5, "Positive", "Negative")</f>
        <v>Negative</v>
      </c>
      <c r="T1499" s="2" t="n">
        <v>114.965</v>
      </c>
      <c r="U1499" s="0" t="s">
        <v>22</v>
      </c>
    </row>
    <row r="1500" customFormat="false" ht="14.25" hidden="false" customHeight="false" outlineLevel="0" collapsed="false">
      <c r="A1500" s="0" t="n">
        <v>820</v>
      </c>
      <c r="B1500" s="0" t="str">
        <f aca="false">_xlfn.xlookup(A1500, artists!A$2:A$836, artists!B$2:B$836)</f>
        <v>Lunay</v>
      </c>
      <c r="C1500" s="1" t="s">
        <v>1527</v>
      </c>
      <c r="D1500" s="2" t="n">
        <v>266086</v>
      </c>
      <c r="E1500" s="2" t="n">
        <f aca="false">D1500/1000</f>
        <v>266.086</v>
      </c>
      <c r="F1500" s="10" t="b">
        <f aca="false">FALSE()</f>
        <v>0</v>
      </c>
      <c r="G1500" s="0" t="n">
        <v>22</v>
      </c>
      <c r="H1500" s="0" t="n">
        <f aca="false">_xlfn.xlookup(G1500, years!A$2:A$836, years!B$2:B$836)</f>
        <v>2019</v>
      </c>
      <c r="I1500" s="2" t="n">
        <v>70</v>
      </c>
      <c r="J1500" s="0" t="n">
        <v>0.795</v>
      </c>
      <c r="K1500" s="0" t="n">
        <v>0.783</v>
      </c>
      <c r="L1500" s="3" t="str">
        <f aca="false">IF(K1500&gt;0.66,"High",IF(K1500&gt;0.33&amp;K1500&lt;=0.66,"Medium","Low"))</f>
        <v>High</v>
      </c>
      <c r="M1500" s="0" t="n">
        <v>-4.271</v>
      </c>
      <c r="N1500" s="3" t="n">
        <v>0.0432</v>
      </c>
      <c r="O1500" s="3" t="n">
        <v>0.361</v>
      </c>
      <c r="P1500" s="4" t="n">
        <v>0</v>
      </c>
      <c r="Q1500" s="3" t="n">
        <v>0.437</v>
      </c>
      <c r="R1500" s="3" t="n">
        <v>0.799</v>
      </c>
      <c r="S1500" s="3" t="str">
        <f aca="false">IF(R1500 &gt;= 0.5, "Positive", "Negative")</f>
        <v>Positive</v>
      </c>
      <c r="T1500" s="2" t="n">
        <v>92.01</v>
      </c>
      <c r="U1500" s="0" t="s">
        <v>75</v>
      </c>
    </row>
    <row r="1501" customFormat="false" ht="14.25" hidden="false" customHeight="false" outlineLevel="0" collapsed="false">
      <c r="A1501" s="0" t="n">
        <v>295</v>
      </c>
      <c r="B1501" s="0" t="str">
        <f aca="false">_xlfn.xlookup(A1501, artists!A$2:A$836, artists!B$2:B$836)</f>
        <v>Trillville</v>
      </c>
      <c r="C1501" s="1" t="s">
        <v>1528</v>
      </c>
      <c r="D1501" s="2" t="n">
        <v>283454</v>
      </c>
      <c r="E1501" s="2" t="n">
        <f aca="false">D1501/1000</f>
        <v>283.454</v>
      </c>
      <c r="F1501" s="10" t="b">
        <f aca="false">TRUE()</f>
        <v>1</v>
      </c>
      <c r="G1501" s="0" t="n">
        <v>7</v>
      </c>
      <c r="H1501" s="0" t="n">
        <f aca="false">_xlfn.xlookup(G1501, years!A$2:A$836, years!B$2:B$836)</f>
        <v>2004</v>
      </c>
      <c r="I1501" s="2" t="n">
        <v>50</v>
      </c>
      <c r="J1501" s="0" t="n">
        <v>0.9</v>
      </c>
      <c r="K1501" s="0" t="n">
        <v>0.515</v>
      </c>
      <c r="L1501" s="3" t="str">
        <f aca="false">IF(K1501&gt;0.66,"High",IF(K1501&gt;0.33&amp;K1501&lt;=0.66,"Medium","Low"))</f>
        <v>Low</v>
      </c>
      <c r="M1501" s="0" t="n">
        <v>-6.626</v>
      </c>
      <c r="N1501" s="3" t="n">
        <v>0.372</v>
      </c>
      <c r="O1501" s="3" t="n">
        <v>0.00341</v>
      </c>
      <c r="P1501" s="4" t="n">
        <v>0</v>
      </c>
      <c r="Q1501" s="3" t="n">
        <v>0.111</v>
      </c>
      <c r="R1501" s="3" t="n">
        <v>0.659</v>
      </c>
      <c r="S1501" s="3" t="str">
        <f aca="false">IF(R1501 &gt;= 0.5, "Positive", "Negative")</f>
        <v>Positive</v>
      </c>
      <c r="T1501" s="2" t="n">
        <v>84.995</v>
      </c>
      <c r="U1501" s="0" t="s">
        <v>24</v>
      </c>
    </row>
    <row r="1502" customFormat="false" ht="14.25" hidden="false" customHeight="false" outlineLevel="0" collapsed="false">
      <c r="A1502" s="0" t="n">
        <v>638</v>
      </c>
      <c r="B1502" s="0" t="str">
        <f aca="false">_xlfn.xlookup(A1502, artists!A$2:A$836, artists!B$2:B$836)</f>
        <v>Natalie La Rose</v>
      </c>
      <c r="C1502" s="1" t="s">
        <v>1529</v>
      </c>
      <c r="D1502" s="2" t="n">
        <v>189906</v>
      </c>
      <c r="E1502" s="2" t="n">
        <f aca="false">D1502/1000</f>
        <v>189.906</v>
      </c>
      <c r="F1502" s="10" t="b">
        <f aca="false">FALSE()</f>
        <v>0</v>
      </c>
      <c r="G1502" s="0" t="n">
        <v>17</v>
      </c>
      <c r="H1502" s="0" t="n">
        <f aca="false">_xlfn.xlookup(G1502, years!A$2:A$836, years!B$2:B$836)</f>
        <v>2014</v>
      </c>
      <c r="I1502" s="2" t="n">
        <v>66</v>
      </c>
      <c r="J1502" s="0" t="n">
        <v>0.83</v>
      </c>
      <c r="K1502" s="0" t="n">
        <v>0.52</v>
      </c>
      <c r="L1502" s="3" t="str">
        <f aca="false">IF(K1502&gt;0.66,"High",IF(K1502&gt;0.33&amp;K1502&lt;=0.66,"Medium","Low"))</f>
        <v>Low</v>
      </c>
      <c r="M1502" s="0" t="n">
        <v>-8.714</v>
      </c>
      <c r="N1502" s="3" t="n">
        <v>0.0376</v>
      </c>
      <c r="O1502" s="3" t="n">
        <v>0.000792</v>
      </c>
      <c r="P1502" s="4" t="n">
        <v>1.25E-005</v>
      </c>
      <c r="Q1502" s="3" t="n">
        <v>0.0656</v>
      </c>
      <c r="R1502" s="3" t="n">
        <v>0.735</v>
      </c>
      <c r="S1502" s="3" t="str">
        <f aca="false">IF(R1502 &gt;= 0.5, "Positive", "Negative")</f>
        <v>Positive</v>
      </c>
      <c r="T1502" s="2" t="n">
        <v>104.99</v>
      </c>
      <c r="U1502" s="0" t="s">
        <v>118</v>
      </c>
    </row>
    <row r="1503" customFormat="false" ht="14.25" hidden="false" customHeight="false" outlineLevel="0" collapsed="false">
      <c r="A1503" s="0" t="n">
        <v>559</v>
      </c>
      <c r="B1503" s="0" t="str">
        <f aca="false">_xlfn.xlookup(A1503, artists!A$2:A$836, artists!B$2:B$836)</f>
        <v>Gotye</v>
      </c>
      <c r="C1503" s="1" t="s">
        <v>1530</v>
      </c>
      <c r="D1503" s="2" t="n">
        <v>244884</v>
      </c>
      <c r="E1503" s="2" t="n">
        <f aca="false">D1503/1000</f>
        <v>244.884</v>
      </c>
      <c r="F1503" s="10" t="b">
        <f aca="false">FALSE()</f>
        <v>0</v>
      </c>
      <c r="G1503" s="0" t="n">
        <v>14</v>
      </c>
      <c r="H1503" s="0" t="n">
        <f aca="false">_xlfn.xlookup(G1503, years!A$2:A$836, years!B$2:B$836)</f>
        <v>2011</v>
      </c>
      <c r="I1503" s="2" t="n">
        <v>57</v>
      </c>
      <c r="J1503" s="0" t="n">
        <v>0.863</v>
      </c>
      <c r="K1503" s="0" t="n">
        <v>0.527</v>
      </c>
      <c r="L1503" s="3" t="str">
        <f aca="false">IF(K1503&gt;0.66,"High",IF(K1503&gt;0.33&amp;K1503&lt;=0.66,"Medium","Low"))</f>
        <v>Low</v>
      </c>
      <c r="M1503" s="0" t="n">
        <v>-6.896</v>
      </c>
      <c r="N1503" s="3" t="n">
        <v>0.0358</v>
      </c>
      <c r="O1503" s="3" t="n">
        <v>0.607</v>
      </c>
      <c r="P1503" s="4" t="n">
        <v>0.000168</v>
      </c>
      <c r="Q1503" s="3" t="n">
        <v>0.107</v>
      </c>
      <c r="R1503" s="3" t="n">
        <v>0.674</v>
      </c>
      <c r="S1503" s="3" t="str">
        <f aca="false">IF(R1503 &gt;= 0.5, "Positive", "Negative")</f>
        <v>Positive</v>
      </c>
      <c r="T1503" s="2" t="n">
        <v>129.054</v>
      </c>
      <c r="U1503" s="0" t="s">
        <v>118</v>
      </c>
    </row>
    <row r="1504" customFormat="false" ht="14.25" hidden="false" customHeight="false" outlineLevel="0" collapsed="false">
      <c r="A1504" s="0" t="n">
        <v>102</v>
      </c>
      <c r="B1504" s="0" t="str">
        <f aca="false">_xlfn.xlookup(A1504, artists!A$2:A$836, artists!B$2:B$836)</f>
        <v>Nickelback</v>
      </c>
      <c r="C1504" s="1" t="s">
        <v>1531</v>
      </c>
      <c r="D1504" s="2" t="n">
        <v>207466</v>
      </c>
      <c r="E1504" s="2" t="n">
        <f aca="false">D1504/1000</f>
        <v>207.466</v>
      </c>
      <c r="F1504" s="10" t="b">
        <f aca="false">FALSE()</f>
        <v>0</v>
      </c>
      <c r="G1504" s="0" t="n">
        <v>6</v>
      </c>
      <c r="H1504" s="0" t="n">
        <f aca="false">_xlfn.xlookup(G1504, years!A$2:A$836, years!B$2:B$836)</f>
        <v>2003</v>
      </c>
      <c r="I1504" s="2" t="n">
        <v>68</v>
      </c>
      <c r="J1504" s="0" t="n">
        <v>0.455</v>
      </c>
      <c r="K1504" s="0" t="n">
        <v>0.858</v>
      </c>
      <c r="L1504" s="3" t="str">
        <f aca="false">IF(K1504&gt;0.66,"High",IF(K1504&gt;0.33&amp;K1504&lt;=0.66,"Medium","Low"))</f>
        <v>High</v>
      </c>
      <c r="M1504" s="0" t="n">
        <v>-5.659</v>
      </c>
      <c r="N1504" s="3" t="n">
        <v>0.0391</v>
      </c>
      <c r="O1504" s="3" t="n">
        <v>0.000616</v>
      </c>
      <c r="P1504" s="4" t="n">
        <v>0.000247</v>
      </c>
      <c r="Q1504" s="3" t="n">
        <v>0.226</v>
      </c>
      <c r="R1504" s="3" t="n">
        <v>0.597</v>
      </c>
      <c r="S1504" s="3" t="str">
        <f aca="false">IF(R1504 &gt;= 0.5, "Positive", "Negative")</f>
        <v>Positive</v>
      </c>
      <c r="T1504" s="2" t="n">
        <v>163.118</v>
      </c>
      <c r="U1504" s="0" t="s">
        <v>81</v>
      </c>
    </row>
    <row r="1505" customFormat="false" ht="14.25" hidden="false" customHeight="false" outlineLevel="0" collapsed="false">
      <c r="A1505" s="0" t="n">
        <v>436</v>
      </c>
      <c r="B1505" s="0" t="str">
        <f aca="false">_xlfn.xlookup(A1505, artists!A$2:A$836, artists!B$2:B$836)</f>
        <v>Adele</v>
      </c>
      <c r="C1505" s="1" t="s">
        <v>1532</v>
      </c>
      <c r="D1505" s="2" t="n">
        <v>285240</v>
      </c>
      <c r="E1505" s="2" t="n">
        <f aca="false">D1505/1000</f>
        <v>285.24</v>
      </c>
      <c r="F1505" s="10" t="b">
        <f aca="false">FALSE()</f>
        <v>0</v>
      </c>
      <c r="G1505" s="0" t="n">
        <v>14</v>
      </c>
      <c r="H1505" s="0" t="n">
        <f aca="false">_xlfn.xlookup(G1505, years!A$2:A$836, years!B$2:B$836)</f>
        <v>2011</v>
      </c>
      <c r="I1505" s="2" t="n">
        <v>4</v>
      </c>
      <c r="J1505" s="0" t="n">
        <v>0.554</v>
      </c>
      <c r="K1505" s="0" t="n">
        <v>0.321</v>
      </c>
      <c r="L1505" s="3" t="str">
        <f aca="false">IF(K1505&gt;0.66,"High",IF(K1505&gt;0.33&amp;K1505&lt;=0.66,"Medium","Low"))</f>
        <v>Low</v>
      </c>
      <c r="M1505" s="0" t="n">
        <v>-8.251</v>
      </c>
      <c r="N1505" s="3" t="n">
        <v>0.028</v>
      </c>
      <c r="O1505" s="3" t="n">
        <v>0.893</v>
      </c>
      <c r="P1505" s="4" t="n">
        <v>0</v>
      </c>
      <c r="Q1505" s="3" t="n">
        <v>0.0996</v>
      </c>
      <c r="R1505" s="3" t="n">
        <v>0.288</v>
      </c>
      <c r="S1505" s="3" t="str">
        <f aca="false">IF(R1505 &gt;= 0.5, "Positive", "Negative")</f>
        <v>Negative</v>
      </c>
      <c r="T1505" s="2" t="n">
        <v>135.047</v>
      </c>
      <c r="U1505" s="0" t="s">
        <v>33</v>
      </c>
    </row>
    <row r="1506" customFormat="false" ht="14.25" hidden="false" customHeight="false" outlineLevel="0" collapsed="false">
      <c r="A1506" s="0" t="n">
        <v>796</v>
      </c>
      <c r="B1506" s="0" t="str">
        <f aca="false">_xlfn.xlookup(A1506, artists!A$2:A$836, artists!B$2:B$836)</f>
        <v>Lewis Capaldi</v>
      </c>
      <c r="C1506" s="1" t="s">
        <v>1533</v>
      </c>
      <c r="D1506" s="2" t="n">
        <v>182160</v>
      </c>
      <c r="E1506" s="2" t="n">
        <f aca="false">D1506/1000</f>
        <v>182.16</v>
      </c>
      <c r="F1506" s="10" t="b">
        <f aca="false">FALSE()</f>
        <v>0</v>
      </c>
      <c r="G1506" s="0" t="n">
        <v>22</v>
      </c>
      <c r="H1506" s="0" t="n">
        <f aca="false">_xlfn.xlookup(G1506, years!A$2:A$836, years!B$2:B$836)</f>
        <v>2019</v>
      </c>
      <c r="I1506" s="2" t="n">
        <v>84</v>
      </c>
      <c r="J1506" s="0" t="n">
        <v>0.501</v>
      </c>
      <c r="K1506" s="0" t="n">
        <v>0.405</v>
      </c>
      <c r="L1506" s="3" t="str">
        <f aca="false">IF(K1506&gt;0.66,"High",IF(K1506&gt;0.33&amp;K1506&lt;=0.66,"Medium","Low"))</f>
        <v>Low</v>
      </c>
      <c r="M1506" s="0" t="n">
        <v>-5.679</v>
      </c>
      <c r="N1506" s="3" t="n">
        <v>0.0319</v>
      </c>
      <c r="O1506" s="3" t="n">
        <v>0.751</v>
      </c>
      <c r="P1506" s="4" t="n">
        <v>0</v>
      </c>
      <c r="Q1506" s="3" t="n">
        <v>0.105</v>
      </c>
      <c r="R1506" s="3" t="n">
        <v>0.446</v>
      </c>
      <c r="S1506" s="3" t="str">
        <f aca="false">IF(R1506 &gt;= 0.5, "Positive", "Negative")</f>
        <v>Negative</v>
      </c>
      <c r="T1506" s="2" t="n">
        <v>109.891</v>
      </c>
      <c r="U1506" s="0" t="s">
        <v>39</v>
      </c>
    </row>
    <row r="1507" customFormat="false" ht="14.25" hidden="false" customHeight="false" outlineLevel="0" collapsed="false">
      <c r="A1507" s="0" t="n">
        <v>8</v>
      </c>
      <c r="B1507" s="0" t="str">
        <f aca="false">_xlfn.xlookup(A1507, artists!A$2:A$836, artists!B$2:B$836)</f>
        <v>Robbie Williams</v>
      </c>
      <c r="C1507" s="1" t="s">
        <v>1534</v>
      </c>
      <c r="D1507" s="2" t="n">
        <v>170493</v>
      </c>
      <c r="E1507" s="2" t="n">
        <f aca="false">D1507/1000</f>
        <v>170.493</v>
      </c>
      <c r="F1507" s="10" t="b">
        <f aca="false">FALSE()</f>
        <v>0</v>
      </c>
      <c r="G1507" s="0" t="n">
        <v>4</v>
      </c>
      <c r="H1507" s="0" t="n">
        <f aca="false">_xlfn.xlookup(G1507, years!A$2:A$836, years!B$2:B$836)</f>
        <v>2001</v>
      </c>
      <c r="I1507" s="2" t="n">
        <v>64</v>
      </c>
      <c r="J1507" s="0" t="n">
        <v>0.654</v>
      </c>
      <c r="K1507" s="0" t="n">
        <v>0.515</v>
      </c>
      <c r="L1507" s="3" t="str">
        <f aca="false">IF(K1507&gt;0.66,"High",IF(K1507&gt;0.33&amp;K1507&lt;=0.66,"Medium","Low"))</f>
        <v>Low</v>
      </c>
      <c r="M1507" s="0" t="n">
        <v>-12.185</v>
      </c>
      <c r="N1507" s="3" t="n">
        <v>0.0261</v>
      </c>
      <c r="O1507" s="3" t="n">
        <v>0.429</v>
      </c>
      <c r="P1507" s="4" t="n">
        <v>5.62E-006</v>
      </c>
      <c r="Q1507" s="3" t="n">
        <v>0.174</v>
      </c>
      <c r="R1507" s="3" t="n">
        <v>0.677</v>
      </c>
      <c r="S1507" s="3" t="str">
        <f aca="false">IF(R1507 &gt;= 0.5, "Positive", "Negative")</f>
        <v>Positive</v>
      </c>
      <c r="T1507" s="2" t="n">
        <v>106.191</v>
      </c>
      <c r="U1507" s="0" t="s">
        <v>210</v>
      </c>
    </row>
    <row r="1508" customFormat="false" ht="14.25" hidden="false" customHeight="false" outlineLevel="0" collapsed="false">
      <c r="A1508" s="0" t="n">
        <v>91</v>
      </c>
      <c r="B1508" s="0" t="str">
        <f aca="false">_xlfn.xlookup(A1508, artists!A$2:A$836, artists!B$2:B$836)</f>
        <v>Lasgo</v>
      </c>
      <c r="C1508" s="1" t="s">
        <v>1535</v>
      </c>
      <c r="D1508" s="2" t="n">
        <v>220973</v>
      </c>
      <c r="E1508" s="2" t="n">
        <f aca="false">D1508/1000</f>
        <v>220.973</v>
      </c>
      <c r="F1508" s="10" t="b">
        <f aca="false">FALSE()</f>
        <v>0</v>
      </c>
      <c r="G1508" s="0" t="n">
        <v>4</v>
      </c>
      <c r="H1508" s="0" t="n">
        <f aca="false">_xlfn.xlookup(G1508, years!A$2:A$836, years!B$2:B$836)</f>
        <v>2001</v>
      </c>
      <c r="I1508" s="2" t="n">
        <v>65</v>
      </c>
      <c r="J1508" s="0" t="n">
        <v>0.643</v>
      </c>
      <c r="K1508" s="0" t="n">
        <v>0.981</v>
      </c>
      <c r="L1508" s="3" t="str">
        <f aca="false">IF(K1508&gt;0.66,"High",IF(K1508&gt;0.33&amp;K1508&lt;=0.66,"Medium","Low"))</f>
        <v>High</v>
      </c>
      <c r="M1508" s="0" t="n">
        <v>-6.644</v>
      </c>
      <c r="N1508" s="3" t="n">
        <v>0.0439</v>
      </c>
      <c r="O1508" s="3" t="n">
        <v>0.0271</v>
      </c>
      <c r="P1508" s="4" t="n">
        <v>8.93E-005</v>
      </c>
      <c r="Q1508" s="3" t="n">
        <v>0.11</v>
      </c>
      <c r="R1508" s="3" t="n">
        <v>0.38</v>
      </c>
      <c r="S1508" s="3" t="str">
        <f aca="false">IF(R1508 &gt;= 0.5, "Positive", "Negative")</f>
        <v>Negative</v>
      </c>
      <c r="T1508" s="2" t="n">
        <v>140.01</v>
      </c>
      <c r="U1508" s="0" t="s">
        <v>39</v>
      </c>
    </row>
    <row r="1509" customFormat="false" ht="14.25" hidden="false" customHeight="false" outlineLevel="0" collapsed="false">
      <c r="A1509" s="0" t="n">
        <v>619</v>
      </c>
      <c r="B1509" s="0" t="str">
        <f aca="false">_xlfn.xlookup(A1509, artists!A$2:A$836, artists!B$2:B$836)</f>
        <v>The Chainsmokers</v>
      </c>
      <c r="C1509" s="1" t="s">
        <v>1536</v>
      </c>
      <c r="D1509" s="2" t="n">
        <v>247160</v>
      </c>
      <c r="E1509" s="2" t="n">
        <f aca="false">D1509/1000</f>
        <v>247.16</v>
      </c>
      <c r="F1509" s="10" t="b">
        <f aca="false">FALSE()</f>
        <v>0</v>
      </c>
      <c r="G1509" s="0" t="n">
        <v>20</v>
      </c>
      <c r="H1509" s="0" t="n">
        <f aca="false">_xlfn.xlookup(G1509, years!A$2:A$836, years!B$2:B$836)</f>
        <v>2017</v>
      </c>
      <c r="I1509" s="2" t="n">
        <v>83</v>
      </c>
      <c r="J1509" s="0" t="n">
        <v>0.617</v>
      </c>
      <c r="K1509" s="0" t="n">
        <v>0.635</v>
      </c>
      <c r="L1509" s="3" t="str">
        <f aca="false">IF(K1509&gt;0.66,"High",IF(K1509&gt;0.33&amp;K1509&lt;=0.66,"Medium","Low"))</f>
        <v>Low</v>
      </c>
      <c r="M1509" s="0" t="n">
        <v>-6.769</v>
      </c>
      <c r="N1509" s="3" t="n">
        <v>0.0317</v>
      </c>
      <c r="O1509" s="3" t="n">
        <v>0.0498</v>
      </c>
      <c r="P1509" s="4" t="n">
        <v>1.44E-005</v>
      </c>
      <c r="Q1509" s="3" t="n">
        <v>0.164</v>
      </c>
      <c r="R1509" s="3" t="n">
        <v>0.446</v>
      </c>
      <c r="S1509" s="3" t="str">
        <f aca="false">IF(R1509 &gt;= 0.5, "Positive", "Negative")</f>
        <v>Negative</v>
      </c>
      <c r="T1509" s="2" t="n">
        <v>103.019</v>
      </c>
      <c r="U1509" s="0" t="s">
        <v>22</v>
      </c>
    </row>
    <row r="1510" customFormat="false" ht="14.25" hidden="false" customHeight="false" outlineLevel="0" collapsed="false">
      <c r="A1510" s="0" t="n">
        <v>209</v>
      </c>
      <c r="B1510" s="0" t="str">
        <f aca="false">_xlfn.xlookup(A1510, artists!A$2:A$836, artists!B$2:B$836)</f>
        <v>Girls Aloud</v>
      </c>
      <c r="C1510" s="1" t="s">
        <v>1537</v>
      </c>
      <c r="D1510" s="2" t="n">
        <v>201590</v>
      </c>
      <c r="E1510" s="2" t="n">
        <f aca="false">D1510/1000</f>
        <v>201.59</v>
      </c>
      <c r="F1510" s="10" t="b">
        <f aca="false">FALSE()</f>
        <v>0</v>
      </c>
      <c r="G1510" s="0" t="n">
        <v>15</v>
      </c>
      <c r="H1510" s="0" t="n">
        <f aca="false">_xlfn.xlookup(G1510, years!A$2:A$836, years!B$2:B$836)</f>
        <v>2012</v>
      </c>
      <c r="I1510" s="2" t="n">
        <v>49</v>
      </c>
      <c r="J1510" s="0" t="n">
        <v>0.681</v>
      </c>
      <c r="K1510" s="0" t="n">
        <v>0.908</v>
      </c>
      <c r="L1510" s="3" t="str">
        <f aca="false">IF(K1510&gt;0.66,"High",IF(K1510&gt;0.33&amp;K1510&lt;=0.66,"Medium","Low"))</f>
        <v>High</v>
      </c>
      <c r="M1510" s="0" t="n">
        <v>-3.918</v>
      </c>
      <c r="N1510" s="3" t="n">
        <v>0.0473</v>
      </c>
      <c r="O1510" s="3" t="n">
        <v>0.0232</v>
      </c>
      <c r="P1510" s="4" t="n">
        <v>0</v>
      </c>
      <c r="Q1510" s="3" t="n">
        <v>0.355</v>
      </c>
      <c r="R1510" s="3" t="n">
        <v>0.879</v>
      </c>
      <c r="S1510" s="3" t="str">
        <f aca="false">IF(R1510 &gt;= 0.5, "Positive", "Negative")</f>
        <v>Positive</v>
      </c>
      <c r="T1510" s="2" t="n">
        <v>131.925</v>
      </c>
      <c r="U1510" s="0" t="s">
        <v>22</v>
      </c>
    </row>
    <row r="1511" customFormat="false" ht="14.25" hidden="false" customHeight="false" outlineLevel="0" collapsed="false">
      <c r="A1511" s="0" t="n">
        <v>264</v>
      </c>
      <c r="B1511" s="0" t="str">
        <f aca="false">_xlfn.xlookup(A1511, artists!A$2:A$836, artists!B$2:B$836)</f>
        <v>U2</v>
      </c>
      <c r="C1511" s="1" t="s">
        <v>1538</v>
      </c>
      <c r="D1511" s="2" t="n">
        <v>305080</v>
      </c>
      <c r="E1511" s="2" t="n">
        <f aca="false">D1511/1000</f>
        <v>305.08</v>
      </c>
      <c r="F1511" s="10" t="b">
        <f aca="false">FALSE()</f>
        <v>0</v>
      </c>
      <c r="G1511" s="0" t="n">
        <v>7</v>
      </c>
      <c r="H1511" s="0" t="n">
        <f aca="false">_xlfn.xlookup(G1511, years!A$2:A$836, years!B$2:B$836)</f>
        <v>2004</v>
      </c>
      <c r="I1511" s="2" t="n">
        <v>56</v>
      </c>
      <c r="J1511" s="0" t="n">
        <v>0.53</v>
      </c>
      <c r="K1511" s="0" t="n">
        <v>0.597</v>
      </c>
      <c r="L1511" s="3" t="str">
        <f aca="false">IF(K1511&gt;0.66,"High",IF(K1511&gt;0.33&amp;K1511&lt;=0.66,"Medium","Low"))</f>
        <v>Low</v>
      </c>
      <c r="M1511" s="0" t="n">
        <v>-5.652</v>
      </c>
      <c r="N1511" s="3" t="n">
        <v>0.0247</v>
      </c>
      <c r="O1511" s="3" t="n">
        <v>0.00275</v>
      </c>
      <c r="P1511" s="4" t="n">
        <v>0.473</v>
      </c>
      <c r="Q1511" s="3" t="n">
        <v>0.105</v>
      </c>
      <c r="R1511" s="3" t="n">
        <v>0.346</v>
      </c>
      <c r="S1511" s="3" t="str">
        <f aca="false">IF(R1511 &gt;= 0.5, "Positive", "Negative")</f>
        <v>Negative</v>
      </c>
      <c r="T1511" s="2" t="n">
        <v>96</v>
      </c>
      <c r="U1511" s="0" t="s">
        <v>1539</v>
      </c>
    </row>
    <row r="1512" customFormat="false" ht="14.25" hidden="false" customHeight="false" outlineLevel="0" collapsed="false">
      <c r="A1512" s="0" t="n">
        <v>583</v>
      </c>
      <c r="B1512" s="0" t="str">
        <f aca="false">_xlfn.xlookup(A1512, artists!A$2:A$836, artists!B$2:B$836)</f>
        <v>Klangkarussell</v>
      </c>
      <c r="C1512" s="1" t="s">
        <v>1540</v>
      </c>
      <c r="D1512" s="2" t="n">
        <v>238120</v>
      </c>
      <c r="E1512" s="2" t="n">
        <f aca="false">D1512/1000</f>
        <v>238.12</v>
      </c>
      <c r="F1512" s="10" t="b">
        <f aca="false">FALSE()</f>
        <v>0</v>
      </c>
      <c r="G1512" s="0" t="n">
        <v>17</v>
      </c>
      <c r="H1512" s="0" t="n">
        <f aca="false">_xlfn.xlookup(G1512, years!A$2:A$836, years!B$2:B$836)</f>
        <v>2014</v>
      </c>
      <c r="I1512" s="2" t="n">
        <v>68</v>
      </c>
      <c r="J1512" s="0" t="n">
        <v>0.579</v>
      </c>
      <c r="K1512" s="0" t="n">
        <v>0.549</v>
      </c>
      <c r="L1512" s="3" t="str">
        <f aca="false">IF(K1512&gt;0.66,"High",IF(K1512&gt;0.33&amp;K1512&lt;=0.66,"Medium","Low"))</f>
        <v>Low</v>
      </c>
      <c r="M1512" s="0" t="n">
        <v>-8.262</v>
      </c>
      <c r="N1512" s="3" t="n">
        <v>0.0909</v>
      </c>
      <c r="O1512" s="3" t="n">
        <v>0.104</v>
      </c>
      <c r="P1512" s="4" t="n">
        <v>0.0202</v>
      </c>
      <c r="Q1512" s="3" t="n">
        <v>0.0964</v>
      </c>
      <c r="R1512" s="3" t="n">
        <v>0.155</v>
      </c>
      <c r="S1512" s="3" t="str">
        <f aca="false">IF(R1512 &gt;= 0.5, "Positive", "Negative")</f>
        <v>Negative</v>
      </c>
      <c r="T1512" s="2" t="n">
        <v>119.74</v>
      </c>
      <c r="U1512" s="0" t="s">
        <v>22</v>
      </c>
    </row>
    <row r="1513" customFormat="false" ht="14.25" hidden="false" customHeight="false" outlineLevel="0" collapsed="false">
      <c r="A1513" s="0" t="n">
        <v>31</v>
      </c>
      <c r="B1513" s="0" t="str">
        <f aca="false">_xlfn.xlookup(A1513, artists!A$2:A$836, artists!B$2:B$836)</f>
        <v>Madonna</v>
      </c>
      <c r="C1513" s="1" t="s">
        <v>83</v>
      </c>
      <c r="D1513" s="2" t="n">
        <v>281880</v>
      </c>
      <c r="E1513" s="2" t="n">
        <f aca="false">D1513/1000</f>
        <v>281.88</v>
      </c>
      <c r="F1513" s="10" t="b">
        <f aca="false">FALSE()</f>
        <v>0</v>
      </c>
      <c r="G1513" s="0" t="n">
        <v>8</v>
      </c>
      <c r="H1513" s="0" t="n">
        <f aca="false">_xlfn.xlookup(G1513, years!A$2:A$836, years!B$2:B$836)</f>
        <v>2005</v>
      </c>
      <c r="I1513" s="2" t="n">
        <v>61</v>
      </c>
      <c r="J1513" s="0" t="n">
        <v>0.589</v>
      </c>
      <c r="K1513" s="0" t="n">
        <v>0.877</v>
      </c>
      <c r="L1513" s="3" t="str">
        <f aca="false">IF(K1513&gt;0.66,"High",IF(K1513&gt;0.33&amp;K1513&lt;=0.66,"Medium","Low"))</f>
        <v>High</v>
      </c>
      <c r="M1513" s="0" t="n">
        <v>-6.229</v>
      </c>
      <c r="N1513" s="3" t="n">
        <v>0.046</v>
      </c>
      <c r="O1513" s="3" t="n">
        <v>0.00121</v>
      </c>
      <c r="P1513" s="4" t="n">
        <v>0.013</v>
      </c>
      <c r="Q1513" s="3" t="n">
        <v>0.169</v>
      </c>
      <c r="R1513" s="3" t="n">
        <v>0.443</v>
      </c>
      <c r="S1513" s="3" t="str">
        <f aca="false">IF(R1513 &gt;= 0.5, "Positive", "Negative")</f>
        <v>Negative</v>
      </c>
      <c r="T1513" s="2" t="n">
        <v>132.971</v>
      </c>
      <c r="U1513" s="0" t="s">
        <v>39</v>
      </c>
    </row>
    <row r="1514" customFormat="false" ht="14.25" hidden="false" customHeight="false" outlineLevel="0" collapsed="false">
      <c r="A1514" s="0" t="n">
        <v>696</v>
      </c>
      <c r="B1514" s="0" t="str">
        <f aca="false">_xlfn.xlookup(A1514, artists!A$2:A$836, artists!B$2:B$836)</f>
        <v>Marshmello</v>
      </c>
      <c r="C1514" s="1" t="s">
        <v>1541</v>
      </c>
      <c r="D1514" s="2" t="n">
        <v>214289</v>
      </c>
      <c r="E1514" s="2" t="n">
        <f aca="false">D1514/1000</f>
        <v>214.289</v>
      </c>
      <c r="F1514" s="10" t="b">
        <f aca="false">FALSE()</f>
        <v>0</v>
      </c>
      <c r="G1514" s="0" t="n">
        <v>21</v>
      </c>
      <c r="H1514" s="0" t="n">
        <f aca="false">_xlfn.xlookup(G1514, years!A$2:A$836, years!B$2:B$836)</f>
        <v>2018</v>
      </c>
      <c r="I1514" s="2" t="n">
        <v>82</v>
      </c>
      <c r="J1514" s="0" t="n">
        <v>0.687</v>
      </c>
      <c r="K1514" s="0" t="n">
        <v>0.792</v>
      </c>
      <c r="L1514" s="3" t="str">
        <f aca="false">IF(K1514&gt;0.66,"High",IF(K1514&gt;0.33&amp;K1514&lt;=0.66,"Medium","Low"))</f>
        <v>High</v>
      </c>
      <c r="M1514" s="0" t="n">
        <v>-2.749</v>
      </c>
      <c r="N1514" s="3" t="n">
        <v>0.0452</v>
      </c>
      <c r="O1514" s="3" t="n">
        <v>0.191</v>
      </c>
      <c r="P1514" s="4" t="n">
        <v>0</v>
      </c>
      <c r="Q1514" s="3" t="n">
        <v>0.167</v>
      </c>
      <c r="R1514" s="3" t="n">
        <v>0.671</v>
      </c>
      <c r="S1514" s="3" t="str">
        <f aca="false">IF(R1514 &gt;= 0.5, "Positive", "Negative")</f>
        <v>Positive</v>
      </c>
      <c r="T1514" s="2" t="n">
        <v>100.015</v>
      </c>
      <c r="U1514" s="0" t="s">
        <v>22</v>
      </c>
    </row>
    <row r="1515" customFormat="false" ht="14.25" hidden="false" customHeight="false" outlineLevel="0" collapsed="false">
      <c r="A1515" s="0" t="n">
        <v>192</v>
      </c>
      <c r="B1515" s="0" t="str">
        <f aca="false">_xlfn.xlookup(A1515, artists!A$2:A$836, artists!B$2:B$836)</f>
        <v>Beyoncé</v>
      </c>
      <c r="C1515" s="1" t="s">
        <v>83</v>
      </c>
      <c r="D1515" s="2" t="n">
        <v>232560</v>
      </c>
      <c r="E1515" s="2" t="n">
        <f aca="false">D1515/1000</f>
        <v>232.56</v>
      </c>
      <c r="F1515" s="10" t="b">
        <f aca="false">TRUE()</f>
        <v>1</v>
      </c>
      <c r="G1515" s="0" t="n">
        <v>19</v>
      </c>
      <c r="H1515" s="0" t="n">
        <f aca="false">_xlfn.xlookup(G1515, years!A$2:A$836, years!B$2:B$836)</f>
        <v>2016</v>
      </c>
      <c r="I1515" s="2" t="n">
        <v>67</v>
      </c>
      <c r="J1515" s="0" t="n">
        <v>0.775</v>
      </c>
      <c r="K1515" s="0" t="n">
        <v>0.598</v>
      </c>
      <c r="L1515" s="3" t="str">
        <f aca="false">IF(K1515&gt;0.66,"High",IF(K1515&gt;0.33&amp;K1515&lt;=0.66,"Medium","Low"))</f>
        <v>Low</v>
      </c>
      <c r="M1515" s="0" t="n">
        <v>-7.274</v>
      </c>
      <c r="N1515" s="3" t="n">
        <v>0.0535</v>
      </c>
      <c r="O1515" s="3" t="n">
        <v>0.00175</v>
      </c>
      <c r="P1515" s="4" t="n">
        <v>4.44E-006</v>
      </c>
      <c r="Q1515" s="3" t="n">
        <v>0.253</v>
      </c>
      <c r="R1515" s="3" t="n">
        <v>0.356</v>
      </c>
      <c r="S1515" s="3" t="str">
        <f aca="false">IF(R1515 &gt;= 0.5, "Positive", "Negative")</f>
        <v>Negative</v>
      </c>
      <c r="T1515" s="2" t="n">
        <v>129.988</v>
      </c>
      <c r="U1515" s="0" t="s">
        <v>33</v>
      </c>
    </row>
    <row r="1516" customFormat="false" ht="14.25" hidden="false" customHeight="false" outlineLevel="0" collapsed="false">
      <c r="A1516" s="0" t="n">
        <v>834</v>
      </c>
      <c r="B1516" s="0" t="str">
        <f aca="false">_xlfn.xlookup(A1516, artists!A$2:A$836, artists!B$2:B$836)</f>
        <v>Joel Corry</v>
      </c>
      <c r="C1516" s="1" t="s">
        <v>83</v>
      </c>
      <c r="D1516" s="2" t="n">
        <v>188640</v>
      </c>
      <c r="E1516" s="2" t="n">
        <f aca="false">D1516/1000</f>
        <v>188.64</v>
      </c>
      <c r="F1516" s="10" t="b">
        <f aca="false">FALSE()</f>
        <v>0</v>
      </c>
      <c r="G1516" s="0" t="n">
        <v>22</v>
      </c>
      <c r="H1516" s="0" t="n">
        <f aca="false">_xlfn.xlookup(G1516, years!A$2:A$836, years!B$2:B$836)</f>
        <v>2019</v>
      </c>
      <c r="I1516" s="2" t="n">
        <v>63</v>
      </c>
      <c r="J1516" s="0" t="n">
        <v>0.744</v>
      </c>
      <c r="K1516" s="0" t="n">
        <v>0.79</v>
      </c>
      <c r="L1516" s="3" t="str">
        <f aca="false">IF(K1516&gt;0.66,"High",IF(K1516&gt;0.33&amp;K1516&lt;=0.66,"Medium","Low"))</f>
        <v>High</v>
      </c>
      <c r="M1516" s="0" t="n">
        <v>-4.617</v>
      </c>
      <c r="N1516" s="3" t="n">
        <v>0.0562</v>
      </c>
      <c r="O1516" s="3" t="n">
        <v>0.0547</v>
      </c>
      <c r="P1516" s="4" t="n">
        <v>0.000802</v>
      </c>
      <c r="Q1516" s="3" t="n">
        <v>0.32</v>
      </c>
      <c r="R1516" s="3" t="n">
        <v>0.847</v>
      </c>
      <c r="S1516" s="3" t="str">
        <f aca="false">IF(R1516 &gt;= 0.5, "Positive", "Negative")</f>
        <v>Positive</v>
      </c>
      <c r="T1516" s="2" t="n">
        <v>125.002</v>
      </c>
      <c r="U1516" s="0" t="s">
        <v>22</v>
      </c>
    </row>
    <row r="1517" customFormat="false" ht="14.25" hidden="false" customHeight="false" outlineLevel="0" collapsed="false">
      <c r="A1517" s="0" t="n">
        <v>95</v>
      </c>
      <c r="B1517" s="0" t="str">
        <f aca="false">_xlfn.xlookup(A1517, artists!A$2:A$836, artists!B$2:B$836)</f>
        <v>Blue</v>
      </c>
      <c r="C1517" s="1" t="s">
        <v>1542</v>
      </c>
      <c r="D1517" s="2" t="n">
        <v>210066</v>
      </c>
      <c r="E1517" s="2" t="n">
        <f aca="false">D1517/1000</f>
        <v>210.066</v>
      </c>
      <c r="F1517" s="10" t="b">
        <f aca="false">FALSE()</f>
        <v>0</v>
      </c>
      <c r="G1517" s="0" t="n">
        <v>7</v>
      </c>
      <c r="H1517" s="0" t="n">
        <f aca="false">_xlfn.xlookup(G1517, years!A$2:A$836, years!B$2:B$836)</f>
        <v>2004</v>
      </c>
      <c r="I1517" s="2" t="n">
        <v>57</v>
      </c>
      <c r="J1517" s="0" t="n">
        <v>0.564</v>
      </c>
      <c r="K1517" s="0" t="n">
        <v>0.6</v>
      </c>
      <c r="L1517" s="3" t="str">
        <f aca="false">IF(K1517&gt;0.66,"High",IF(K1517&gt;0.33&amp;K1517&lt;=0.66,"Medium","Low"))</f>
        <v>Low</v>
      </c>
      <c r="M1517" s="0" t="n">
        <v>-6.814</v>
      </c>
      <c r="N1517" s="3" t="n">
        <v>0.0305</v>
      </c>
      <c r="O1517" s="3" t="n">
        <v>0.183</v>
      </c>
      <c r="P1517" s="4" t="n">
        <v>2.19E-006</v>
      </c>
      <c r="Q1517" s="3" t="n">
        <v>0.38</v>
      </c>
      <c r="R1517" s="3" t="n">
        <v>0.442</v>
      </c>
      <c r="S1517" s="3" t="str">
        <f aca="false">IF(R1517 &gt;= 0.5, "Positive", "Negative")</f>
        <v>Negative</v>
      </c>
      <c r="T1517" s="2" t="n">
        <v>78.955</v>
      </c>
      <c r="U1517" s="0" t="s">
        <v>39</v>
      </c>
    </row>
    <row r="1518" customFormat="false" ht="14.25" hidden="false" customHeight="false" outlineLevel="0" collapsed="false">
      <c r="A1518" s="0" t="n">
        <v>283</v>
      </c>
      <c r="B1518" s="0" t="str">
        <f aca="false">_xlfn.xlookup(A1518, artists!A$2:A$836, artists!B$2:B$836)</f>
        <v>Rihanna</v>
      </c>
      <c r="C1518" s="1" t="s">
        <v>1543</v>
      </c>
      <c r="D1518" s="2" t="n">
        <v>238920</v>
      </c>
      <c r="E1518" s="2" t="n">
        <f aca="false">D1518/1000</f>
        <v>238.92</v>
      </c>
      <c r="F1518" s="10" t="b">
        <f aca="false">FALSE()</f>
        <v>0</v>
      </c>
      <c r="G1518" s="0" t="n">
        <v>9</v>
      </c>
      <c r="H1518" s="0" t="n">
        <f aca="false">_xlfn.xlookup(G1518, years!A$2:A$836, years!B$2:B$836)</f>
        <v>2006</v>
      </c>
      <c r="I1518" s="2" t="n">
        <v>73</v>
      </c>
      <c r="J1518" s="0" t="n">
        <v>0.677</v>
      </c>
      <c r="K1518" s="0" t="n">
        <v>0.671</v>
      </c>
      <c r="L1518" s="3" t="str">
        <f aca="false">IF(K1518&gt;0.66,"High",IF(K1518&gt;0.33&amp;K1518&lt;=0.66,"Medium","Low"))</f>
        <v>High</v>
      </c>
      <c r="M1518" s="0" t="n">
        <v>-4.905</v>
      </c>
      <c r="N1518" s="3" t="n">
        <v>0.0361</v>
      </c>
      <c r="O1518" s="3" t="n">
        <v>0.004</v>
      </c>
      <c r="P1518" s="4" t="n">
        <v>5.07E-005</v>
      </c>
      <c r="Q1518" s="3" t="n">
        <v>0.413</v>
      </c>
      <c r="R1518" s="3" t="n">
        <v>0.527</v>
      </c>
      <c r="S1518" s="3" t="str">
        <f aca="false">IF(R1518 &gt;= 0.5, "Positive", "Negative")</f>
        <v>Positive</v>
      </c>
      <c r="T1518" s="2" t="n">
        <v>137.046</v>
      </c>
      <c r="U1518" s="0" t="s">
        <v>31</v>
      </c>
    </row>
    <row r="1519" customFormat="false" ht="14.25" hidden="false" customHeight="false" outlineLevel="0" collapsed="false">
      <c r="A1519" s="0" t="n">
        <v>542</v>
      </c>
      <c r="B1519" s="0" t="str">
        <f aca="false">_xlfn.xlookup(A1519, artists!A$2:A$836, artists!B$2:B$836)</f>
        <v>Avicii</v>
      </c>
      <c r="C1519" s="1" t="s">
        <v>1544</v>
      </c>
      <c r="D1519" s="2" t="n">
        <v>157202</v>
      </c>
      <c r="E1519" s="2" t="n">
        <f aca="false">D1519/1000</f>
        <v>157.202</v>
      </c>
      <c r="F1519" s="10" t="b">
        <f aca="false">FALSE()</f>
        <v>0</v>
      </c>
      <c r="G1519" s="0" t="n">
        <v>22</v>
      </c>
      <c r="H1519" s="0" t="n">
        <f aca="false">_xlfn.xlookup(G1519, years!A$2:A$836, years!B$2:B$836)</f>
        <v>2019</v>
      </c>
      <c r="I1519" s="2" t="n">
        <v>71</v>
      </c>
      <c r="J1519" s="0" t="n">
        <v>0.802</v>
      </c>
      <c r="K1519" s="0" t="n">
        <v>0.645</v>
      </c>
      <c r="L1519" s="3" t="str">
        <f aca="false">IF(K1519&gt;0.66,"High",IF(K1519&gt;0.33&amp;K1519&lt;=0.66,"Medium","Low"))</f>
        <v>Low</v>
      </c>
      <c r="M1519" s="0" t="n">
        <v>-6.181</v>
      </c>
      <c r="N1519" s="3" t="n">
        <v>0.0715</v>
      </c>
      <c r="O1519" s="3" t="n">
        <v>0.272</v>
      </c>
      <c r="P1519" s="4" t="n">
        <v>0</v>
      </c>
      <c r="Q1519" s="3" t="n">
        <v>0.119</v>
      </c>
      <c r="R1519" s="3" t="n">
        <v>0.376</v>
      </c>
      <c r="S1519" s="3" t="str">
        <f aca="false">IF(R1519 &gt;= 0.5, "Positive", "Negative")</f>
        <v>Negative</v>
      </c>
      <c r="T1519" s="2" t="n">
        <v>100.001</v>
      </c>
      <c r="U1519" s="0" t="s">
        <v>22</v>
      </c>
    </row>
    <row r="1520" customFormat="false" ht="14.25" hidden="false" customHeight="false" outlineLevel="0" collapsed="false">
      <c r="A1520" s="0" t="n">
        <v>293</v>
      </c>
      <c r="B1520" s="0" t="str">
        <f aca="false">_xlfn.xlookup(A1520, artists!A$2:A$836, artists!B$2:B$836)</f>
        <v>Jeezy</v>
      </c>
      <c r="C1520" s="1" t="s">
        <v>1545</v>
      </c>
      <c r="D1520" s="2" t="n">
        <v>280013</v>
      </c>
      <c r="E1520" s="2" t="n">
        <f aca="false">D1520/1000</f>
        <v>280.013</v>
      </c>
      <c r="F1520" s="10" t="b">
        <f aca="false">TRUE()</f>
        <v>1</v>
      </c>
      <c r="G1520" s="0" t="n">
        <v>8</v>
      </c>
      <c r="H1520" s="0" t="n">
        <f aca="false">_xlfn.xlookup(G1520, years!A$2:A$836, years!B$2:B$836)</f>
        <v>2005</v>
      </c>
      <c r="I1520" s="2" t="n">
        <v>55</v>
      </c>
      <c r="J1520" s="0" t="n">
        <v>0.684</v>
      </c>
      <c r="K1520" s="0" t="n">
        <v>0.493</v>
      </c>
      <c r="L1520" s="3" t="str">
        <f aca="false">IF(K1520&gt;0.66,"High",IF(K1520&gt;0.33&amp;K1520&lt;=0.66,"Medium","Low"))</f>
        <v>Low</v>
      </c>
      <c r="M1520" s="0" t="n">
        <v>-7.728</v>
      </c>
      <c r="N1520" s="3" t="n">
        <v>0.0459</v>
      </c>
      <c r="O1520" s="3" t="n">
        <v>0.000839</v>
      </c>
      <c r="P1520" s="4" t="n">
        <v>0</v>
      </c>
      <c r="Q1520" s="3" t="n">
        <v>0.157</v>
      </c>
      <c r="R1520" s="3" t="n">
        <v>0.08</v>
      </c>
      <c r="S1520" s="3" t="str">
        <f aca="false">IF(R1520 &gt;= 0.5, "Positive", "Negative")</f>
        <v>Negative</v>
      </c>
      <c r="T1520" s="2" t="n">
        <v>84.03</v>
      </c>
      <c r="U1520" s="0" t="s">
        <v>24</v>
      </c>
    </row>
    <row r="1521" customFormat="false" ht="14.25" hidden="false" customHeight="false" outlineLevel="0" collapsed="false">
      <c r="A1521" s="0" t="n">
        <v>209</v>
      </c>
      <c r="B1521" s="0" t="str">
        <f aca="false">_xlfn.xlookup(A1521, artists!A$2:A$836, artists!B$2:B$836)</f>
        <v>Girls Aloud</v>
      </c>
      <c r="C1521" s="1" t="s">
        <v>1546</v>
      </c>
      <c r="D1521" s="2" t="n">
        <v>221426</v>
      </c>
      <c r="E1521" s="2" t="n">
        <f aca="false">D1521/1000</f>
        <v>221.426</v>
      </c>
      <c r="F1521" s="10" t="b">
        <f aca="false">FALSE()</f>
        <v>0</v>
      </c>
      <c r="G1521" s="0" t="n">
        <v>6</v>
      </c>
      <c r="H1521" s="0" t="n">
        <f aca="false">_xlfn.xlookup(G1521, years!A$2:A$836, years!B$2:B$836)</f>
        <v>2003</v>
      </c>
      <c r="I1521" s="2" t="n">
        <v>58</v>
      </c>
      <c r="J1521" s="0" t="n">
        <v>0.568</v>
      </c>
      <c r="K1521" s="0" t="n">
        <v>0.867</v>
      </c>
      <c r="L1521" s="3" t="str">
        <f aca="false">IF(K1521&gt;0.66,"High",IF(K1521&gt;0.33&amp;K1521&lt;=0.66,"Medium","Low"))</f>
        <v>High</v>
      </c>
      <c r="M1521" s="0" t="n">
        <v>-5.861</v>
      </c>
      <c r="N1521" s="3" t="n">
        <v>0.0365</v>
      </c>
      <c r="O1521" s="3" t="n">
        <v>0.00344</v>
      </c>
      <c r="P1521" s="4" t="n">
        <v>4.67E-005</v>
      </c>
      <c r="Q1521" s="3" t="n">
        <v>0.328</v>
      </c>
      <c r="R1521" s="3" t="n">
        <v>0.88</v>
      </c>
      <c r="S1521" s="3" t="str">
        <f aca="false">IF(R1521 &gt;= 0.5, "Positive", "Negative")</f>
        <v>Positive</v>
      </c>
      <c r="T1521" s="2" t="n">
        <v>163.944</v>
      </c>
      <c r="U1521" s="0" t="s">
        <v>22</v>
      </c>
    </row>
    <row r="1522" customFormat="false" ht="14.25" hidden="false" customHeight="false" outlineLevel="0" collapsed="false">
      <c r="A1522" s="0" t="n">
        <v>137</v>
      </c>
      <c r="B1522" s="0" t="str">
        <f aca="false">_xlfn.xlookup(A1522, artists!A$2:A$836, artists!B$2:B$836)</f>
        <v>Ludacris</v>
      </c>
      <c r="C1522" s="1" t="s">
        <v>1547</v>
      </c>
      <c r="D1522" s="2" t="n">
        <v>300933</v>
      </c>
      <c r="E1522" s="2" t="n">
        <f aca="false">D1522/1000</f>
        <v>300.933</v>
      </c>
      <c r="F1522" s="10" t="b">
        <f aca="false">TRUE()</f>
        <v>1</v>
      </c>
      <c r="G1522" s="0" t="n">
        <v>3</v>
      </c>
      <c r="H1522" s="0" t="n">
        <f aca="false">_xlfn.xlookup(G1522, years!A$2:A$836, years!B$2:B$836)</f>
        <v>2000</v>
      </c>
      <c r="I1522" s="2" t="n">
        <v>54</v>
      </c>
      <c r="J1522" s="0" t="n">
        <v>0.623</v>
      </c>
      <c r="K1522" s="0" t="n">
        <v>0.896</v>
      </c>
      <c r="L1522" s="3" t="str">
        <f aca="false">IF(K1522&gt;0.66,"High",IF(K1522&gt;0.33&amp;K1522&lt;=0.66,"Medium","Low"))</f>
        <v>High</v>
      </c>
      <c r="M1522" s="0" t="n">
        <v>-4.719</v>
      </c>
      <c r="N1522" s="3" t="n">
        <v>0.247</v>
      </c>
      <c r="O1522" s="3" t="n">
        <v>0.035</v>
      </c>
      <c r="P1522" s="4" t="n">
        <v>0</v>
      </c>
      <c r="Q1522" s="3" t="n">
        <v>0.0941</v>
      </c>
      <c r="R1522" s="3" t="n">
        <v>0.613</v>
      </c>
      <c r="S1522" s="3" t="str">
        <f aca="false">IF(R1522 &gt;= 0.5, "Positive", "Negative")</f>
        <v>Positive</v>
      </c>
      <c r="T1522" s="2" t="n">
        <v>95.158</v>
      </c>
      <c r="U1522" s="0" t="s">
        <v>24</v>
      </c>
    </row>
    <row r="1523" customFormat="false" ht="14.25" hidden="false" customHeight="false" outlineLevel="0" collapsed="false">
      <c r="A1523" s="0" t="n">
        <v>276</v>
      </c>
      <c r="B1523" s="0" t="str">
        <f aca="false">_xlfn.xlookup(A1523, artists!A$2:A$836, artists!B$2:B$836)</f>
        <v>Lloyd</v>
      </c>
      <c r="C1523" s="1" t="s">
        <v>1548</v>
      </c>
      <c r="D1523" s="2" t="n">
        <v>277840</v>
      </c>
      <c r="E1523" s="2" t="n">
        <f aca="false">D1523/1000</f>
        <v>277.84</v>
      </c>
      <c r="F1523" s="10" t="b">
        <f aca="false">FALSE()</f>
        <v>0</v>
      </c>
      <c r="G1523" s="0" t="n">
        <v>7</v>
      </c>
      <c r="H1523" s="0" t="n">
        <f aca="false">_xlfn.xlookup(G1523, years!A$2:A$836, years!B$2:B$836)</f>
        <v>2004</v>
      </c>
      <c r="I1523" s="2" t="n">
        <v>59</v>
      </c>
      <c r="J1523" s="0" t="n">
        <v>0.688</v>
      </c>
      <c r="K1523" s="0" t="n">
        <v>0.404</v>
      </c>
      <c r="L1523" s="3" t="str">
        <f aca="false">IF(K1523&gt;0.66,"High",IF(K1523&gt;0.33&amp;K1523&lt;=0.66,"Medium","Low"))</f>
        <v>Low</v>
      </c>
      <c r="M1523" s="0" t="n">
        <v>-9.481</v>
      </c>
      <c r="N1523" s="3" t="n">
        <v>0.0818</v>
      </c>
      <c r="O1523" s="3" t="n">
        <v>0.377</v>
      </c>
      <c r="P1523" s="4" t="n">
        <v>0</v>
      </c>
      <c r="Q1523" s="3" t="n">
        <v>0.0813</v>
      </c>
      <c r="R1523" s="3" t="n">
        <v>0.448</v>
      </c>
      <c r="S1523" s="3" t="str">
        <f aca="false">IF(R1523 &gt;= 0.5, "Positive", "Negative")</f>
        <v>Negative</v>
      </c>
      <c r="T1523" s="2" t="n">
        <v>75.007</v>
      </c>
      <c r="U1523" s="0" t="s">
        <v>31</v>
      </c>
    </row>
    <row r="1524" customFormat="false" ht="14.25" hidden="false" customHeight="false" outlineLevel="0" collapsed="false">
      <c r="A1524" s="0" t="n">
        <v>544</v>
      </c>
      <c r="B1524" s="0" t="str">
        <f aca="false">_xlfn.xlookup(A1524, artists!A$2:A$836, artists!B$2:B$836)</f>
        <v>Florence + The Machine</v>
      </c>
      <c r="C1524" s="1" t="s">
        <v>1549</v>
      </c>
      <c r="D1524" s="2" t="n">
        <v>218190</v>
      </c>
      <c r="E1524" s="2" t="n">
        <f aca="false">D1524/1000</f>
        <v>218.19</v>
      </c>
      <c r="F1524" s="10" t="b">
        <f aca="false">FALSE()</f>
        <v>0</v>
      </c>
      <c r="G1524" s="0" t="n">
        <v>14</v>
      </c>
      <c r="H1524" s="0" t="n">
        <f aca="false">_xlfn.xlookup(G1524, years!A$2:A$836, years!B$2:B$836)</f>
        <v>2011</v>
      </c>
      <c r="I1524" s="2" t="n">
        <v>68</v>
      </c>
      <c r="J1524" s="0" t="n">
        <v>0.578</v>
      </c>
      <c r="K1524" s="0" t="n">
        <v>0.946</v>
      </c>
      <c r="L1524" s="3" t="str">
        <f aca="false">IF(K1524&gt;0.66,"High",IF(K1524&gt;0.33&amp;K1524&lt;=0.66,"Medium","Low"))</f>
        <v>High</v>
      </c>
      <c r="M1524" s="0" t="n">
        <v>-3.85</v>
      </c>
      <c r="N1524" s="3" t="n">
        <v>0.0482</v>
      </c>
      <c r="O1524" s="3" t="n">
        <v>0.00225</v>
      </c>
      <c r="P1524" s="4" t="n">
        <v>0.00412</v>
      </c>
      <c r="Q1524" s="3" t="n">
        <v>0.0966</v>
      </c>
      <c r="R1524" s="3" t="n">
        <v>0.588</v>
      </c>
      <c r="S1524" s="3" t="str">
        <f aca="false">IF(R1524 &gt;= 0.5, "Positive", "Negative")</f>
        <v>Positive</v>
      </c>
      <c r="T1524" s="2" t="n">
        <v>126.092</v>
      </c>
      <c r="U1524" s="0" t="s">
        <v>632</v>
      </c>
    </row>
    <row r="1525" customFormat="false" ht="14.25" hidden="false" customHeight="false" outlineLevel="0" collapsed="false">
      <c r="A1525" s="0" t="n">
        <v>180</v>
      </c>
      <c r="B1525" s="0" t="str">
        <f aca="false">_xlfn.xlookup(A1525, artists!A$2:A$836, artists!B$2:B$836)</f>
        <v>Coldplay</v>
      </c>
      <c r="C1525" s="1" t="s">
        <v>1550</v>
      </c>
      <c r="D1525" s="2" t="n">
        <v>287906</v>
      </c>
      <c r="E1525" s="2" t="n">
        <f aca="false">D1525/1000</f>
        <v>287.906</v>
      </c>
      <c r="F1525" s="10" t="b">
        <f aca="false">FALSE()</f>
        <v>0</v>
      </c>
      <c r="G1525" s="0" t="n">
        <v>8</v>
      </c>
      <c r="H1525" s="0" t="n">
        <f aca="false">_xlfn.xlookup(G1525, years!A$2:A$836, years!B$2:B$836)</f>
        <v>2005</v>
      </c>
      <c r="I1525" s="2" t="n">
        <v>69</v>
      </c>
      <c r="J1525" s="0" t="n">
        <v>0.514</v>
      </c>
      <c r="K1525" s="0" t="n">
        <v>0.898</v>
      </c>
      <c r="L1525" s="3" t="str">
        <f aca="false">IF(K1525&gt;0.66,"High",IF(K1525&gt;0.33&amp;K1525&lt;=0.66,"Medium","Low"))</f>
        <v>High</v>
      </c>
      <c r="M1525" s="0" t="n">
        <v>-6.765</v>
      </c>
      <c r="N1525" s="3" t="n">
        <v>0.0577</v>
      </c>
      <c r="O1525" s="3" t="n">
        <v>0.00488</v>
      </c>
      <c r="P1525" s="4" t="n">
        <v>0.0345</v>
      </c>
      <c r="Q1525" s="3" t="n">
        <v>0.0746</v>
      </c>
      <c r="R1525" s="3" t="n">
        <v>0.353</v>
      </c>
      <c r="S1525" s="3" t="str">
        <f aca="false">IF(R1525 &gt;= 0.5, "Positive", "Negative")</f>
        <v>Negative</v>
      </c>
      <c r="T1525" s="2" t="n">
        <v>123.067</v>
      </c>
      <c r="U1525" s="0" t="s">
        <v>35</v>
      </c>
    </row>
    <row r="1526" customFormat="false" ht="14.25" hidden="false" customHeight="false" outlineLevel="0" collapsed="false">
      <c r="A1526" s="0" t="n">
        <v>34</v>
      </c>
      <c r="B1526" s="0" t="str">
        <f aca="false">_xlfn.xlookup(A1526, artists!A$2:A$836, artists!B$2:B$836)</f>
        <v>Kylie Minogue</v>
      </c>
      <c r="C1526" s="1" t="s">
        <v>1551</v>
      </c>
      <c r="D1526" s="2" t="n">
        <v>207866</v>
      </c>
      <c r="E1526" s="2" t="n">
        <f aca="false">D1526/1000</f>
        <v>207.866</v>
      </c>
      <c r="F1526" s="10" t="b">
        <f aca="false">FALSE()</f>
        <v>0</v>
      </c>
      <c r="G1526" s="0" t="n">
        <v>3</v>
      </c>
      <c r="H1526" s="0" t="n">
        <f aca="false">_xlfn.xlookup(G1526, years!A$2:A$836, years!B$2:B$836)</f>
        <v>2000</v>
      </c>
      <c r="I1526" s="2" t="n">
        <v>55</v>
      </c>
      <c r="J1526" s="0" t="n">
        <v>0.761</v>
      </c>
      <c r="K1526" s="0" t="n">
        <v>0.662</v>
      </c>
      <c r="L1526" s="3" t="str">
        <f aca="false">IF(K1526&gt;0.66,"High",IF(K1526&gt;0.33&amp;K1526&lt;=0.66,"Medium","Low"))</f>
        <v>High</v>
      </c>
      <c r="M1526" s="0" t="n">
        <v>-7.645</v>
      </c>
      <c r="N1526" s="3" t="n">
        <v>0.0548</v>
      </c>
      <c r="O1526" s="3" t="n">
        <v>0.292</v>
      </c>
      <c r="P1526" s="4" t="n">
        <v>6.19E-005</v>
      </c>
      <c r="Q1526" s="3" t="n">
        <v>0.0956</v>
      </c>
      <c r="R1526" s="3" t="n">
        <v>0.631</v>
      </c>
      <c r="S1526" s="3" t="str">
        <f aca="false">IF(R1526 &gt;= 0.5, "Positive", "Negative")</f>
        <v>Positive</v>
      </c>
      <c r="T1526" s="2" t="n">
        <v>120.043</v>
      </c>
      <c r="U1526" s="0" t="s">
        <v>22</v>
      </c>
    </row>
    <row r="1527" customFormat="false" ht="14.25" hidden="false" customHeight="false" outlineLevel="0" collapsed="false">
      <c r="A1527" s="0" t="n">
        <v>663</v>
      </c>
      <c r="B1527" s="0" t="str">
        <f aca="false">_xlfn.xlookup(A1527, artists!A$2:A$836, artists!B$2:B$836)</f>
        <v>The Strumbellas</v>
      </c>
      <c r="C1527" s="1" t="s">
        <v>1552</v>
      </c>
      <c r="D1527" s="2" t="n">
        <v>203653</v>
      </c>
      <c r="E1527" s="2" t="n">
        <f aca="false">D1527/1000</f>
        <v>203.653</v>
      </c>
      <c r="F1527" s="10" t="b">
        <f aca="false">FALSE()</f>
        <v>0</v>
      </c>
      <c r="G1527" s="0" t="n">
        <v>19</v>
      </c>
      <c r="H1527" s="0" t="n">
        <f aca="false">_xlfn.xlookup(G1527, years!A$2:A$836, years!B$2:B$836)</f>
        <v>2016</v>
      </c>
      <c r="I1527" s="2" t="n">
        <v>71</v>
      </c>
      <c r="J1527" s="0" t="n">
        <v>0.556</v>
      </c>
      <c r="K1527" s="0" t="n">
        <v>0.658</v>
      </c>
      <c r="L1527" s="3" t="str">
        <f aca="false">IF(K1527&gt;0.66,"High",IF(K1527&gt;0.33&amp;K1527&lt;=0.66,"Medium","Low"))</f>
        <v>Low</v>
      </c>
      <c r="M1527" s="0" t="n">
        <v>-6.075</v>
      </c>
      <c r="N1527" s="3" t="n">
        <v>0.0265</v>
      </c>
      <c r="O1527" s="3" t="n">
        <v>0.164</v>
      </c>
      <c r="P1527" s="4" t="n">
        <v>0</v>
      </c>
      <c r="Q1527" s="3" t="n">
        <v>0.113</v>
      </c>
      <c r="R1527" s="3" t="n">
        <v>0.787</v>
      </c>
      <c r="S1527" s="3" t="str">
        <f aca="false">IF(R1527 &gt;= 0.5, "Positive", "Negative")</f>
        <v>Positive</v>
      </c>
      <c r="T1527" s="2" t="n">
        <v>80.529</v>
      </c>
      <c r="U1527" s="0" t="s">
        <v>1553</v>
      </c>
    </row>
    <row r="1528" customFormat="false" ht="14.25" hidden="false" customHeight="false" outlineLevel="0" collapsed="false">
      <c r="A1528" s="0" t="n">
        <v>137</v>
      </c>
      <c r="B1528" s="0" t="str">
        <f aca="false">_xlfn.xlookup(A1528, artists!A$2:A$836, artists!B$2:B$836)</f>
        <v>Ludacris</v>
      </c>
      <c r="C1528" s="1" t="s">
        <v>1554</v>
      </c>
      <c r="D1528" s="2" t="n">
        <v>290760</v>
      </c>
      <c r="E1528" s="2" t="n">
        <f aca="false">D1528/1000</f>
        <v>290.76</v>
      </c>
      <c r="F1528" s="10" t="b">
        <f aca="false">TRUE()</f>
        <v>1</v>
      </c>
      <c r="G1528" s="0" t="n">
        <v>6</v>
      </c>
      <c r="H1528" s="0" t="n">
        <f aca="false">_xlfn.xlookup(G1528, years!A$2:A$836, years!B$2:B$836)</f>
        <v>2003</v>
      </c>
      <c r="I1528" s="2" t="n">
        <v>48</v>
      </c>
      <c r="J1528" s="0" t="n">
        <v>0.734</v>
      </c>
      <c r="K1528" s="0" t="n">
        <v>0.846</v>
      </c>
      <c r="L1528" s="3" t="str">
        <f aca="false">IF(K1528&gt;0.66,"High",IF(K1528&gt;0.33&amp;K1528&lt;=0.66,"Medium","Low"))</f>
        <v>High</v>
      </c>
      <c r="M1528" s="0" t="n">
        <v>-6.102</v>
      </c>
      <c r="N1528" s="3" t="n">
        <v>0.409</v>
      </c>
      <c r="O1528" s="3" t="n">
        <v>0.101</v>
      </c>
      <c r="P1528" s="4" t="n">
        <v>0</v>
      </c>
      <c r="Q1528" s="3" t="n">
        <v>0.233</v>
      </c>
      <c r="R1528" s="3" t="n">
        <v>0.702</v>
      </c>
      <c r="S1528" s="3" t="str">
        <f aca="false">IF(R1528 &gt;= 0.5, "Positive", "Negative")</f>
        <v>Positive</v>
      </c>
      <c r="T1528" s="2" t="n">
        <v>145.894</v>
      </c>
      <c r="U1528" s="0" t="s">
        <v>24</v>
      </c>
    </row>
    <row r="1529" customFormat="false" ht="14.25" hidden="false" customHeight="false" outlineLevel="0" collapsed="false">
      <c r="A1529" s="0" t="n">
        <v>432</v>
      </c>
      <c r="B1529" s="0" t="str">
        <f aca="false">_xlfn.xlookup(A1529, artists!A$2:A$836, artists!B$2:B$836)</f>
        <v>Jennifer Hudson</v>
      </c>
      <c r="C1529" s="1" t="s">
        <v>1555</v>
      </c>
      <c r="D1529" s="2" t="n">
        <v>250106</v>
      </c>
      <c r="E1529" s="2" t="n">
        <f aca="false">D1529/1000</f>
        <v>250.106</v>
      </c>
      <c r="F1529" s="10" t="b">
        <f aca="false">FALSE()</f>
        <v>0</v>
      </c>
      <c r="G1529" s="0" t="n">
        <v>11</v>
      </c>
      <c r="H1529" s="0" t="n">
        <f aca="false">_xlfn.xlookup(G1529, years!A$2:A$836, years!B$2:B$836)</f>
        <v>2008</v>
      </c>
      <c r="I1529" s="2" t="n">
        <v>60</v>
      </c>
      <c r="J1529" s="0" t="n">
        <v>0.707</v>
      </c>
      <c r="K1529" s="0" t="n">
        <v>0.724</v>
      </c>
      <c r="L1529" s="3" t="str">
        <f aca="false">IF(K1529&gt;0.66,"High",IF(K1529&gt;0.33&amp;K1529&lt;=0.66,"Medium","Low"))</f>
        <v>High</v>
      </c>
      <c r="M1529" s="0" t="n">
        <v>-3.887</v>
      </c>
      <c r="N1529" s="3" t="n">
        <v>0.051</v>
      </c>
      <c r="O1529" s="3" t="n">
        <v>0.0448</v>
      </c>
      <c r="P1529" s="4" t="n">
        <v>0</v>
      </c>
      <c r="Q1529" s="3" t="n">
        <v>0.072</v>
      </c>
      <c r="R1529" s="3" t="n">
        <v>0.659</v>
      </c>
      <c r="S1529" s="3" t="str">
        <f aca="false">IF(R1529 &gt;= 0.5, "Positive", "Negative")</f>
        <v>Positive</v>
      </c>
      <c r="T1529" s="2" t="n">
        <v>108.984</v>
      </c>
      <c r="U1529" s="0" t="s">
        <v>1556</v>
      </c>
    </row>
    <row r="1530" customFormat="false" ht="14.25" hidden="false" customHeight="false" outlineLevel="0" collapsed="false">
      <c r="A1530" s="0" t="n">
        <v>696</v>
      </c>
      <c r="B1530" s="0" t="str">
        <f aca="false">_xlfn.xlookup(A1530, artists!A$2:A$836, artists!B$2:B$836)</f>
        <v>Marshmello</v>
      </c>
      <c r="C1530" s="1" t="s">
        <v>1555</v>
      </c>
      <c r="D1530" s="2" t="n">
        <v>177600</v>
      </c>
      <c r="E1530" s="2" t="n">
        <f aca="false">D1530/1000</f>
        <v>177.6</v>
      </c>
      <c r="F1530" s="10" t="b">
        <f aca="false">FALSE()</f>
        <v>0</v>
      </c>
      <c r="G1530" s="0" t="n">
        <v>21</v>
      </c>
      <c r="H1530" s="0" t="n">
        <f aca="false">_xlfn.xlookup(G1530, years!A$2:A$836, years!B$2:B$836)</f>
        <v>2018</v>
      </c>
      <c r="I1530" s="2" t="n">
        <v>71</v>
      </c>
      <c r="J1530" s="0" t="n">
        <v>0.546</v>
      </c>
      <c r="K1530" s="0" t="n">
        <v>0.822</v>
      </c>
      <c r="L1530" s="3" t="str">
        <f aca="false">IF(K1530&gt;0.66,"High",IF(K1530&gt;0.33&amp;K1530&lt;=0.66,"Medium","Low"))</f>
        <v>High</v>
      </c>
      <c r="M1530" s="0" t="n">
        <v>-4.483</v>
      </c>
      <c r="N1530" s="3" t="n">
        <v>0.151</v>
      </c>
      <c r="O1530" s="3" t="n">
        <v>0.0145</v>
      </c>
      <c r="P1530" s="4" t="n">
        <v>0</v>
      </c>
      <c r="Q1530" s="3" t="n">
        <v>0.742</v>
      </c>
      <c r="R1530" s="3" t="n">
        <v>0.615</v>
      </c>
      <c r="S1530" s="3" t="str">
        <f aca="false">IF(R1530 &gt;= 0.5, "Positive", "Negative")</f>
        <v>Positive</v>
      </c>
      <c r="T1530" s="2" t="n">
        <v>150.06</v>
      </c>
      <c r="U1530" s="0" t="s">
        <v>22</v>
      </c>
    </row>
    <row r="1531" customFormat="false" ht="14.25" hidden="false" customHeight="false" outlineLevel="0" collapsed="false">
      <c r="A1531" s="0" t="n">
        <v>7</v>
      </c>
      <c r="B1531" s="0" t="str">
        <f aca="false">_xlfn.xlookup(A1531, artists!A$2:A$836, artists!B$2:B$836)</f>
        <v>Eminem</v>
      </c>
      <c r="C1531" s="1" t="s">
        <v>1557</v>
      </c>
      <c r="D1531" s="2" t="n">
        <v>404106</v>
      </c>
      <c r="E1531" s="2" t="n">
        <f aca="false">D1531/1000</f>
        <v>404.106</v>
      </c>
      <c r="F1531" s="10" t="b">
        <f aca="false">TRUE()</f>
        <v>1</v>
      </c>
      <c r="G1531" s="0" t="n">
        <v>3</v>
      </c>
      <c r="H1531" s="0" t="n">
        <f aca="false">_xlfn.xlookup(G1531, years!A$2:A$836, years!B$2:B$836)</f>
        <v>2000</v>
      </c>
      <c r="I1531" s="2" t="n">
        <v>83</v>
      </c>
      <c r="J1531" s="0" t="n">
        <v>0.78</v>
      </c>
      <c r="K1531" s="0" t="n">
        <v>0.768</v>
      </c>
      <c r="L1531" s="3" t="str">
        <f aca="false">IF(K1531&gt;0.66,"High",IF(K1531&gt;0.33&amp;K1531&lt;=0.66,"Medium","Low"))</f>
        <v>High</v>
      </c>
      <c r="M1531" s="0" t="n">
        <v>-4.325</v>
      </c>
      <c r="N1531" s="3" t="n">
        <v>0.238</v>
      </c>
      <c r="O1531" s="3" t="n">
        <v>0.0371</v>
      </c>
      <c r="P1531" s="4" t="n">
        <v>2.34E-006</v>
      </c>
      <c r="Q1531" s="3" t="n">
        <v>0.518</v>
      </c>
      <c r="R1531" s="3" t="n">
        <v>0.507</v>
      </c>
      <c r="S1531" s="3" t="str">
        <f aca="false">IF(R1531 &gt;= 0.5, "Positive", "Negative")</f>
        <v>Positive</v>
      </c>
      <c r="T1531" s="2" t="n">
        <v>80.063</v>
      </c>
      <c r="U1531" s="0" t="s">
        <v>29</v>
      </c>
    </row>
    <row r="1532" customFormat="false" ht="14.25" hidden="false" customHeight="false" outlineLevel="0" collapsed="false">
      <c r="A1532" s="0" t="n">
        <v>137</v>
      </c>
      <c r="B1532" s="0" t="str">
        <f aca="false">_xlfn.xlookup(A1532, artists!A$2:A$836, artists!B$2:B$836)</f>
        <v>Ludacris</v>
      </c>
      <c r="C1532" s="1" t="s">
        <v>1558</v>
      </c>
      <c r="D1532" s="2" t="n">
        <v>213760</v>
      </c>
      <c r="E1532" s="2" t="n">
        <f aca="false">D1532/1000</f>
        <v>213.76</v>
      </c>
      <c r="F1532" s="10" t="b">
        <f aca="false">TRUE()</f>
        <v>1</v>
      </c>
      <c r="G1532" s="0" t="n">
        <v>6</v>
      </c>
      <c r="H1532" s="0" t="n">
        <f aca="false">_xlfn.xlookup(G1532, years!A$2:A$836, years!B$2:B$836)</f>
        <v>2003</v>
      </c>
      <c r="I1532" s="2" t="n">
        <v>57</v>
      </c>
      <c r="J1532" s="0" t="n">
        <v>0.751</v>
      </c>
      <c r="K1532" s="0" t="n">
        <v>0.84</v>
      </c>
      <c r="L1532" s="3" t="str">
        <f aca="false">IF(K1532&gt;0.66,"High",IF(K1532&gt;0.33&amp;K1532&lt;=0.66,"Medium","Low"))</f>
        <v>High</v>
      </c>
      <c r="M1532" s="0" t="n">
        <v>-4.855</v>
      </c>
      <c r="N1532" s="3" t="n">
        <v>0.349</v>
      </c>
      <c r="O1532" s="3" t="n">
        <v>0.367</v>
      </c>
      <c r="P1532" s="4" t="n">
        <v>0</v>
      </c>
      <c r="Q1532" s="3" t="n">
        <v>0.0916</v>
      </c>
      <c r="R1532" s="3" t="n">
        <v>0.801</v>
      </c>
      <c r="S1532" s="3" t="str">
        <f aca="false">IF(R1532 &gt;= 0.5, "Positive", "Negative")</f>
        <v>Positive</v>
      </c>
      <c r="T1532" s="2" t="n">
        <v>99.057</v>
      </c>
      <c r="U1532" s="0" t="s">
        <v>24</v>
      </c>
    </row>
    <row r="1533" customFormat="false" ht="14.25" hidden="false" customHeight="false" outlineLevel="0" collapsed="false">
      <c r="A1533" s="0" t="n">
        <v>644</v>
      </c>
      <c r="B1533" s="0" t="str">
        <f aca="false">_xlfn.xlookup(A1533, artists!A$2:A$836, artists!B$2:B$836)</f>
        <v>The Weeknd</v>
      </c>
      <c r="C1533" s="1" t="s">
        <v>1559</v>
      </c>
      <c r="D1533" s="2" t="n">
        <v>230453</v>
      </c>
      <c r="E1533" s="2" t="n">
        <f aca="false">D1533/1000</f>
        <v>230.453</v>
      </c>
      <c r="F1533" s="10" t="b">
        <f aca="false">TRUE()</f>
        <v>1</v>
      </c>
      <c r="G1533" s="0" t="n">
        <v>19</v>
      </c>
      <c r="H1533" s="0" t="n">
        <f aca="false">_xlfn.xlookup(G1533, years!A$2:A$836, years!B$2:B$836)</f>
        <v>2016</v>
      </c>
      <c r="I1533" s="2" t="n">
        <v>0</v>
      </c>
      <c r="J1533" s="0" t="n">
        <v>0.681</v>
      </c>
      <c r="K1533" s="0" t="n">
        <v>0.594</v>
      </c>
      <c r="L1533" s="3" t="str">
        <f aca="false">IF(K1533&gt;0.66,"High",IF(K1533&gt;0.33&amp;K1533&lt;=0.66,"Medium","Low"))</f>
        <v>Low</v>
      </c>
      <c r="M1533" s="0" t="n">
        <v>-7.028</v>
      </c>
      <c r="N1533" s="3" t="n">
        <v>0.282</v>
      </c>
      <c r="O1533" s="3" t="n">
        <v>0.165</v>
      </c>
      <c r="P1533" s="4" t="n">
        <v>3.49E-006</v>
      </c>
      <c r="Q1533" s="3" t="n">
        <v>0.134</v>
      </c>
      <c r="R1533" s="3" t="n">
        <v>0.535</v>
      </c>
      <c r="S1533" s="3" t="str">
        <f aca="false">IF(R1533 &gt;= 0.5, "Positive", "Negative")</f>
        <v>Positive</v>
      </c>
      <c r="T1533" s="2" t="n">
        <v>186.054</v>
      </c>
      <c r="U1533" s="0" t="s">
        <v>33</v>
      </c>
    </row>
    <row r="1534" customFormat="false" ht="14.25" hidden="false" customHeight="false" outlineLevel="0" collapsed="false">
      <c r="A1534" s="0" t="n">
        <v>124</v>
      </c>
      <c r="B1534" s="0" t="str">
        <f aca="false">_xlfn.xlookup(A1534, artists!A$2:A$836, artists!B$2:B$836)</f>
        <v>The Supermen Lovers</v>
      </c>
      <c r="C1534" s="1" t="s">
        <v>1560</v>
      </c>
      <c r="D1534" s="2" t="n">
        <v>234400</v>
      </c>
      <c r="E1534" s="2" t="n">
        <f aca="false">D1534/1000</f>
        <v>234.4</v>
      </c>
      <c r="F1534" s="10" t="b">
        <f aca="false">FALSE()</f>
        <v>0</v>
      </c>
      <c r="G1534" s="0" t="n">
        <v>4</v>
      </c>
      <c r="H1534" s="0" t="n">
        <f aca="false">_xlfn.xlookup(G1534, years!A$2:A$836, years!B$2:B$836)</f>
        <v>2001</v>
      </c>
      <c r="I1534" s="2" t="n">
        <v>61</v>
      </c>
      <c r="J1534" s="0" t="n">
        <v>0.739</v>
      </c>
      <c r="K1534" s="0" t="n">
        <v>0.679</v>
      </c>
      <c r="L1534" s="3" t="str">
        <f aca="false">IF(K1534&gt;0.66,"High",IF(K1534&gt;0.33&amp;K1534&lt;=0.66,"Medium","Low"))</f>
        <v>High</v>
      </c>
      <c r="M1534" s="0" t="n">
        <v>-5.079</v>
      </c>
      <c r="N1534" s="3" t="n">
        <v>0.0373</v>
      </c>
      <c r="O1534" s="3" t="n">
        <v>0.000424</v>
      </c>
      <c r="P1534" s="4" t="n">
        <v>0.0187</v>
      </c>
      <c r="Q1534" s="3" t="n">
        <v>0.389</v>
      </c>
      <c r="R1534" s="3" t="n">
        <v>0.786</v>
      </c>
      <c r="S1534" s="3" t="str">
        <f aca="false">IF(R1534 &gt;= 0.5, "Positive", "Negative")</f>
        <v>Positive</v>
      </c>
      <c r="T1534" s="2" t="n">
        <v>127.487</v>
      </c>
      <c r="U1534" s="0" t="s">
        <v>48</v>
      </c>
    </row>
    <row r="1535" customFormat="false" ht="14.25" hidden="false" customHeight="false" outlineLevel="0" collapsed="false">
      <c r="A1535" s="0" t="n">
        <v>498</v>
      </c>
      <c r="B1535" s="0" t="str">
        <f aca="false">_xlfn.xlookup(A1535, artists!A$2:A$836, artists!B$2:B$836)</f>
        <v>Ellie Goulding</v>
      </c>
      <c r="C1535" s="1" t="s">
        <v>1561</v>
      </c>
      <c r="D1535" s="2" t="n">
        <v>176613</v>
      </c>
      <c r="E1535" s="2" t="n">
        <f aca="false">D1535/1000</f>
        <v>176.613</v>
      </c>
      <c r="F1535" s="10" t="b">
        <f aca="false">FALSE()</f>
        <v>0</v>
      </c>
      <c r="G1535" s="0" t="n">
        <v>13</v>
      </c>
      <c r="H1535" s="0" t="n">
        <f aca="false">_xlfn.xlookup(G1535, years!A$2:A$836, years!B$2:B$836)</f>
        <v>2010</v>
      </c>
      <c r="I1535" s="2" t="n">
        <v>54</v>
      </c>
      <c r="J1535" s="0" t="n">
        <v>0.504</v>
      </c>
      <c r="K1535" s="0" t="n">
        <v>0.814</v>
      </c>
      <c r="L1535" s="3" t="str">
        <f aca="false">IF(K1535&gt;0.66,"High",IF(K1535&gt;0.33&amp;K1535&lt;=0.66,"Medium","Low"))</f>
        <v>High</v>
      </c>
      <c r="M1535" s="0" t="n">
        <v>-5.346</v>
      </c>
      <c r="N1535" s="3" t="n">
        <v>0.0389</v>
      </c>
      <c r="O1535" s="3" t="n">
        <v>0.135</v>
      </c>
      <c r="P1535" s="4" t="n">
        <v>1.42E-005</v>
      </c>
      <c r="Q1535" s="3" t="n">
        <v>0.324</v>
      </c>
      <c r="R1535" s="3" t="n">
        <v>0.596</v>
      </c>
      <c r="S1535" s="3" t="str">
        <f aca="false">IF(R1535 &gt;= 0.5, "Positive", "Negative")</f>
        <v>Positive</v>
      </c>
      <c r="T1535" s="2" t="n">
        <v>149.967</v>
      </c>
      <c r="U1535" s="0" t="s">
        <v>292</v>
      </c>
    </row>
    <row r="1536" customFormat="false" ht="14.25" hidden="false" customHeight="false" outlineLevel="0" collapsed="false">
      <c r="A1536" s="0" t="n">
        <v>526</v>
      </c>
      <c r="B1536" s="0" t="str">
        <f aca="false">_xlfn.xlookup(A1536, artists!A$2:A$836, artists!B$2:B$836)</f>
        <v>Nicki Minaj</v>
      </c>
      <c r="C1536" s="1" t="s">
        <v>1562</v>
      </c>
      <c r="D1536" s="2" t="n">
        <v>210626</v>
      </c>
      <c r="E1536" s="2" t="n">
        <f aca="false">D1536/1000</f>
        <v>210.626</v>
      </c>
      <c r="F1536" s="10" t="b">
        <f aca="false">TRUE()</f>
        <v>1</v>
      </c>
      <c r="G1536" s="0" t="n">
        <v>15</v>
      </c>
      <c r="H1536" s="0" t="n">
        <f aca="false">_xlfn.xlookup(G1536, years!A$2:A$836, years!B$2:B$836)</f>
        <v>2012</v>
      </c>
      <c r="I1536" s="2" t="n">
        <v>75</v>
      </c>
      <c r="J1536" s="0" t="n">
        <v>0.747</v>
      </c>
      <c r="K1536" s="0" t="n">
        <v>0.716</v>
      </c>
      <c r="L1536" s="3" t="str">
        <f aca="false">IF(K1536&gt;0.66,"High",IF(K1536&gt;0.33&amp;K1536&lt;=0.66,"Medium","Low"))</f>
        <v>High</v>
      </c>
      <c r="M1536" s="0" t="n">
        <v>-2.457</v>
      </c>
      <c r="N1536" s="3" t="n">
        <v>0.075</v>
      </c>
      <c r="O1536" s="3" t="n">
        <v>0.135</v>
      </c>
      <c r="P1536" s="4" t="n">
        <v>0</v>
      </c>
      <c r="Q1536" s="3" t="n">
        <v>0.251</v>
      </c>
      <c r="R1536" s="3" t="n">
        <v>0.751</v>
      </c>
      <c r="S1536" s="3" t="str">
        <f aca="false">IF(R1536 &gt;= 0.5, "Positive", "Negative")</f>
        <v>Positive</v>
      </c>
      <c r="T1536" s="2" t="n">
        <v>125.008</v>
      </c>
      <c r="U1536" s="0" t="s">
        <v>24</v>
      </c>
    </row>
    <row r="1537" customFormat="false" ht="14.25" hidden="false" customHeight="false" outlineLevel="0" collapsed="false">
      <c r="A1537" s="0" t="n">
        <v>453</v>
      </c>
      <c r="B1537" s="0" t="str">
        <f aca="false">_xlfn.xlookup(A1537, artists!A$2:A$836, artists!B$2:B$836)</f>
        <v>3OH!3</v>
      </c>
      <c r="C1537" s="1" t="s">
        <v>1563</v>
      </c>
      <c r="D1537" s="2" t="n">
        <v>203093</v>
      </c>
      <c r="E1537" s="2" t="n">
        <f aca="false">D1537/1000</f>
        <v>203.093</v>
      </c>
      <c r="F1537" s="10" t="b">
        <f aca="false">FALSE()</f>
        <v>0</v>
      </c>
      <c r="G1537" s="0" t="n">
        <v>13</v>
      </c>
      <c r="H1537" s="0" t="n">
        <f aca="false">_xlfn.xlookup(G1537, years!A$2:A$836, years!B$2:B$836)</f>
        <v>2010</v>
      </c>
      <c r="I1537" s="2" t="n">
        <v>32</v>
      </c>
      <c r="J1537" s="0" t="n">
        <v>0.605</v>
      </c>
      <c r="K1537" s="0" t="n">
        <v>0.795</v>
      </c>
      <c r="L1537" s="3" t="str">
        <f aca="false">IF(K1537&gt;0.66,"High",IF(K1537&gt;0.33&amp;K1537&lt;=0.66,"Medium","Low"))</f>
        <v>High</v>
      </c>
      <c r="M1537" s="0" t="n">
        <v>-6.086</v>
      </c>
      <c r="N1537" s="3" t="n">
        <v>0.0712</v>
      </c>
      <c r="O1537" s="3" t="n">
        <v>0.00153</v>
      </c>
      <c r="P1537" s="4" t="n">
        <v>0</v>
      </c>
      <c r="Q1537" s="3" t="n">
        <v>0.207</v>
      </c>
      <c r="R1537" s="3" t="n">
        <v>0.263</v>
      </c>
      <c r="S1537" s="3" t="str">
        <f aca="false">IF(R1537 &gt;= 0.5, "Positive", "Negative")</f>
        <v>Negative</v>
      </c>
      <c r="T1537" s="2" t="n">
        <v>139.896</v>
      </c>
      <c r="U1537" s="0" t="s">
        <v>493</v>
      </c>
    </row>
    <row r="1538" customFormat="false" ht="14.25" hidden="false" customHeight="false" outlineLevel="0" collapsed="false">
      <c r="A1538" s="0" t="n">
        <v>455</v>
      </c>
      <c r="B1538" s="0" t="str">
        <f aca="false">_xlfn.xlookup(A1538, artists!A$2:A$836, artists!B$2:B$836)</f>
        <v>Drake</v>
      </c>
      <c r="C1538" s="1" t="s">
        <v>1564</v>
      </c>
      <c r="D1538" s="2" t="n">
        <v>174120</v>
      </c>
      <c r="E1538" s="2" t="n">
        <f aca="false">D1538/1000</f>
        <v>174.12</v>
      </c>
      <c r="F1538" s="10" t="b">
        <f aca="false">TRUE()</f>
        <v>1</v>
      </c>
      <c r="G1538" s="0" t="n">
        <v>16</v>
      </c>
      <c r="H1538" s="0" t="n">
        <f aca="false">_xlfn.xlookup(G1538, years!A$2:A$836, years!B$2:B$836)</f>
        <v>2013</v>
      </c>
      <c r="I1538" s="2" t="n">
        <v>65</v>
      </c>
      <c r="J1538" s="0" t="n">
        <v>0.794</v>
      </c>
      <c r="K1538" s="0" t="n">
        <v>0.523</v>
      </c>
      <c r="L1538" s="3" t="str">
        <f aca="false">IF(K1538&gt;0.66,"High",IF(K1538&gt;0.33&amp;K1538&lt;=0.66,"Medium","Low"))</f>
        <v>Low</v>
      </c>
      <c r="M1538" s="0" t="n">
        <v>-7.829</v>
      </c>
      <c r="N1538" s="3" t="n">
        <v>0.161</v>
      </c>
      <c r="O1538" s="3" t="n">
        <v>0.0331</v>
      </c>
      <c r="P1538" s="4" t="n">
        <v>0</v>
      </c>
      <c r="Q1538" s="3" t="n">
        <v>0.156</v>
      </c>
      <c r="R1538" s="3" t="n">
        <v>0.56</v>
      </c>
      <c r="S1538" s="3" t="str">
        <f aca="false">IF(R1538 &gt;= 0.5, "Positive", "Negative")</f>
        <v>Positive</v>
      </c>
      <c r="T1538" s="2" t="n">
        <v>86.307</v>
      </c>
      <c r="U1538" s="0" t="s">
        <v>31</v>
      </c>
    </row>
    <row r="1539" customFormat="false" ht="14.25" hidden="false" customHeight="false" outlineLevel="0" collapsed="false">
      <c r="A1539" s="0" t="n">
        <v>389</v>
      </c>
      <c r="B1539" s="0" t="str">
        <f aca="false">_xlfn.xlookup(A1539, artists!A$2:A$836, artists!B$2:B$836)</f>
        <v>Just Jack</v>
      </c>
      <c r="C1539" s="1" t="s">
        <v>1565</v>
      </c>
      <c r="D1539" s="2" t="n">
        <v>295933</v>
      </c>
      <c r="E1539" s="2" t="n">
        <f aca="false">D1539/1000</f>
        <v>295.933</v>
      </c>
      <c r="F1539" s="10" t="b">
        <f aca="false">FALSE()</f>
        <v>0</v>
      </c>
      <c r="G1539" s="0" t="n">
        <v>9</v>
      </c>
      <c r="H1539" s="0" t="n">
        <f aca="false">_xlfn.xlookup(G1539, years!A$2:A$836, years!B$2:B$836)</f>
        <v>2006</v>
      </c>
      <c r="I1539" s="2" t="n">
        <v>52</v>
      </c>
      <c r="J1539" s="0" t="n">
        <v>0.67</v>
      </c>
      <c r="K1539" s="0" t="n">
        <v>0.8</v>
      </c>
      <c r="L1539" s="3" t="str">
        <f aca="false">IF(K1539&gt;0.66,"High",IF(K1539&gt;0.33&amp;K1539&lt;=0.66,"Medium","Low"))</f>
        <v>High</v>
      </c>
      <c r="M1539" s="0" t="n">
        <v>-6.731</v>
      </c>
      <c r="N1539" s="3" t="n">
        <v>0.0652</v>
      </c>
      <c r="O1539" s="3" t="n">
        <v>0.00184</v>
      </c>
      <c r="P1539" s="4" t="n">
        <v>0.000356</v>
      </c>
      <c r="Q1539" s="3" t="n">
        <v>0.466</v>
      </c>
      <c r="R1539" s="3" t="n">
        <v>0.656</v>
      </c>
      <c r="S1539" s="3" t="str">
        <f aca="false">IF(R1539 &gt;= 0.5, "Positive", "Negative")</f>
        <v>Positive</v>
      </c>
      <c r="T1539" s="2" t="n">
        <v>123.802</v>
      </c>
      <c r="U1539" s="0" t="s">
        <v>48</v>
      </c>
    </row>
    <row r="1540" customFormat="false" ht="14.25" hidden="false" customHeight="false" outlineLevel="0" collapsed="false">
      <c r="A1540" s="0" t="n">
        <v>283</v>
      </c>
      <c r="B1540" s="0" t="str">
        <f aca="false">_xlfn.xlookup(A1540, artists!A$2:A$836, artists!B$2:B$836)</f>
        <v>Rihanna</v>
      </c>
      <c r="C1540" s="1" t="s">
        <v>1566</v>
      </c>
      <c r="D1540" s="2" t="n">
        <v>240706</v>
      </c>
      <c r="E1540" s="2" t="n">
        <f aca="false">D1540/1000</f>
        <v>240.706</v>
      </c>
      <c r="F1540" s="10" t="b">
        <f aca="false">FALSE()</f>
        <v>0</v>
      </c>
      <c r="G1540" s="0" t="n">
        <v>15</v>
      </c>
      <c r="H1540" s="0" t="n">
        <f aca="false">_xlfn.xlookup(G1540, years!A$2:A$836, years!B$2:B$836)</f>
        <v>2012</v>
      </c>
      <c r="I1540" s="2" t="n">
        <v>76</v>
      </c>
      <c r="J1540" s="0" t="n">
        <v>0.621</v>
      </c>
      <c r="K1540" s="0" t="n">
        <v>0.31</v>
      </c>
      <c r="L1540" s="3" t="str">
        <f aca="false">IF(K1540&gt;0.66,"High",IF(K1540&gt;0.33&amp;K1540&lt;=0.66,"Medium","Low"))</f>
        <v>Low</v>
      </c>
      <c r="M1540" s="0" t="n">
        <v>-10.164</v>
      </c>
      <c r="N1540" s="3" t="n">
        <v>0.0283</v>
      </c>
      <c r="O1540" s="3" t="n">
        <v>0.945</v>
      </c>
      <c r="P1540" s="4" t="n">
        <v>6.12E-005</v>
      </c>
      <c r="Q1540" s="3" t="n">
        <v>0.117</v>
      </c>
      <c r="R1540" s="3" t="n">
        <v>0.125</v>
      </c>
      <c r="S1540" s="3" t="str">
        <f aca="false">IF(R1540 &gt;= 0.5, "Positive", "Negative")</f>
        <v>Negative</v>
      </c>
      <c r="T1540" s="2" t="n">
        <v>111.893</v>
      </c>
      <c r="U1540" s="0" t="s">
        <v>31</v>
      </c>
    </row>
    <row r="1541" customFormat="false" ht="14.25" hidden="false" customHeight="false" outlineLevel="0" collapsed="false">
      <c r="A1541" s="0" t="n">
        <v>594</v>
      </c>
      <c r="B1541" s="0" t="str">
        <f aca="false">_xlfn.xlookup(A1541, artists!A$2:A$836, artists!B$2:B$836)</f>
        <v>Zedd</v>
      </c>
      <c r="C1541" s="1" t="s">
        <v>1567</v>
      </c>
      <c r="D1541" s="2" t="n">
        <v>217346</v>
      </c>
      <c r="E1541" s="2" t="n">
        <f aca="false">D1541/1000</f>
        <v>217.346</v>
      </c>
      <c r="F1541" s="10" t="b">
        <f aca="false">FALSE()</f>
        <v>0</v>
      </c>
      <c r="G1541" s="0" t="n">
        <v>17</v>
      </c>
      <c r="H1541" s="0" t="n">
        <f aca="false">_xlfn.xlookup(G1541, years!A$2:A$836, years!B$2:B$836)</f>
        <v>2014</v>
      </c>
      <c r="I1541" s="2" t="n">
        <v>63</v>
      </c>
      <c r="J1541" s="0" t="n">
        <v>0.596</v>
      </c>
      <c r="K1541" s="0" t="n">
        <v>0.738</v>
      </c>
      <c r="L1541" s="3" t="str">
        <f aca="false">IF(K1541&gt;0.66,"High",IF(K1541&gt;0.33&amp;K1541&lt;=0.66,"Medium","Low"))</f>
        <v>High</v>
      </c>
      <c r="M1541" s="0" t="n">
        <v>-3.109</v>
      </c>
      <c r="N1541" s="3" t="n">
        <v>0.0411</v>
      </c>
      <c r="O1541" s="3" t="n">
        <v>0.109</v>
      </c>
      <c r="P1541" s="4" t="n">
        <v>0</v>
      </c>
      <c r="Q1541" s="3" t="n">
        <v>0.0947</v>
      </c>
      <c r="R1541" s="3" t="n">
        <v>0.461</v>
      </c>
      <c r="S1541" s="3" t="str">
        <f aca="false">IF(R1541 &gt;= 0.5, "Positive", "Negative")</f>
        <v>Negative</v>
      </c>
      <c r="T1541" s="2" t="n">
        <v>127.961</v>
      </c>
      <c r="U1541" s="0" t="s">
        <v>53</v>
      </c>
    </row>
    <row r="1542" customFormat="false" ht="14.25" hidden="false" customHeight="false" outlineLevel="0" collapsed="false">
      <c r="A1542" s="0" t="n">
        <v>603</v>
      </c>
      <c r="B1542" s="0" t="str">
        <f aca="false">_xlfn.xlookup(A1542, artists!A$2:A$836, artists!B$2:B$836)</f>
        <v>Sam Smith</v>
      </c>
      <c r="C1542" s="1" t="s">
        <v>1568</v>
      </c>
      <c r="D1542" s="2" t="n">
        <v>172723</v>
      </c>
      <c r="E1542" s="2" t="n">
        <f aca="false">D1542/1000</f>
        <v>172.723</v>
      </c>
      <c r="F1542" s="10" t="b">
        <f aca="false">FALSE()</f>
        <v>0</v>
      </c>
      <c r="G1542" s="0" t="n">
        <v>17</v>
      </c>
      <c r="H1542" s="0" t="n">
        <f aca="false">_xlfn.xlookup(G1542, years!A$2:A$836, years!B$2:B$836)</f>
        <v>2014</v>
      </c>
      <c r="I1542" s="2" t="n">
        <v>80</v>
      </c>
      <c r="J1542" s="0" t="n">
        <v>0.418</v>
      </c>
      <c r="K1542" s="0" t="n">
        <v>0.42</v>
      </c>
      <c r="L1542" s="3" t="str">
        <f aca="false">IF(K1542&gt;0.66,"High",IF(K1542&gt;0.33&amp;K1542&lt;=0.66,"Medium","Low"))</f>
        <v>Low</v>
      </c>
      <c r="M1542" s="0" t="n">
        <v>-6.444</v>
      </c>
      <c r="N1542" s="3" t="n">
        <v>0.0414</v>
      </c>
      <c r="O1542" s="3" t="n">
        <v>0.588</v>
      </c>
      <c r="P1542" s="4" t="n">
        <v>6.39E-005</v>
      </c>
      <c r="Q1542" s="3" t="n">
        <v>0.11</v>
      </c>
      <c r="R1542" s="3" t="n">
        <v>0.184</v>
      </c>
      <c r="S1542" s="3" t="str">
        <f aca="false">IF(R1542 &gt;= 0.5, "Positive", "Negative")</f>
        <v>Negative</v>
      </c>
      <c r="T1542" s="2" t="n">
        <v>84.094</v>
      </c>
      <c r="U1542" s="0" t="s">
        <v>39</v>
      </c>
    </row>
    <row r="1543" customFormat="false" ht="14.25" hidden="false" customHeight="false" outlineLevel="0" collapsed="false">
      <c r="A1543" s="0" t="n">
        <v>346</v>
      </c>
      <c r="B1543" s="0" t="str">
        <f aca="false">_xlfn.xlookup(A1543, artists!A$2:A$836, artists!B$2:B$836)</f>
        <v>The Raconteurs</v>
      </c>
      <c r="C1543" s="1" t="s">
        <v>1569</v>
      </c>
      <c r="D1543" s="2" t="n">
        <v>215266</v>
      </c>
      <c r="E1543" s="2" t="n">
        <f aca="false">D1543/1000</f>
        <v>215.266</v>
      </c>
      <c r="F1543" s="10" t="b">
        <f aca="false">FALSE()</f>
        <v>0</v>
      </c>
      <c r="G1543" s="0" t="n">
        <v>9</v>
      </c>
      <c r="H1543" s="0" t="n">
        <f aca="false">_xlfn.xlookup(G1543, years!A$2:A$836, years!B$2:B$836)</f>
        <v>2006</v>
      </c>
      <c r="I1543" s="2" t="n">
        <v>56</v>
      </c>
      <c r="J1543" s="0" t="n">
        <v>0.525</v>
      </c>
      <c r="K1543" s="0" t="n">
        <v>0.578</v>
      </c>
      <c r="L1543" s="3" t="str">
        <f aca="false">IF(K1543&gt;0.66,"High",IF(K1543&gt;0.33&amp;K1543&lt;=0.66,"Medium","Low"))</f>
        <v>Low</v>
      </c>
      <c r="M1543" s="0" t="n">
        <v>-4.563</v>
      </c>
      <c r="N1543" s="3" t="n">
        <v>0.12</v>
      </c>
      <c r="O1543" s="3" t="n">
        <v>0.0132</v>
      </c>
      <c r="P1543" s="4" t="n">
        <v>0.00916</v>
      </c>
      <c r="Q1543" s="3" t="n">
        <v>0.108</v>
      </c>
      <c r="R1543" s="3" t="n">
        <v>0.537</v>
      </c>
      <c r="S1543" s="3" t="str">
        <f aca="false">IF(R1543 &gt;= 0.5, "Positive", "Negative")</f>
        <v>Positive</v>
      </c>
      <c r="T1543" s="2" t="n">
        <v>123.696</v>
      </c>
      <c r="U1543" s="0" t="s">
        <v>43</v>
      </c>
    </row>
    <row r="1544" customFormat="false" ht="14.25" hidden="false" customHeight="false" outlineLevel="0" collapsed="false">
      <c r="A1544" s="0" t="n">
        <v>560</v>
      </c>
      <c r="B1544" s="0" t="str">
        <f aca="false">_xlfn.xlookup(A1544, artists!A$2:A$836, artists!B$2:B$836)</f>
        <v>One Direction</v>
      </c>
      <c r="C1544" s="1" t="s">
        <v>1570</v>
      </c>
      <c r="D1544" s="2" t="n">
        <v>228133</v>
      </c>
      <c r="E1544" s="2" t="n">
        <f aca="false">D1544/1000</f>
        <v>228.133</v>
      </c>
      <c r="F1544" s="10" t="b">
        <f aca="false">FALSE()</f>
        <v>0</v>
      </c>
      <c r="G1544" s="0" t="n">
        <v>17</v>
      </c>
      <c r="H1544" s="0" t="n">
        <f aca="false">_xlfn.xlookup(G1544, years!A$2:A$836, years!B$2:B$836)</f>
        <v>2014</v>
      </c>
      <c r="I1544" s="2" t="n">
        <v>79</v>
      </c>
      <c r="J1544" s="0" t="n">
        <v>0.536</v>
      </c>
      <c r="K1544" s="0" t="n">
        <v>0.768</v>
      </c>
      <c r="L1544" s="3" t="str">
        <f aca="false">IF(K1544&gt;0.66,"High",IF(K1544&gt;0.33&amp;K1544&lt;=0.66,"Medium","Low"))</f>
        <v>High</v>
      </c>
      <c r="M1544" s="0" t="n">
        <v>-5.948</v>
      </c>
      <c r="N1544" s="3" t="n">
        <v>0.0347</v>
      </c>
      <c r="O1544" s="3" t="n">
        <v>0.00433</v>
      </c>
      <c r="P1544" s="4" t="n">
        <v>0</v>
      </c>
      <c r="Q1544" s="3" t="n">
        <v>0.114</v>
      </c>
      <c r="R1544" s="3" t="n">
        <v>0.545</v>
      </c>
      <c r="S1544" s="3" t="str">
        <f aca="false">IF(R1544 &gt;= 0.5, "Positive", "Negative")</f>
        <v>Positive</v>
      </c>
      <c r="T1544" s="2" t="n">
        <v>77.217</v>
      </c>
      <c r="U1544" s="0" t="s">
        <v>39</v>
      </c>
    </row>
    <row r="1545" customFormat="false" ht="14.25" hidden="false" customHeight="false" outlineLevel="0" collapsed="false">
      <c r="A1545" s="0" t="n">
        <v>365</v>
      </c>
      <c r="B1545" s="0" t="str">
        <f aca="false">_xlfn.xlookup(A1545, artists!A$2:A$836, artists!B$2:B$836)</f>
        <v>Gym Class Heroes</v>
      </c>
      <c r="C1545" s="1" t="s">
        <v>1571</v>
      </c>
      <c r="D1545" s="2" t="n">
        <v>210960</v>
      </c>
      <c r="E1545" s="2" t="n">
        <f aca="false">D1545/1000</f>
        <v>210.96</v>
      </c>
      <c r="F1545" s="10" t="b">
        <f aca="false">FALSE()</f>
        <v>0</v>
      </c>
      <c r="G1545" s="0" t="n">
        <v>14</v>
      </c>
      <c r="H1545" s="0" t="n">
        <f aca="false">_xlfn.xlookup(G1545, years!A$2:A$836, years!B$2:B$836)</f>
        <v>2011</v>
      </c>
      <c r="I1545" s="2" t="n">
        <v>81</v>
      </c>
      <c r="J1545" s="0" t="n">
        <v>0.646</v>
      </c>
      <c r="K1545" s="0" t="n">
        <v>0.795</v>
      </c>
      <c r="L1545" s="3" t="str">
        <f aca="false">IF(K1545&gt;0.66,"High",IF(K1545&gt;0.33&amp;K1545&lt;=0.66,"Medium","Low"))</f>
        <v>High</v>
      </c>
      <c r="M1545" s="0" t="n">
        <v>-3.293</v>
      </c>
      <c r="N1545" s="3" t="n">
        <v>0.0976</v>
      </c>
      <c r="O1545" s="3" t="n">
        <v>0.0319</v>
      </c>
      <c r="P1545" s="4" t="n">
        <v>0</v>
      </c>
      <c r="Q1545" s="3" t="n">
        <v>0.267</v>
      </c>
      <c r="R1545" s="3" t="n">
        <v>0.796</v>
      </c>
      <c r="S1545" s="3" t="str">
        <f aca="false">IF(R1545 &gt;= 0.5, "Positive", "Negative")</f>
        <v>Positive</v>
      </c>
      <c r="T1545" s="2" t="n">
        <v>89.99</v>
      </c>
      <c r="U1545" s="0" t="s">
        <v>24</v>
      </c>
    </row>
    <row r="1546" customFormat="false" ht="14.25" hidden="false" customHeight="false" outlineLevel="0" collapsed="false">
      <c r="A1546" s="0" t="n">
        <v>478</v>
      </c>
      <c r="B1546" s="0" t="str">
        <f aca="false">_xlfn.xlookup(A1546, artists!A$2:A$836, artists!B$2:B$836)</f>
        <v>Edward Maya</v>
      </c>
      <c r="C1546" s="1" t="s">
        <v>1572</v>
      </c>
      <c r="D1546" s="2" t="n">
        <v>184573</v>
      </c>
      <c r="E1546" s="2" t="n">
        <f aca="false">D1546/1000</f>
        <v>184.573</v>
      </c>
      <c r="F1546" s="10" t="b">
        <f aca="false">FALSE()</f>
        <v>0</v>
      </c>
      <c r="G1546" s="0" t="n">
        <v>13</v>
      </c>
      <c r="H1546" s="0" t="n">
        <f aca="false">_xlfn.xlookup(G1546, years!A$2:A$836, years!B$2:B$836)</f>
        <v>2010</v>
      </c>
      <c r="I1546" s="2" t="n">
        <v>66</v>
      </c>
      <c r="J1546" s="0" t="n">
        <v>0.799</v>
      </c>
      <c r="K1546" s="0" t="n">
        <v>0.783</v>
      </c>
      <c r="L1546" s="3" t="str">
        <f aca="false">IF(K1546&gt;0.66,"High",IF(K1546&gt;0.33&amp;K1546&lt;=0.66,"Medium","Low"))</f>
        <v>High</v>
      </c>
      <c r="M1546" s="0" t="n">
        <v>-3.896</v>
      </c>
      <c r="N1546" s="3" t="n">
        <v>0.0322</v>
      </c>
      <c r="O1546" s="3" t="n">
        <v>0.0346</v>
      </c>
      <c r="P1546" s="4" t="n">
        <v>0.0186</v>
      </c>
      <c r="Q1546" s="3" t="n">
        <v>0.0757</v>
      </c>
      <c r="R1546" s="3" t="n">
        <v>0.586</v>
      </c>
      <c r="S1546" s="3" t="str">
        <f aca="false">IF(R1546 &gt;= 0.5, "Positive", "Negative")</f>
        <v>Positive</v>
      </c>
      <c r="T1546" s="2" t="n">
        <v>127.041</v>
      </c>
      <c r="U1546" s="0" t="s">
        <v>39</v>
      </c>
    </row>
    <row r="1547" customFormat="false" ht="14.25" hidden="false" customHeight="false" outlineLevel="0" collapsed="false">
      <c r="A1547" s="0" t="n">
        <v>285</v>
      </c>
      <c r="B1547" s="0" t="str">
        <f aca="false">_xlfn.xlookup(A1547, artists!A$2:A$836, artists!B$2:B$836)</f>
        <v>The Pussycat Dolls</v>
      </c>
      <c r="C1547" s="1" t="s">
        <v>1573</v>
      </c>
      <c r="D1547" s="2" t="n">
        <v>207506</v>
      </c>
      <c r="E1547" s="2" t="n">
        <f aca="false">D1547/1000</f>
        <v>207.506</v>
      </c>
      <c r="F1547" s="10" t="b">
        <f aca="false">FALSE()</f>
        <v>0</v>
      </c>
      <c r="G1547" s="0" t="n">
        <v>8</v>
      </c>
      <c r="H1547" s="0" t="n">
        <f aca="false">_xlfn.xlookup(G1547, years!A$2:A$836, years!B$2:B$836)</f>
        <v>2005</v>
      </c>
      <c r="I1547" s="2" t="n">
        <v>67</v>
      </c>
      <c r="J1547" s="0" t="n">
        <v>0.548</v>
      </c>
      <c r="K1547" s="0" t="n">
        <v>0.554</v>
      </c>
      <c r="L1547" s="3" t="str">
        <f aca="false">IF(K1547&gt;0.66,"High",IF(K1547&gt;0.33&amp;K1547&lt;=0.66,"Medium","Low"))</f>
        <v>Low</v>
      </c>
      <c r="M1547" s="0" t="n">
        <v>-6.408</v>
      </c>
      <c r="N1547" s="3" t="n">
        <v>0.0587</v>
      </c>
      <c r="O1547" s="3" t="n">
        <v>0.283</v>
      </c>
      <c r="P1547" s="4" t="n">
        <v>0</v>
      </c>
      <c r="Q1547" s="3" t="n">
        <v>0.0708</v>
      </c>
      <c r="R1547" s="3" t="n">
        <v>0.382</v>
      </c>
      <c r="S1547" s="3" t="str">
        <f aca="false">IF(R1547 &gt;= 0.5, "Positive", "Negative")</f>
        <v>Negative</v>
      </c>
      <c r="T1547" s="2" t="n">
        <v>79.918</v>
      </c>
      <c r="U1547" s="0" t="s">
        <v>33</v>
      </c>
    </row>
    <row r="1548" customFormat="false" ht="14.25" hidden="false" customHeight="false" outlineLevel="0" collapsed="false">
      <c r="A1548" s="0" t="n">
        <v>319</v>
      </c>
      <c r="B1548" s="0" t="str">
        <f aca="false">_xlfn.xlookup(A1548, artists!A$2:A$836, artists!B$2:B$836)</f>
        <v>Bob Sinclar</v>
      </c>
      <c r="C1548" s="1" t="s">
        <v>1574</v>
      </c>
      <c r="D1548" s="2" t="n">
        <v>245466</v>
      </c>
      <c r="E1548" s="2" t="n">
        <f aca="false">D1548/1000</f>
        <v>245.466</v>
      </c>
      <c r="F1548" s="10" t="b">
        <f aca="false">FALSE()</f>
        <v>0</v>
      </c>
      <c r="G1548" s="0" t="n">
        <v>9</v>
      </c>
      <c r="H1548" s="0" t="n">
        <f aca="false">_xlfn.xlookup(G1548, years!A$2:A$836, years!B$2:B$836)</f>
        <v>2006</v>
      </c>
      <c r="I1548" s="2" t="n">
        <v>69</v>
      </c>
      <c r="J1548" s="0" t="n">
        <v>0.893</v>
      </c>
      <c r="K1548" s="0" t="n">
        <v>0.823</v>
      </c>
      <c r="L1548" s="3" t="str">
        <f aca="false">IF(K1548&gt;0.66,"High",IF(K1548&gt;0.33&amp;K1548&lt;=0.66,"Medium","Low"))</f>
        <v>High</v>
      </c>
      <c r="M1548" s="0" t="n">
        <v>-3.708</v>
      </c>
      <c r="N1548" s="3" t="n">
        <v>0.122</v>
      </c>
      <c r="O1548" s="3" t="n">
        <v>0.0714</v>
      </c>
      <c r="P1548" s="4" t="n">
        <v>0</v>
      </c>
      <c r="Q1548" s="3" t="n">
        <v>0.0509</v>
      </c>
      <c r="R1548" s="3" t="n">
        <v>0.902</v>
      </c>
      <c r="S1548" s="3" t="str">
        <f aca="false">IF(R1548 &gt;= 0.5, "Positive", "Negative")</f>
        <v>Positive</v>
      </c>
      <c r="T1548" s="2" t="n">
        <v>128.009</v>
      </c>
      <c r="U1548" s="0" t="s">
        <v>22</v>
      </c>
    </row>
    <row r="1549" customFormat="false" ht="14.25" hidden="false" customHeight="false" outlineLevel="0" collapsed="false">
      <c r="A1549" s="0" t="n">
        <v>381</v>
      </c>
      <c r="B1549" s="0" t="str">
        <f aca="false">_xlfn.xlookup(A1549, artists!A$2:A$836, artists!B$2:B$836)</f>
        <v>Paramore</v>
      </c>
      <c r="C1549" s="1" t="s">
        <v>1575</v>
      </c>
      <c r="D1549" s="2" t="n">
        <v>216013</v>
      </c>
      <c r="E1549" s="2" t="n">
        <f aca="false">D1549/1000</f>
        <v>216.013</v>
      </c>
      <c r="F1549" s="10" t="b">
        <f aca="false">FALSE()</f>
        <v>0</v>
      </c>
      <c r="G1549" s="0" t="n">
        <v>16</v>
      </c>
      <c r="H1549" s="0" t="n">
        <f aca="false">_xlfn.xlookup(G1549, years!A$2:A$836, years!B$2:B$836)</f>
        <v>2013</v>
      </c>
      <c r="I1549" s="2" t="n">
        <v>79</v>
      </c>
      <c r="J1549" s="0" t="n">
        <v>0.602</v>
      </c>
      <c r="K1549" s="0" t="n">
        <v>0.923</v>
      </c>
      <c r="L1549" s="3" t="str">
        <f aca="false">IF(K1549&gt;0.66,"High",IF(K1549&gt;0.33&amp;K1549&lt;=0.66,"Medium","Low"))</f>
        <v>High</v>
      </c>
      <c r="M1549" s="0" t="n">
        <v>-3.763</v>
      </c>
      <c r="N1549" s="3" t="n">
        <v>0.044</v>
      </c>
      <c r="O1549" s="3" t="n">
        <v>0.0098</v>
      </c>
      <c r="P1549" s="4" t="n">
        <v>0</v>
      </c>
      <c r="Q1549" s="3" t="n">
        <v>0.0561</v>
      </c>
      <c r="R1549" s="3" t="n">
        <v>0.765</v>
      </c>
      <c r="S1549" s="3" t="str">
        <f aca="false">IF(R1549 &gt;= 0.5, "Positive", "Negative")</f>
        <v>Positive</v>
      </c>
      <c r="T1549" s="2" t="n">
        <v>136.01</v>
      </c>
      <c r="U1549" s="0" t="s">
        <v>210</v>
      </c>
    </row>
    <row r="1550" customFormat="false" ht="14.25" hidden="false" customHeight="false" outlineLevel="0" collapsed="false">
      <c r="A1550" s="0" t="n">
        <v>741</v>
      </c>
      <c r="B1550" s="0" t="str">
        <f aca="false">_xlfn.xlookup(A1550, artists!A$2:A$836, artists!B$2:B$836)</f>
        <v>Migos</v>
      </c>
      <c r="C1550" s="1" t="s">
        <v>1576</v>
      </c>
      <c r="D1550" s="2" t="n">
        <v>190288</v>
      </c>
      <c r="E1550" s="2" t="n">
        <f aca="false">D1550/1000</f>
        <v>190.288</v>
      </c>
      <c r="F1550" s="10" t="b">
        <f aca="false">TRUE()</f>
        <v>1</v>
      </c>
      <c r="G1550" s="0" t="n">
        <v>21</v>
      </c>
      <c r="H1550" s="0" t="n">
        <f aca="false">_xlfn.xlookup(G1550, years!A$2:A$836, years!B$2:B$836)</f>
        <v>2018</v>
      </c>
      <c r="I1550" s="2" t="n">
        <v>72</v>
      </c>
      <c r="J1550" s="0" t="n">
        <v>0.817</v>
      </c>
      <c r="K1550" s="0" t="n">
        <v>0.816</v>
      </c>
      <c r="L1550" s="3" t="str">
        <f aca="false">IF(K1550&gt;0.66,"High",IF(K1550&gt;0.33&amp;K1550&lt;=0.66,"Medium","Low"))</f>
        <v>High</v>
      </c>
      <c r="M1550" s="0" t="n">
        <v>-5.402</v>
      </c>
      <c r="N1550" s="3" t="n">
        <v>0.269</v>
      </c>
      <c r="O1550" s="3" t="n">
        <v>0.00263</v>
      </c>
      <c r="P1550" s="4" t="n">
        <v>0</v>
      </c>
      <c r="Q1550" s="3" t="n">
        <v>0.159</v>
      </c>
      <c r="R1550" s="3" t="n">
        <v>0.508</v>
      </c>
      <c r="S1550" s="3" t="str">
        <f aca="false">IF(R1550 &gt;= 0.5, "Positive", "Negative")</f>
        <v>Positive</v>
      </c>
      <c r="T1550" s="2" t="n">
        <v>181.982</v>
      </c>
      <c r="U1550" s="0" t="s">
        <v>24</v>
      </c>
    </row>
    <row r="1551" customFormat="false" ht="14.25" hidden="false" customHeight="false" outlineLevel="0" collapsed="false">
      <c r="A1551" s="0" t="n">
        <v>417</v>
      </c>
      <c r="B1551" s="0" t="str">
        <f aca="false">_xlfn.xlookup(A1551, artists!A$2:A$836, artists!B$2:B$836)</f>
        <v>MGMT</v>
      </c>
      <c r="C1551" s="1" t="s">
        <v>1577</v>
      </c>
      <c r="D1551" s="2" t="n">
        <v>299960</v>
      </c>
      <c r="E1551" s="2" t="n">
        <f aca="false">D1551/1000</f>
        <v>299.96</v>
      </c>
      <c r="F1551" s="10" t="b">
        <f aca="false">FALSE()</f>
        <v>0</v>
      </c>
      <c r="G1551" s="0" t="n">
        <v>21</v>
      </c>
      <c r="H1551" s="0" t="n">
        <f aca="false">_xlfn.xlookup(G1551, years!A$2:A$836, years!B$2:B$836)</f>
        <v>2018</v>
      </c>
      <c r="I1551" s="2" t="n">
        <v>81</v>
      </c>
      <c r="J1551" s="0" t="n">
        <v>0.705</v>
      </c>
      <c r="K1551" s="0" t="n">
        <v>0.712</v>
      </c>
      <c r="L1551" s="3" t="str">
        <f aca="false">IF(K1551&gt;0.66,"High",IF(K1551&gt;0.33&amp;K1551&lt;=0.66,"Medium","Low"))</f>
        <v>High</v>
      </c>
      <c r="M1551" s="0" t="n">
        <v>-6.156</v>
      </c>
      <c r="N1551" s="3" t="n">
        <v>0.0385</v>
      </c>
      <c r="O1551" s="3" t="n">
        <v>0.0102</v>
      </c>
      <c r="P1551" s="4" t="n">
        <v>0.000855</v>
      </c>
      <c r="Q1551" s="3" t="n">
        <v>0.1</v>
      </c>
      <c r="R1551" s="3" t="n">
        <v>0.62</v>
      </c>
      <c r="S1551" s="3" t="str">
        <f aca="false">IF(R1551 &gt;= 0.5, "Positive", "Negative")</f>
        <v>Positive</v>
      </c>
      <c r="T1551" s="2" t="n">
        <v>97.512</v>
      </c>
      <c r="U1551" s="0" t="s">
        <v>43</v>
      </c>
    </row>
    <row r="1552" customFormat="false" ht="14.25" hidden="false" customHeight="false" outlineLevel="0" collapsed="false">
      <c r="A1552" s="0" t="n">
        <v>223</v>
      </c>
      <c r="B1552" s="0" t="str">
        <f aca="false">_xlfn.xlookup(A1552, artists!A$2:A$836, artists!B$2:B$836)</f>
        <v>Kelly Rowland</v>
      </c>
      <c r="C1552" s="1" t="s">
        <v>1578</v>
      </c>
      <c r="D1552" s="2" t="n">
        <v>249293</v>
      </c>
      <c r="E1552" s="2" t="n">
        <f aca="false">D1552/1000</f>
        <v>249.293</v>
      </c>
      <c r="F1552" s="10" t="b">
        <f aca="false">FALSE()</f>
        <v>0</v>
      </c>
      <c r="G1552" s="0" t="n">
        <v>5</v>
      </c>
      <c r="H1552" s="0" t="n">
        <f aca="false">_xlfn.xlookup(G1552, years!A$2:A$836, years!B$2:B$836)</f>
        <v>2002</v>
      </c>
      <c r="I1552" s="2" t="n">
        <v>54</v>
      </c>
      <c r="J1552" s="0" t="n">
        <v>0.649</v>
      </c>
      <c r="K1552" s="0" t="n">
        <v>0.718</v>
      </c>
      <c r="L1552" s="3" t="str">
        <f aca="false">IF(K1552&gt;0.66,"High",IF(K1552&gt;0.33&amp;K1552&lt;=0.66,"Medium","Low"))</f>
        <v>High</v>
      </c>
      <c r="M1552" s="0" t="n">
        <v>-4.984</v>
      </c>
      <c r="N1552" s="3" t="n">
        <v>0.0594</v>
      </c>
      <c r="O1552" s="3" t="n">
        <v>0.00676</v>
      </c>
      <c r="P1552" s="4" t="n">
        <v>4.26E-006</v>
      </c>
      <c r="Q1552" s="3" t="n">
        <v>0.174</v>
      </c>
      <c r="R1552" s="3" t="n">
        <v>0.477</v>
      </c>
      <c r="S1552" s="3" t="str">
        <f aca="false">IF(R1552 &gt;= 0.5, "Positive", "Negative")</f>
        <v>Negative</v>
      </c>
      <c r="T1552" s="2" t="n">
        <v>79.993</v>
      </c>
      <c r="U1552" s="0" t="s">
        <v>31</v>
      </c>
    </row>
    <row r="1553" customFormat="false" ht="14.25" hidden="false" customHeight="false" outlineLevel="0" collapsed="false">
      <c r="A1553" s="0" t="n">
        <v>668</v>
      </c>
      <c r="B1553" s="0" t="str">
        <f aca="false">_xlfn.xlookup(A1553, artists!A$2:A$836, artists!B$2:B$836)</f>
        <v>Kygo</v>
      </c>
      <c r="C1553" s="1" t="s">
        <v>1579</v>
      </c>
      <c r="D1553" s="2" t="n">
        <v>223186</v>
      </c>
      <c r="E1553" s="2" t="n">
        <f aca="false">D1553/1000</f>
        <v>223.186</v>
      </c>
      <c r="F1553" s="10" t="b">
        <f aca="false">FALSE()</f>
        <v>0</v>
      </c>
      <c r="G1553" s="0" t="n">
        <v>19</v>
      </c>
      <c r="H1553" s="0" t="n">
        <f aca="false">_xlfn.xlookup(G1553, years!A$2:A$836, years!B$2:B$836)</f>
        <v>2016</v>
      </c>
      <c r="I1553" s="2" t="n">
        <v>74</v>
      </c>
      <c r="J1553" s="0" t="n">
        <v>0.64</v>
      </c>
      <c r="K1553" s="0" t="n">
        <v>0.635</v>
      </c>
      <c r="L1553" s="3" t="str">
        <f aca="false">IF(K1553&gt;0.66,"High",IF(K1553&gt;0.33&amp;K1553&lt;=0.66,"Medium","Low"))</f>
        <v>Low</v>
      </c>
      <c r="M1553" s="0" t="n">
        <v>-7.565</v>
      </c>
      <c r="N1553" s="3" t="n">
        <v>0.226</v>
      </c>
      <c r="O1553" s="3" t="n">
        <v>0.271</v>
      </c>
      <c r="P1553" s="4" t="n">
        <v>0</v>
      </c>
      <c r="Q1553" s="3" t="n">
        <v>0.319</v>
      </c>
      <c r="R1553" s="3" t="n">
        <v>0.475</v>
      </c>
      <c r="S1553" s="3" t="str">
        <f aca="false">IF(R1553 &gt;= 0.5, "Positive", "Negative")</f>
        <v>Negative</v>
      </c>
      <c r="T1553" s="2" t="n">
        <v>100.034</v>
      </c>
      <c r="U1553" s="0" t="s">
        <v>22</v>
      </c>
    </row>
    <row r="1554" customFormat="false" ht="14.25" hidden="false" customHeight="false" outlineLevel="0" collapsed="false">
      <c r="A1554" s="0" t="n">
        <v>668</v>
      </c>
      <c r="B1554" s="0" t="str">
        <f aca="false">_xlfn.xlookup(A1554, artists!A$2:A$836, artists!B$2:B$836)</f>
        <v>Kygo</v>
      </c>
      <c r="C1554" s="1" t="s">
        <v>1579</v>
      </c>
      <c r="D1554" s="2" t="n">
        <v>222813</v>
      </c>
      <c r="E1554" s="2" t="n">
        <f aca="false">D1554/1000</f>
        <v>222.813</v>
      </c>
      <c r="F1554" s="10" t="b">
        <f aca="false">FALSE()</f>
        <v>0</v>
      </c>
      <c r="G1554" s="0" t="n">
        <v>19</v>
      </c>
      <c r="H1554" s="0" t="n">
        <f aca="false">_xlfn.xlookup(G1554, years!A$2:A$836, years!B$2:B$836)</f>
        <v>2016</v>
      </c>
      <c r="I1554" s="2" t="n">
        <v>0</v>
      </c>
      <c r="J1554" s="0" t="n">
        <v>0.678</v>
      </c>
      <c r="K1554" s="0" t="n">
        <v>0.633</v>
      </c>
      <c r="L1554" s="3" t="str">
        <f aca="false">IF(K1554&gt;0.66,"High",IF(K1554&gt;0.33&amp;K1554&lt;=0.66,"Medium","Low"))</f>
        <v>Low</v>
      </c>
      <c r="M1554" s="0" t="n">
        <v>-6.443</v>
      </c>
      <c r="N1554" s="3" t="n">
        <v>0.171</v>
      </c>
      <c r="O1554" s="3" t="n">
        <v>0.151</v>
      </c>
      <c r="P1554" s="4" t="n">
        <v>0</v>
      </c>
      <c r="Q1554" s="3" t="n">
        <v>0.147</v>
      </c>
      <c r="R1554" s="3" t="n">
        <v>0.478</v>
      </c>
      <c r="S1554" s="3" t="str">
        <f aca="false">IF(R1554 &gt;= 0.5, "Positive", "Negative")</f>
        <v>Negative</v>
      </c>
      <c r="T1554" s="2" t="n">
        <v>99.886</v>
      </c>
      <c r="U1554" s="0" t="s">
        <v>22</v>
      </c>
    </row>
    <row r="1555" customFormat="false" ht="14.25" hidden="false" customHeight="false" outlineLevel="0" collapsed="false">
      <c r="A1555" s="0" t="n">
        <v>627</v>
      </c>
      <c r="B1555" s="0" t="str">
        <f aca="false">_xlfn.xlookup(A1555, artists!A$2:A$836, artists!B$2:B$836)</f>
        <v>Milky Chance</v>
      </c>
      <c r="C1555" s="1" t="s">
        <v>1580</v>
      </c>
      <c r="D1555" s="2" t="n">
        <v>313684</v>
      </c>
      <c r="E1555" s="2" t="n">
        <f aca="false">D1555/1000</f>
        <v>313.684</v>
      </c>
      <c r="F1555" s="10" t="b">
        <f aca="false">FALSE()</f>
        <v>0</v>
      </c>
      <c r="G1555" s="0" t="n">
        <v>17</v>
      </c>
      <c r="H1555" s="0" t="n">
        <f aca="false">_xlfn.xlookup(G1555, years!A$2:A$836, years!B$2:B$836)</f>
        <v>2014</v>
      </c>
      <c r="I1555" s="2" t="n">
        <v>73</v>
      </c>
      <c r="J1555" s="0" t="n">
        <v>0.885</v>
      </c>
      <c r="K1555" s="0" t="n">
        <v>0.581</v>
      </c>
      <c r="L1555" s="3" t="str">
        <f aca="false">IF(K1555&gt;0.66,"High",IF(K1555&gt;0.33&amp;K1555&lt;=0.66,"Medium","Low"))</f>
        <v>Low</v>
      </c>
      <c r="M1555" s="0" t="n">
        <v>-8.813</v>
      </c>
      <c r="N1555" s="3" t="n">
        <v>0.0378</v>
      </c>
      <c r="O1555" s="3" t="n">
        <v>0.427</v>
      </c>
      <c r="P1555" s="4" t="n">
        <v>0.000204</v>
      </c>
      <c r="Q1555" s="3" t="n">
        <v>0.0759</v>
      </c>
      <c r="R1555" s="3" t="n">
        <v>0.728</v>
      </c>
      <c r="S1555" s="3" t="str">
        <f aca="false">IF(R1555 &gt;= 0.5, "Positive", "Negative")</f>
        <v>Positive</v>
      </c>
      <c r="T1555" s="2" t="n">
        <v>114.016</v>
      </c>
      <c r="U1555" s="0" t="s">
        <v>118</v>
      </c>
    </row>
    <row r="1556" customFormat="false" ht="14.25" hidden="false" customHeight="false" outlineLevel="0" collapsed="false">
      <c r="A1556" s="0" t="n">
        <v>425</v>
      </c>
      <c r="B1556" s="0" t="str">
        <f aca="false">_xlfn.xlookup(A1556, artists!A$2:A$836, artists!B$2:B$836)</f>
        <v>OneRepublic</v>
      </c>
      <c r="C1556" s="1" t="s">
        <v>1581</v>
      </c>
      <c r="D1556" s="2" t="n">
        <v>223853</v>
      </c>
      <c r="E1556" s="2" t="n">
        <f aca="false">D1556/1000</f>
        <v>223.853</v>
      </c>
      <c r="F1556" s="10" t="b">
        <f aca="false">FALSE()</f>
        <v>0</v>
      </c>
      <c r="G1556" s="0" t="n">
        <v>10</v>
      </c>
      <c r="H1556" s="0" t="n">
        <f aca="false">_xlfn.xlookup(G1556, years!A$2:A$836, years!B$2:B$836)</f>
        <v>2007</v>
      </c>
      <c r="I1556" s="2" t="n">
        <v>59</v>
      </c>
      <c r="J1556" s="0" t="n">
        <v>0.492</v>
      </c>
      <c r="K1556" s="0" t="n">
        <v>0.859</v>
      </c>
      <c r="L1556" s="3" t="str">
        <f aca="false">IF(K1556&gt;0.66,"High",IF(K1556&gt;0.33&amp;K1556&lt;=0.66,"Medium","Low"))</f>
        <v>High</v>
      </c>
      <c r="M1556" s="0" t="n">
        <v>-4.274</v>
      </c>
      <c r="N1556" s="3" t="n">
        <v>0.0332</v>
      </c>
      <c r="O1556" s="3" t="n">
        <v>0.0659</v>
      </c>
      <c r="P1556" s="4" t="n">
        <v>0</v>
      </c>
      <c r="Q1556" s="3" t="n">
        <v>0.0756</v>
      </c>
      <c r="R1556" s="3" t="n">
        <v>0.251</v>
      </c>
      <c r="S1556" s="3" t="str">
        <f aca="false">IF(R1556 &gt;= 0.5, "Positive", "Negative")</f>
        <v>Negative</v>
      </c>
      <c r="T1556" s="2" t="n">
        <v>92.474</v>
      </c>
      <c r="U1556" s="0" t="s">
        <v>39</v>
      </c>
    </row>
    <row r="1557" customFormat="false" ht="14.25" hidden="false" customHeight="false" outlineLevel="0" collapsed="false">
      <c r="A1557" s="0" t="n">
        <v>359</v>
      </c>
      <c r="B1557" s="0" t="str">
        <f aca="false">_xlfn.xlookup(A1557, artists!A$2:A$836, artists!B$2:B$836)</f>
        <v>Mark Ronson</v>
      </c>
      <c r="C1557" s="1" t="s">
        <v>1582</v>
      </c>
      <c r="D1557" s="2" t="n">
        <v>232946</v>
      </c>
      <c r="E1557" s="2" t="n">
        <f aca="false">D1557/1000</f>
        <v>232.946</v>
      </c>
      <c r="F1557" s="10" t="b">
        <f aca="false">FALSE()</f>
        <v>0</v>
      </c>
      <c r="G1557" s="0" t="n">
        <v>10</v>
      </c>
      <c r="H1557" s="0" t="n">
        <f aca="false">_xlfn.xlookup(G1557, years!A$2:A$836, years!B$2:B$836)</f>
        <v>2007</v>
      </c>
      <c r="I1557" s="2" t="n">
        <v>46</v>
      </c>
      <c r="J1557" s="0" t="n">
        <v>0.626</v>
      </c>
      <c r="K1557" s="0" t="n">
        <v>0.906</v>
      </c>
      <c r="L1557" s="3" t="str">
        <f aca="false">IF(K1557&gt;0.66,"High",IF(K1557&gt;0.33&amp;K1557&lt;=0.66,"Medium","Low"))</f>
        <v>High</v>
      </c>
      <c r="M1557" s="0" t="n">
        <v>-4.334</v>
      </c>
      <c r="N1557" s="3" t="n">
        <v>0.0403</v>
      </c>
      <c r="O1557" s="3" t="n">
        <v>0.00128</v>
      </c>
      <c r="P1557" s="4" t="n">
        <v>8.52E-006</v>
      </c>
      <c r="Q1557" s="3" t="n">
        <v>0.137</v>
      </c>
      <c r="R1557" s="3" t="n">
        <v>0.346</v>
      </c>
      <c r="S1557" s="3" t="str">
        <f aca="false">IF(R1557 &gt;= 0.5, "Positive", "Negative")</f>
        <v>Negative</v>
      </c>
      <c r="T1557" s="2" t="n">
        <v>118.035</v>
      </c>
      <c r="U1557" s="0" t="s">
        <v>39</v>
      </c>
    </row>
    <row r="1558" customFormat="false" ht="14.25" hidden="false" customHeight="false" outlineLevel="0" collapsed="false">
      <c r="A1558" s="0" t="n">
        <v>560</v>
      </c>
      <c r="B1558" s="0" t="str">
        <f aca="false">_xlfn.xlookup(A1558, artists!A$2:A$836, artists!B$2:B$836)</f>
        <v>One Direction</v>
      </c>
      <c r="C1558" s="1" t="s">
        <v>1583</v>
      </c>
      <c r="D1558" s="2" t="n">
        <v>245493</v>
      </c>
      <c r="E1558" s="2" t="n">
        <f aca="false">D1558/1000</f>
        <v>245.493</v>
      </c>
      <c r="F1558" s="10" t="b">
        <f aca="false">FALSE()</f>
        <v>0</v>
      </c>
      <c r="G1558" s="0" t="n">
        <v>16</v>
      </c>
      <c r="H1558" s="0" t="n">
        <f aca="false">_xlfn.xlookup(G1558, years!A$2:A$836, years!B$2:B$836)</f>
        <v>2013</v>
      </c>
      <c r="I1558" s="2" t="n">
        <v>81</v>
      </c>
      <c r="J1558" s="0" t="n">
        <v>0.6</v>
      </c>
      <c r="K1558" s="0" t="n">
        <v>0.663</v>
      </c>
      <c r="L1558" s="3" t="str">
        <f aca="false">IF(K1558&gt;0.66,"High",IF(K1558&gt;0.33&amp;K1558&lt;=0.66,"Medium","Low"))</f>
        <v>High</v>
      </c>
      <c r="M1558" s="0" t="n">
        <v>-5.802</v>
      </c>
      <c r="N1558" s="3" t="n">
        <v>0.0477</v>
      </c>
      <c r="O1558" s="3" t="n">
        <v>0.225</v>
      </c>
      <c r="P1558" s="4" t="n">
        <v>0</v>
      </c>
      <c r="Q1558" s="3" t="n">
        <v>0.119</v>
      </c>
      <c r="R1558" s="3" t="n">
        <v>0.286</v>
      </c>
      <c r="S1558" s="3" t="str">
        <f aca="false">IF(R1558 &gt;= 0.5, "Positive", "Negative")</f>
        <v>Negative</v>
      </c>
      <c r="T1558" s="2" t="n">
        <v>121.07</v>
      </c>
      <c r="U1558" s="0" t="s">
        <v>39</v>
      </c>
    </row>
    <row r="1559" customFormat="false" ht="14.25" hidden="false" customHeight="false" outlineLevel="0" collapsed="false">
      <c r="A1559" s="0" t="n">
        <v>112</v>
      </c>
      <c r="B1559" s="0" t="str">
        <f aca="false">_xlfn.xlookup(A1559, artists!A$2:A$836, artists!B$2:B$836)</f>
        <v>Tamia</v>
      </c>
      <c r="C1559" s="1" t="s">
        <v>1584</v>
      </c>
      <c r="D1559" s="2" t="n">
        <v>285386</v>
      </c>
      <c r="E1559" s="2" t="n">
        <f aca="false">D1559/1000</f>
        <v>285.386</v>
      </c>
      <c r="F1559" s="10" t="b">
        <f aca="false">FALSE()</f>
        <v>0</v>
      </c>
      <c r="G1559" s="0" t="n">
        <v>3</v>
      </c>
      <c r="H1559" s="0" t="n">
        <f aca="false">_xlfn.xlookup(G1559, years!A$2:A$836, years!B$2:B$836)</f>
        <v>2000</v>
      </c>
      <c r="I1559" s="2" t="n">
        <v>48</v>
      </c>
      <c r="J1559" s="0" t="n">
        <v>0.676</v>
      </c>
      <c r="K1559" s="0" t="n">
        <v>0.601</v>
      </c>
      <c r="L1559" s="3" t="str">
        <f aca="false">IF(K1559&gt;0.66,"High",IF(K1559&gt;0.33&amp;K1559&lt;=0.66,"Medium","Low"))</f>
        <v>Low</v>
      </c>
      <c r="M1559" s="0" t="n">
        <v>-4.905</v>
      </c>
      <c r="N1559" s="3" t="n">
        <v>0.0297</v>
      </c>
      <c r="O1559" s="3" t="n">
        <v>0.103</v>
      </c>
      <c r="P1559" s="4" t="n">
        <v>0</v>
      </c>
      <c r="Q1559" s="3" t="n">
        <v>0.147</v>
      </c>
      <c r="R1559" s="3" t="n">
        <v>0.206</v>
      </c>
      <c r="S1559" s="3" t="str">
        <f aca="false">IF(R1559 &gt;= 0.5, "Positive", "Negative")</f>
        <v>Negative</v>
      </c>
      <c r="T1559" s="2" t="n">
        <v>119.94</v>
      </c>
      <c r="U1559" s="0" t="s">
        <v>33</v>
      </c>
    </row>
    <row r="1560" customFormat="false" ht="14.25" hidden="false" customHeight="false" outlineLevel="0" collapsed="false">
      <c r="A1560" s="0" t="n">
        <v>651</v>
      </c>
      <c r="B1560" s="0" t="str">
        <f aca="false">_xlfn.xlookup(A1560, artists!A$2:A$836, artists!B$2:B$836)</f>
        <v>Twenty One Pilots</v>
      </c>
      <c r="C1560" s="1" t="s">
        <v>1585</v>
      </c>
      <c r="D1560" s="2" t="n">
        <v>202333</v>
      </c>
      <c r="E1560" s="2" t="n">
        <f aca="false">D1560/1000</f>
        <v>202.333</v>
      </c>
      <c r="F1560" s="10" t="b">
        <f aca="false">FALSE()</f>
        <v>0</v>
      </c>
      <c r="G1560" s="0" t="n">
        <v>18</v>
      </c>
      <c r="H1560" s="0" t="n">
        <f aca="false">_xlfn.xlookup(G1560, years!A$2:A$836, years!B$2:B$836)</f>
        <v>2015</v>
      </c>
      <c r="I1560" s="2" t="n">
        <v>83</v>
      </c>
      <c r="J1560" s="0" t="n">
        <v>0.734</v>
      </c>
      <c r="K1560" s="0" t="n">
        <v>0.637</v>
      </c>
      <c r="L1560" s="3" t="str">
        <f aca="false">IF(K1560&gt;0.66,"High",IF(K1560&gt;0.33&amp;K1560&lt;=0.66,"Medium","Low"))</f>
        <v>Low</v>
      </c>
      <c r="M1560" s="0" t="n">
        <v>-5.677</v>
      </c>
      <c r="N1560" s="3" t="n">
        <v>0.141</v>
      </c>
      <c r="O1560" s="3" t="n">
        <v>0.0462</v>
      </c>
      <c r="P1560" s="4" t="n">
        <v>2.29E-005</v>
      </c>
      <c r="Q1560" s="3" t="n">
        <v>0.0602</v>
      </c>
      <c r="R1560" s="3" t="n">
        <v>0.648</v>
      </c>
      <c r="S1560" s="3" t="str">
        <f aca="false">IF(R1560 &gt;= 0.5, "Positive", "Negative")</f>
        <v>Positive</v>
      </c>
      <c r="T1560" s="2" t="n">
        <v>169.977</v>
      </c>
      <c r="U1560" s="0" t="s">
        <v>43</v>
      </c>
    </row>
    <row r="1561" customFormat="false" ht="14.25" hidden="false" customHeight="false" outlineLevel="0" collapsed="false">
      <c r="A1561" s="0" t="n">
        <v>816</v>
      </c>
      <c r="B1561" s="0" t="str">
        <f aca="false">_xlfn.xlookup(A1561, artists!A$2:A$836, artists!B$2:B$836)</f>
        <v>Young T &amp; Bugsey</v>
      </c>
      <c r="C1561" s="1" t="s">
        <v>1586</v>
      </c>
      <c r="D1561" s="2" t="n">
        <v>214203</v>
      </c>
      <c r="E1561" s="2" t="n">
        <f aca="false">D1561/1000</f>
        <v>214.203</v>
      </c>
      <c r="F1561" s="10" t="b">
        <f aca="false">TRUE()</f>
        <v>1</v>
      </c>
      <c r="G1561" s="0" t="n">
        <v>22</v>
      </c>
      <c r="H1561" s="0" t="n">
        <f aca="false">_xlfn.xlookup(G1561, years!A$2:A$836, years!B$2:B$836)</f>
        <v>2019</v>
      </c>
      <c r="I1561" s="2" t="n">
        <v>61</v>
      </c>
      <c r="J1561" s="0" t="n">
        <v>0.531</v>
      </c>
      <c r="K1561" s="0" t="n">
        <v>0.581</v>
      </c>
      <c r="L1561" s="3" t="str">
        <f aca="false">IF(K1561&gt;0.66,"High",IF(K1561&gt;0.33&amp;K1561&lt;=0.66,"Medium","Low"))</f>
        <v>Low</v>
      </c>
      <c r="M1561" s="0" t="n">
        <v>-5.801</v>
      </c>
      <c r="N1561" s="3" t="n">
        <v>0.101</v>
      </c>
      <c r="O1561" s="3" t="n">
        <v>0.0107</v>
      </c>
      <c r="P1561" s="4" t="n">
        <v>1.62E-005</v>
      </c>
      <c r="Q1561" s="3" t="n">
        <v>0.101</v>
      </c>
      <c r="R1561" s="3" t="n">
        <v>0.591</v>
      </c>
      <c r="S1561" s="3" t="str">
        <f aca="false">IF(R1561 &gt;= 0.5, "Positive", "Negative")</f>
        <v>Positive</v>
      </c>
      <c r="T1561" s="2" t="n">
        <v>137.776</v>
      </c>
      <c r="U1561" s="0" t="s">
        <v>29</v>
      </c>
    </row>
    <row r="1562" customFormat="false" ht="14.25" hidden="false" customHeight="false" outlineLevel="0" collapsed="false">
      <c r="A1562" s="0" t="n">
        <v>751</v>
      </c>
      <c r="B1562" s="0" t="str">
        <f aca="false">_xlfn.xlookup(A1562, artists!A$2:A$836, artists!B$2:B$836)</f>
        <v>Liam Payne</v>
      </c>
      <c r="C1562" s="1" t="s">
        <v>1587</v>
      </c>
      <c r="D1562" s="2" t="n">
        <v>204502</v>
      </c>
      <c r="E1562" s="2" t="n">
        <f aca="false">D1562/1000</f>
        <v>204.502</v>
      </c>
      <c r="F1562" s="10" t="b">
        <f aca="false">FALSE()</f>
        <v>0</v>
      </c>
      <c r="G1562" s="0" t="n">
        <v>20</v>
      </c>
      <c r="H1562" s="0" t="n">
        <f aca="false">_xlfn.xlookup(G1562, years!A$2:A$836, years!B$2:B$836)</f>
        <v>2017</v>
      </c>
      <c r="I1562" s="2" t="n">
        <v>1</v>
      </c>
      <c r="J1562" s="0" t="n">
        <v>0.869</v>
      </c>
      <c r="K1562" s="0" t="n">
        <v>0.485</v>
      </c>
      <c r="L1562" s="3" t="str">
        <f aca="false">IF(K1562&gt;0.66,"High",IF(K1562&gt;0.33&amp;K1562&lt;=0.66,"Medium","Low"))</f>
        <v>Low</v>
      </c>
      <c r="M1562" s="0" t="n">
        <v>-5.595</v>
      </c>
      <c r="N1562" s="3" t="n">
        <v>0.0545</v>
      </c>
      <c r="O1562" s="3" t="n">
        <v>0.246</v>
      </c>
      <c r="P1562" s="4" t="n">
        <v>0</v>
      </c>
      <c r="Q1562" s="3" t="n">
        <v>0.0765</v>
      </c>
      <c r="R1562" s="3" t="n">
        <v>0.527</v>
      </c>
      <c r="S1562" s="3" t="str">
        <f aca="false">IF(R1562 &gt;= 0.5, "Positive", "Negative")</f>
        <v>Positive</v>
      </c>
      <c r="T1562" s="2" t="n">
        <v>106.028</v>
      </c>
      <c r="U1562" s="0" t="s">
        <v>39</v>
      </c>
    </row>
    <row r="1563" customFormat="false" ht="14.25" hidden="false" customHeight="false" outlineLevel="0" collapsed="false">
      <c r="A1563" s="0" t="n">
        <v>269</v>
      </c>
      <c r="B1563" s="0" t="str">
        <f aca="false">_xlfn.xlookup(A1563, artists!A$2:A$836, artists!B$2:B$836)</f>
        <v>Kanye West</v>
      </c>
      <c r="C1563" s="1" t="s">
        <v>1588</v>
      </c>
      <c r="D1563" s="2" t="n">
        <v>311866</v>
      </c>
      <c r="E1563" s="2" t="n">
        <f aca="false">D1563/1000</f>
        <v>311.866</v>
      </c>
      <c r="F1563" s="10" t="b">
        <f aca="false">TRUE()</f>
        <v>1</v>
      </c>
      <c r="G1563" s="0" t="n">
        <v>10</v>
      </c>
      <c r="H1563" s="0" t="n">
        <f aca="false">_xlfn.xlookup(G1563, years!A$2:A$836, years!B$2:B$836)</f>
        <v>2007</v>
      </c>
      <c r="I1563" s="2" t="n">
        <v>54</v>
      </c>
      <c r="J1563" s="0" t="n">
        <v>0.617</v>
      </c>
      <c r="K1563" s="0" t="n">
        <v>0.717</v>
      </c>
      <c r="L1563" s="3" t="str">
        <f aca="false">IF(K1563&gt;0.66,"High",IF(K1563&gt;0.33&amp;K1563&lt;=0.66,"Medium","Low"))</f>
        <v>High</v>
      </c>
      <c r="M1563" s="0" t="n">
        <v>-7.858</v>
      </c>
      <c r="N1563" s="3" t="n">
        <v>0.153</v>
      </c>
      <c r="O1563" s="3" t="n">
        <v>0.00564</v>
      </c>
      <c r="P1563" s="4" t="n">
        <v>0</v>
      </c>
      <c r="Q1563" s="3" t="n">
        <v>0.408</v>
      </c>
      <c r="R1563" s="3" t="n">
        <v>0.49</v>
      </c>
      <c r="S1563" s="3" t="str">
        <f aca="false">IF(R1563 &gt;= 0.5, "Positive", "Negative")</f>
        <v>Negative</v>
      </c>
      <c r="T1563" s="2" t="n">
        <v>103.992</v>
      </c>
      <c r="U1563" s="0" t="s">
        <v>29</v>
      </c>
    </row>
    <row r="1564" customFormat="false" ht="14.25" hidden="false" customHeight="false" outlineLevel="0" collapsed="false">
      <c r="A1564" s="0" t="n">
        <v>230</v>
      </c>
      <c r="B1564" s="0" t="str">
        <f aca="false">_xlfn.xlookup(A1564, artists!A$2:A$836, artists!B$2:B$836)</f>
        <v>Kelly Clarkson</v>
      </c>
      <c r="C1564" s="1" t="s">
        <v>1589</v>
      </c>
      <c r="D1564" s="2" t="n">
        <v>221946</v>
      </c>
      <c r="E1564" s="2" t="n">
        <f aca="false">D1564/1000</f>
        <v>221.946</v>
      </c>
      <c r="F1564" s="10" t="b">
        <f aca="false">FALSE()</f>
        <v>0</v>
      </c>
      <c r="G1564" s="0" t="n">
        <v>14</v>
      </c>
      <c r="H1564" s="0" t="n">
        <f aca="false">_xlfn.xlookup(G1564, years!A$2:A$836, years!B$2:B$836)</f>
        <v>2011</v>
      </c>
      <c r="I1564" s="2" t="n">
        <v>74</v>
      </c>
      <c r="J1564" s="0" t="n">
        <v>0.562</v>
      </c>
      <c r="K1564" s="0" t="n">
        <v>0.939</v>
      </c>
      <c r="L1564" s="3" t="str">
        <f aca="false">IF(K1564&gt;0.66,"High",IF(K1564&gt;0.33&amp;K1564&lt;=0.66,"Medium","Low"))</f>
        <v>High</v>
      </c>
      <c r="M1564" s="0" t="n">
        <v>-4.282</v>
      </c>
      <c r="N1564" s="3" t="n">
        <v>0.0475</v>
      </c>
      <c r="O1564" s="3" t="n">
        <v>0.046</v>
      </c>
      <c r="P1564" s="4" t="n">
        <v>0</v>
      </c>
      <c r="Q1564" s="3" t="n">
        <v>0.112</v>
      </c>
      <c r="R1564" s="3" t="n">
        <v>0.684</v>
      </c>
      <c r="S1564" s="3" t="str">
        <f aca="false">IF(R1564 &gt;= 0.5, "Positive", "Negative")</f>
        <v>Positive</v>
      </c>
      <c r="T1564" s="2" t="n">
        <v>116.044</v>
      </c>
      <c r="U1564" s="0" t="s">
        <v>33</v>
      </c>
    </row>
    <row r="1565" customFormat="false" ht="14.25" hidden="false" customHeight="false" outlineLevel="0" collapsed="false">
      <c r="A1565" s="0" t="n">
        <v>55</v>
      </c>
      <c r="B1565" s="0" t="str">
        <f aca="false">_xlfn.xlookup(A1565, artists!A$2:A$836, artists!B$2:B$836)</f>
        <v>P!nk</v>
      </c>
      <c r="C1565" s="1" t="s">
        <v>1590</v>
      </c>
      <c r="D1565" s="2" t="n">
        <v>197173</v>
      </c>
      <c r="E1565" s="2" t="n">
        <f aca="false">D1565/1000</f>
        <v>197.173</v>
      </c>
      <c r="F1565" s="10" t="b">
        <f aca="false">TRUE()</f>
        <v>1</v>
      </c>
      <c r="G1565" s="0" t="n">
        <v>9</v>
      </c>
      <c r="H1565" s="0" t="n">
        <f aca="false">_xlfn.xlookup(G1565, years!A$2:A$836, years!B$2:B$836)</f>
        <v>2006</v>
      </c>
      <c r="I1565" s="2" t="n">
        <v>0</v>
      </c>
      <c r="J1565" s="0" t="n">
        <v>0.683</v>
      </c>
      <c r="K1565" s="0" t="n">
        <v>0.886</v>
      </c>
      <c r="L1565" s="3" t="str">
        <f aca="false">IF(K1565&gt;0.66,"High",IF(K1565&gt;0.33&amp;K1565&lt;=0.66,"Medium","Low"))</f>
        <v>High</v>
      </c>
      <c r="M1565" s="0" t="n">
        <v>-5.045</v>
      </c>
      <c r="N1565" s="3" t="n">
        <v>0.071</v>
      </c>
      <c r="O1565" s="3" t="n">
        <v>0.000738</v>
      </c>
      <c r="P1565" s="4" t="n">
        <v>0.00188</v>
      </c>
      <c r="Q1565" s="3" t="n">
        <v>0.0524</v>
      </c>
      <c r="R1565" s="3" t="n">
        <v>0.566</v>
      </c>
      <c r="S1565" s="3" t="str">
        <f aca="false">IF(R1565 &gt;= 0.5, "Positive", "Negative")</f>
        <v>Positive</v>
      </c>
      <c r="T1565" s="2" t="n">
        <v>100.04</v>
      </c>
      <c r="U1565" s="0" t="s">
        <v>39</v>
      </c>
    </row>
    <row r="1566" customFormat="false" ht="14.25" hidden="false" customHeight="false" outlineLevel="0" collapsed="false">
      <c r="A1566" s="0" t="n">
        <v>79</v>
      </c>
      <c r="B1566" s="0" t="str">
        <f aca="false">_xlfn.xlookup(A1566, artists!A$2:A$836, artists!B$2:B$836)</f>
        <v>Joe</v>
      </c>
      <c r="C1566" s="1" t="s">
        <v>1591</v>
      </c>
      <c r="D1566" s="2" t="n">
        <v>213026</v>
      </c>
      <c r="E1566" s="2" t="n">
        <f aca="false">D1566/1000</f>
        <v>213.026</v>
      </c>
      <c r="F1566" s="10" t="b">
        <f aca="false">FALSE()</f>
        <v>0</v>
      </c>
      <c r="G1566" s="0" t="n">
        <v>3</v>
      </c>
      <c r="H1566" s="0" t="n">
        <f aca="false">_xlfn.xlookup(G1566, years!A$2:A$836, years!B$2:B$836)</f>
        <v>2000</v>
      </c>
      <c r="I1566" s="2" t="n">
        <v>57</v>
      </c>
      <c r="J1566" s="0" t="n">
        <v>0.767</v>
      </c>
      <c r="K1566" s="0" t="n">
        <v>0.759</v>
      </c>
      <c r="L1566" s="3" t="str">
        <f aca="false">IF(K1566&gt;0.66,"High",IF(K1566&gt;0.33&amp;K1566&lt;=0.66,"Medium","Low"))</f>
        <v>High</v>
      </c>
      <c r="M1566" s="0" t="n">
        <v>-6.516</v>
      </c>
      <c r="N1566" s="3" t="n">
        <v>0.117</v>
      </c>
      <c r="O1566" s="3" t="n">
        <v>0.0513</v>
      </c>
      <c r="P1566" s="4" t="n">
        <v>0</v>
      </c>
      <c r="Q1566" s="3" t="n">
        <v>0.31</v>
      </c>
      <c r="R1566" s="3" t="n">
        <v>0.677</v>
      </c>
      <c r="S1566" s="3" t="str">
        <f aca="false">IF(R1566 &gt;= 0.5, "Positive", "Negative")</f>
        <v>Positive</v>
      </c>
      <c r="T1566" s="2" t="n">
        <v>89.989</v>
      </c>
      <c r="U1566" s="0" t="s">
        <v>33</v>
      </c>
    </row>
    <row r="1567" customFormat="false" ht="14.25" hidden="false" customHeight="false" outlineLevel="0" collapsed="false">
      <c r="A1567" s="0" t="n">
        <v>439</v>
      </c>
      <c r="B1567" s="0" t="str">
        <f aca="false">_xlfn.xlookup(A1567, artists!A$2:A$836, artists!B$2:B$836)</f>
        <v>Taylor Swift</v>
      </c>
      <c r="C1567" s="1" t="s">
        <v>1592</v>
      </c>
      <c r="D1567" s="2" t="n">
        <v>231000</v>
      </c>
      <c r="E1567" s="2" t="n">
        <f aca="false">D1567/1000</f>
        <v>231</v>
      </c>
      <c r="F1567" s="10" t="b">
        <f aca="false">FALSE()</f>
        <v>0</v>
      </c>
      <c r="G1567" s="0" t="n">
        <v>17</v>
      </c>
      <c r="H1567" s="0" t="n">
        <f aca="false">_xlfn.xlookup(G1567, years!A$2:A$836, years!B$2:B$836)</f>
        <v>2014</v>
      </c>
      <c r="I1567" s="2" t="n">
        <v>61</v>
      </c>
      <c r="J1567" s="0" t="n">
        <v>0.588</v>
      </c>
      <c r="K1567" s="0" t="n">
        <v>0.791</v>
      </c>
      <c r="L1567" s="3" t="str">
        <f aca="false">IF(K1567&gt;0.66,"High",IF(K1567&gt;0.33&amp;K1567&lt;=0.66,"Medium","Low"))</f>
        <v>High</v>
      </c>
      <c r="M1567" s="0" t="n">
        <v>-5.595</v>
      </c>
      <c r="N1567" s="3" t="n">
        <v>0.0402</v>
      </c>
      <c r="O1567" s="3" t="n">
        <v>0.00245</v>
      </c>
      <c r="P1567" s="4" t="n">
        <v>0.00258</v>
      </c>
      <c r="Q1567" s="3" t="n">
        <v>0.118</v>
      </c>
      <c r="R1567" s="3" t="n">
        <v>0.487</v>
      </c>
      <c r="S1567" s="3" t="str">
        <f aca="false">IF(R1567 &gt;= 0.5, "Positive", "Negative")</f>
        <v>Negative</v>
      </c>
      <c r="T1567" s="2" t="n">
        <v>94.933</v>
      </c>
      <c r="U1567" s="0" t="s">
        <v>39</v>
      </c>
    </row>
    <row r="1568" customFormat="false" ht="14.25" hidden="false" customHeight="false" outlineLevel="0" collapsed="false">
      <c r="A1568" s="0" t="n">
        <v>439</v>
      </c>
      <c r="B1568" s="0" t="str">
        <f aca="false">_xlfn.xlookup(A1568, artists!A$2:A$836, artists!B$2:B$836)</f>
        <v>Taylor Swift</v>
      </c>
      <c r="C1568" s="1" t="s">
        <v>1592</v>
      </c>
      <c r="D1568" s="2" t="n">
        <v>231000</v>
      </c>
      <c r="E1568" s="2" t="n">
        <f aca="false">D1568/1000</f>
        <v>231</v>
      </c>
      <c r="F1568" s="10" t="b">
        <f aca="false">FALSE()</f>
        <v>0</v>
      </c>
      <c r="G1568" s="0" t="n">
        <v>17</v>
      </c>
      <c r="H1568" s="0" t="n">
        <f aca="false">_xlfn.xlookup(G1568, years!A$2:A$836, years!B$2:B$836)</f>
        <v>2014</v>
      </c>
      <c r="I1568" s="2" t="n">
        <v>77</v>
      </c>
      <c r="J1568" s="0" t="n">
        <v>0.588</v>
      </c>
      <c r="K1568" s="0" t="n">
        <v>0.791</v>
      </c>
      <c r="L1568" s="3" t="str">
        <f aca="false">IF(K1568&gt;0.66,"High",IF(K1568&gt;0.33&amp;K1568&lt;=0.66,"Medium","Low"))</f>
        <v>High</v>
      </c>
      <c r="M1568" s="0" t="n">
        <v>-5.595</v>
      </c>
      <c r="N1568" s="3" t="n">
        <v>0.0402</v>
      </c>
      <c r="O1568" s="3" t="n">
        <v>0.00245</v>
      </c>
      <c r="P1568" s="4" t="n">
        <v>0.00258</v>
      </c>
      <c r="Q1568" s="3" t="n">
        <v>0.118</v>
      </c>
      <c r="R1568" s="3" t="n">
        <v>0.487</v>
      </c>
      <c r="S1568" s="3" t="str">
        <f aca="false">IF(R1568 &gt;= 0.5, "Positive", "Negative")</f>
        <v>Negative</v>
      </c>
      <c r="T1568" s="2" t="n">
        <v>94.933</v>
      </c>
      <c r="U1568" s="0" t="s">
        <v>39</v>
      </c>
    </row>
    <row r="1569" customFormat="false" ht="14.25" hidden="false" customHeight="false" outlineLevel="0" collapsed="false">
      <c r="A1569" s="0" t="n">
        <v>372</v>
      </c>
      <c r="B1569" s="0" t="str">
        <f aca="false">_xlfn.xlookup(A1569, artists!A$2:A$836, artists!B$2:B$836)</f>
        <v>Calvin Harris</v>
      </c>
      <c r="C1569" s="1" t="s">
        <v>1593</v>
      </c>
      <c r="D1569" s="2" t="n">
        <v>214846</v>
      </c>
      <c r="E1569" s="2" t="n">
        <f aca="false">D1569/1000</f>
        <v>214.846</v>
      </c>
      <c r="F1569" s="10" t="b">
        <f aca="false">FALSE()</f>
        <v>0</v>
      </c>
      <c r="G1569" s="0" t="n">
        <v>21</v>
      </c>
      <c r="H1569" s="0" t="n">
        <f aca="false">_xlfn.xlookup(G1569, years!A$2:A$836, years!B$2:B$836)</f>
        <v>2018</v>
      </c>
      <c r="I1569" s="2" t="n">
        <v>81</v>
      </c>
      <c r="J1569" s="0" t="n">
        <v>0.791</v>
      </c>
      <c r="K1569" s="0" t="n">
        <v>0.862</v>
      </c>
      <c r="L1569" s="3" t="str">
        <f aca="false">IF(K1569&gt;0.66,"High",IF(K1569&gt;0.33&amp;K1569&lt;=0.66,"Medium","Low"))</f>
        <v>High</v>
      </c>
      <c r="M1569" s="0" t="n">
        <v>-3.24</v>
      </c>
      <c r="N1569" s="3" t="n">
        <v>0.11</v>
      </c>
      <c r="O1569" s="3" t="n">
        <v>0.037</v>
      </c>
      <c r="P1569" s="4" t="n">
        <v>2.19E-005</v>
      </c>
      <c r="Q1569" s="3" t="n">
        <v>0.0814</v>
      </c>
      <c r="R1569" s="3" t="n">
        <v>0.592</v>
      </c>
      <c r="S1569" s="3" t="str">
        <f aca="false">IF(R1569 &gt;= 0.5, "Positive", "Negative")</f>
        <v>Positive</v>
      </c>
      <c r="T1569" s="2" t="n">
        <v>123.994</v>
      </c>
      <c r="U1569" s="0" t="s">
        <v>53</v>
      </c>
    </row>
    <row r="1570" customFormat="false" ht="14.25" hidden="false" customHeight="false" outlineLevel="0" collapsed="false">
      <c r="A1570" s="0" t="n">
        <v>434</v>
      </c>
      <c r="B1570" s="0" t="str">
        <f aca="false">_xlfn.xlookup(A1570, artists!A$2:A$836, artists!B$2:B$836)</f>
        <v>Jonas Brothers</v>
      </c>
      <c r="C1570" s="1" t="s">
        <v>1594</v>
      </c>
      <c r="D1570" s="2" t="n">
        <v>181026</v>
      </c>
      <c r="E1570" s="2" t="n">
        <f aca="false">D1570/1000</f>
        <v>181.026</v>
      </c>
      <c r="F1570" s="10" t="b">
        <f aca="false">FALSE()</f>
        <v>0</v>
      </c>
      <c r="G1570" s="0" t="n">
        <v>22</v>
      </c>
      <c r="H1570" s="0" t="n">
        <f aca="false">_xlfn.xlookup(G1570, years!A$2:A$836, years!B$2:B$836)</f>
        <v>2019</v>
      </c>
      <c r="I1570" s="2" t="n">
        <v>79</v>
      </c>
      <c r="J1570" s="0" t="n">
        <v>0.842</v>
      </c>
      <c r="K1570" s="0" t="n">
        <v>0.734</v>
      </c>
      <c r="L1570" s="3" t="str">
        <f aca="false">IF(K1570&gt;0.66,"High",IF(K1570&gt;0.33&amp;K1570&lt;=0.66,"Medium","Low"))</f>
        <v>High</v>
      </c>
      <c r="M1570" s="0" t="n">
        <v>-5.065</v>
      </c>
      <c r="N1570" s="3" t="n">
        <v>0.0588</v>
      </c>
      <c r="O1570" s="3" t="n">
        <v>0.0427</v>
      </c>
      <c r="P1570" s="4" t="n">
        <v>0</v>
      </c>
      <c r="Q1570" s="3" t="n">
        <v>0.106</v>
      </c>
      <c r="R1570" s="3" t="n">
        <v>0.952</v>
      </c>
      <c r="S1570" s="3" t="str">
        <f aca="false">IF(R1570 &gt;= 0.5, "Positive", "Negative")</f>
        <v>Positive</v>
      </c>
      <c r="T1570" s="2" t="n">
        <v>137.958</v>
      </c>
      <c r="U1570" s="0" t="s">
        <v>39</v>
      </c>
    </row>
    <row r="1571" customFormat="false" ht="14.25" hidden="false" customHeight="false" outlineLevel="0" collapsed="false">
      <c r="A1571" s="0" t="n">
        <v>658</v>
      </c>
      <c r="B1571" s="0" t="str">
        <f aca="false">_xlfn.xlookup(A1571, artists!A$2:A$836, artists!B$2:B$836)</f>
        <v>Travis Scott</v>
      </c>
      <c r="C1571" s="1" t="s">
        <v>1595</v>
      </c>
      <c r="D1571" s="2" t="n">
        <v>312820</v>
      </c>
      <c r="E1571" s="2" t="n">
        <f aca="false">D1571/1000</f>
        <v>312.82</v>
      </c>
      <c r="F1571" s="10" t="b">
        <f aca="false">TRUE()</f>
        <v>1</v>
      </c>
      <c r="G1571" s="0" t="n">
        <v>21</v>
      </c>
      <c r="H1571" s="0" t="n">
        <f aca="false">_xlfn.xlookup(G1571, years!A$2:A$836, years!B$2:B$836)</f>
        <v>2018</v>
      </c>
      <c r="I1571" s="2" t="n">
        <v>81</v>
      </c>
      <c r="J1571" s="0" t="n">
        <v>0.834</v>
      </c>
      <c r="K1571" s="0" t="n">
        <v>0.73</v>
      </c>
      <c r="L1571" s="3" t="str">
        <f aca="false">IF(K1571&gt;0.66,"High",IF(K1571&gt;0.33&amp;K1571&lt;=0.66,"Medium","Low"))</f>
        <v>High</v>
      </c>
      <c r="M1571" s="0" t="n">
        <v>-3.714</v>
      </c>
      <c r="N1571" s="3" t="n">
        <v>0.222</v>
      </c>
      <c r="O1571" s="3" t="n">
        <v>0.00513</v>
      </c>
      <c r="P1571" s="4" t="n">
        <v>0</v>
      </c>
      <c r="Q1571" s="3" t="n">
        <v>0.124</v>
      </c>
      <c r="R1571" s="3" t="n">
        <v>0.446</v>
      </c>
      <c r="S1571" s="3" t="str">
        <f aca="false">IF(R1571 &gt;= 0.5, "Positive", "Negative")</f>
        <v>Negative</v>
      </c>
      <c r="T1571" s="2" t="n">
        <v>155.008</v>
      </c>
      <c r="U1571" s="0" t="s">
        <v>143</v>
      </c>
    </row>
    <row r="1572" customFormat="false" ht="14.25" hidden="false" customHeight="false" outlineLevel="0" collapsed="false">
      <c r="A1572" s="0" t="n">
        <v>313</v>
      </c>
      <c r="B1572" s="0" t="str">
        <f aca="false">_xlfn.xlookup(A1572, artists!A$2:A$836, artists!B$2:B$836)</f>
        <v>KT Tunstall</v>
      </c>
      <c r="C1572" s="1" t="s">
        <v>1596</v>
      </c>
      <c r="D1572" s="2" t="n">
        <v>201706</v>
      </c>
      <c r="E1572" s="2" t="n">
        <f aca="false">D1572/1000</f>
        <v>201.706</v>
      </c>
      <c r="F1572" s="10" t="b">
        <f aca="false">FALSE()</f>
        <v>0</v>
      </c>
      <c r="G1572" s="0" t="n">
        <v>8</v>
      </c>
      <c r="H1572" s="0" t="n">
        <f aca="false">_xlfn.xlookup(G1572, years!A$2:A$836, years!B$2:B$836)</f>
        <v>2005</v>
      </c>
      <c r="I1572" s="2" t="n">
        <v>71</v>
      </c>
      <c r="J1572" s="0" t="n">
        <v>0.587</v>
      </c>
      <c r="K1572" s="0" t="n">
        <v>0.767</v>
      </c>
      <c r="L1572" s="3" t="str">
        <f aca="false">IF(K1572&gt;0.66,"High",IF(K1572&gt;0.33&amp;K1572&lt;=0.66,"Medium","Low"))</f>
        <v>High</v>
      </c>
      <c r="M1572" s="0" t="n">
        <v>-5.713</v>
      </c>
      <c r="N1572" s="3" t="n">
        <v>0.0449</v>
      </c>
      <c r="O1572" s="3" t="n">
        <v>0.225</v>
      </c>
      <c r="P1572" s="4" t="n">
        <v>0</v>
      </c>
      <c r="Q1572" s="3" t="n">
        <v>0.112</v>
      </c>
      <c r="R1572" s="3" t="n">
        <v>0.664</v>
      </c>
      <c r="S1572" s="3" t="str">
        <f aca="false">IF(R1572 &gt;= 0.5, "Positive", "Negative")</f>
        <v>Positive</v>
      </c>
      <c r="T1572" s="2" t="n">
        <v>100.38</v>
      </c>
      <c r="U1572" s="0" t="s">
        <v>235</v>
      </c>
    </row>
    <row r="1573" customFormat="false" ht="14.25" hidden="false" customHeight="false" outlineLevel="0" collapsed="false">
      <c r="A1573" s="0" t="n">
        <v>396</v>
      </c>
      <c r="B1573" s="0" t="str">
        <f aca="false">_xlfn.xlookup(A1573, artists!A$2:A$836, artists!B$2:B$836)</f>
        <v>J. Holiday</v>
      </c>
      <c r="C1573" s="1" t="s">
        <v>1597</v>
      </c>
      <c r="D1573" s="2" t="n">
        <v>220053</v>
      </c>
      <c r="E1573" s="2" t="n">
        <f aca="false">D1573/1000</f>
        <v>220.053</v>
      </c>
      <c r="F1573" s="10" t="b">
        <f aca="false">FALSE()</f>
        <v>0</v>
      </c>
      <c r="G1573" s="0" t="n">
        <v>10</v>
      </c>
      <c r="H1573" s="0" t="n">
        <f aca="false">_xlfn.xlookup(G1573, years!A$2:A$836, years!B$2:B$836)</f>
        <v>2007</v>
      </c>
      <c r="I1573" s="2" t="n">
        <v>58</v>
      </c>
      <c r="J1573" s="0" t="n">
        <v>0.458</v>
      </c>
      <c r="K1573" s="0" t="n">
        <v>0.445</v>
      </c>
      <c r="L1573" s="3" t="str">
        <f aca="false">IF(K1573&gt;0.66,"High",IF(K1573&gt;0.33&amp;K1573&lt;=0.66,"Medium","Low"))</f>
        <v>Low</v>
      </c>
      <c r="M1573" s="0" t="n">
        <v>-8.391</v>
      </c>
      <c r="N1573" s="3" t="n">
        <v>0.361</v>
      </c>
      <c r="O1573" s="3" t="n">
        <v>0.64</v>
      </c>
      <c r="P1573" s="4" t="n">
        <v>0</v>
      </c>
      <c r="Q1573" s="3" t="n">
        <v>0.118</v>
      </c>
      <c r="R1573" s="3" t="n">
        <v>0.447</v>
      </c>
      <c r="S1573" s="3" t="str">
        <f aca="false">IF(R1573 &gt;= 0.5, "Positive", "Negative")</f>
        <v>Negative</v>
      </c>
      <c r="T1573" s="2" t="n">
        <v>82.82</v>
      </c>
      <c r="U1573" s="0" t="s">
        <v>41</v>
      </c>
    </row>
    <row r="1574" customFormat="false" ht="14.25" hidden="false" customHeight="false" outlineLevel="0" collapsed="false">
      <c r="A1574" s="0" t="n">
        <v>617</v>
      </c>
      <c r="B1574" s="0" t="str">
        <f aca="false">_xlfn.xlookup(A1574, artists!A$2:A$836, artists!B$2:B$836)</f>
        <v>Becky G</v>
      </c>
      <c r="C1574" s="1" t="s">
        <v>1598</v>
      </c>
      <c r="D1574" s="2" t="n">
        <v>188560</v>
      </c>
      <c r="E1574" s="2" t="n">
        <f aca="false">D1574/1000</f>
        <v>188.56</v>
      </c>
      <c r="F1574" s="10" t="b">
        <f aca="false">FALSE()</f>
        <v>0</v>
      </c>
      <c r="G1574" s="0" t="n">
        <v>21</v>
      </c>
      <c r="H1574" s="0" t="n">
        <f aca="false">_xlfn.xlookup(G1574, years!A$2:A$836, years!B$2:B$836)</f>
        <v>2018</v>
      </c>
      <c r="I1574" s="2" t="n">
        <v>69</v>
      </c>
      <c r="J1574" s="0" t="n">
        <v>0.791</v>
      </c>
      <c r="K1574" s="0" t="n">
        <v>0.745</v>
      </c>
      <c r="L1574" s="3" t="str">
        <f aca="false">IF(K1574&gt;0.66,"High",IF(K1574&gt;0.33&amp;K1574&lt;=0.66,"Medium","Low"))</f>
        <v>High</v>
      </c>
      <c r="M1574" s="0" t="n">
        <v>-3.695</v>
      </c>
      <c r="N1574" s="3" t="n">
        <v>0.0464</v>
      </c>
      <c r="O1574" s="3" t="n">
        <v>0.354</v>
      </c>
      <c r="P1574" s="4" t="n">
        <v>2.93E-005</v>
      </c>
      <c r="Q1574" s="3" t="n">
        <v>0.104</v>
      </c>
      <c r="R1574" s="3" t="n">
        <v>0.82</v>
      </c>
      <c r="S1574" s="3" t="str">
        <f aca="false">IF(R1574 &gt;= 0.5, "Positive", "Negative")</f>
        <v>Positive</v>
      </c>
      <c r="T1574" s="2" t="n">
        <v>94.014</v>
      </c>
      <c r="U1574" s="0" t="s">
        <v>75</v>
      </c>
    </row>
    <row r="1575" customFormat="false" ht="14.25" hidden="false" customHeight="false" outlineLevel="0" collapsed="false">
      <c r="A1575" s="0" t="n">
        <v>236</v>
      </c>
      <c r="B1575" s="0" t="str">
        <f aca="false">_xlfn.xlookup(A1575, artists!A$2:A$836, artists!B$2:B$836)</f>
        <v>Maroon 5</v>
      </c>
      <c r="C1575" s="1" t="s">
        <v>1599</v>
      </c>
      <c r="D1575" s="2" t="n">
        <v>235493</v>
      </c>
      <c r="E1575" s="2" t="n">
        <f aca="false">D1575/1000</f>
        <v>235.493</v>
      </c>
      <c r="F1575" s="10" t="b">
        <f aca="false">TRUE()</f>
        <v>1</v>
      </c>
      <c r="G1575" s="0" t="n">
        <v>17</v>
      </c>
      <c r="H1575" s="0" t="n">
        <f aca="false">_xlfn.xlookup(G1575, years!A$2:A$836, years!B$2:B$836)</f>
        <v>2014</v>
      </c>
      <c r="I1575" s="2" t="n">
        <v>0</v>
      </c>
      <c r="J1575" s="0" t="n">
        <v>0.744</v>
      </c>
      <c r="K1575" s="0" t="n">
        <v>0.783</v>
      </c>
      <c r="L1575" s="3" t="str">
        <f aca="false">IF(K1575&gt;0.66,"High",IF(K1575&gt;0.33&amp;K1575&lt;=0.66,"Medium","Low"))</f>
        <v>High</v>
      </c>
      <c r="M1575" s="0" t="n">
        <v>-7.077</v>
      </c>
      <c r="N1575" s="3" t="n">
        <v>0.0337</v>
      </c>
      <c r="O1575" s="3" t="n">
        <v>0.0553</v>
      </c>
      <c r="P1575" s="4" t="n">
        <v>0</v>
      </c>
      <c r="Q1575" s="3" t="n">
        <v>0.086</v>
      </c>
      <c r="R1575" s="3" t="n">
        <v>0.885</v>
      </c>
      <c r="S1575" s="3" t="str">
        <f aca="false">IF(R1575 &gt;= 0.5, "Positive", "Negative")</f>
        <v>Positive</v>
      </c>
      <c r="T1575" s="2" t="n">
        <v>120.042</v>
      </c>
      <c r="U1575" s="0" t="s">
        <v>39</v>
      </c>
    </row>
    <row r="1576" customFormat="false" ht="14.25" hidden="false" customHeight="false" outlineLevel="0" collapsed="false">
      <c r="A1576" s="0" t="n">
        <v>745</v>
      </c>
      <c r="B1576" s="0" t="str">
        <f aca="false">_xlfn.xlookup(A1576, artists!A$2:A$836, artists!B$2:B$836)</f>
        <v>Cardi B</v>
      </c>
      <c r="C1576" s="1" t="s">
        <v>789</v>
      </c>
      <c r="D1576" s="2" t="n">
        <v>253390</v>
      </c>
      <c r="E1576" s="2" t="n">
        <f aca="false">D1576/1000</f>
        <v>253.39</v>
      </c>
      <c r="F1576" s="10" t="b">
        <f aca="false">TRUE()</f>
        <v>1</v>
      </c>
      <c r="G1576" s="0" t="n">
        <v>21</v>
      </c>
      <c r="H1576" s="0" t="n">
        <f aca="false">_xlfn.xlookup(G1576, years!A$2:A$836, years!B$2:B$836)</f>
        <v>2018</v>
      </c>
      <c r="I1576" s="2" t="n">
        <v>79</v>
      </c>
      <c r="J1576" s="0" t="n">
        <v>0.816</v>
      </c>
      <c r="K1576" s="0" t="n">
        <v>0.726</v>
      </c>
      <c r="L1576" s="3" t="str">
        <f aca="false">IF(K1576&gt;0.66,"High",IF(K1576&gt;0.33&amp;K1576&lt;=0.66,"Medium","Low"))</f>
        <v>High</v>
      </c>
      <c r="M1576" s="0" t="n">
        <v>-3.998</v>
      </c>
      <c r="N1576" s="3" t="n">
        <v>0.129</v>
      </c>
      <c r="O1576" s="3" t="n">
        <v>0.099</v>
      </c>
      <c r="P1576" s="4" t="n">
        <v>0</v>
      </c>
      <c r="Q1576" s="3" t="n">
        <v>0.372</v>
      </c>
      <c r="R1576" s="3" t="n">
        <v>0.65</v>
      </c>
      <c r="S1576" s="3" t="str">
        <f aca="false">IF(R1576 &gt;= 0.5, "Positive", "Negative")</f>
        <v>Positive</v>
      </c>
      <c r="T1576" s="2" t="n">
        <v>136.048</v>
      </c>
      <c r="U1576" s="0" t="s">
        <v>24</v>
      </c>
    </row>
    <row r="1577" customFormat="false" ht="14.25" hidden="false" customHeight="false" outlineLevel="0" collapsed="false">
      <c r="A1577" s="0" t="n">
        <v>822</v>
      </c>
      <c r="B1577" s="0" t="str">
        <f aca="false">_xlfn.xlookup(A1577, artists!A$2:A$836, artists!B$2:B$836)</f>
        <v>DaBaby</v>
      </c>
      <c r="C1577" s="1" t="s">
        <v>1600</v>
      </c>
      <c r="D1577" s="2" t="n">
        <v>163320</v>
      </c>
      <c r="E1577" s="2" t="n">
        <f aca="false">D1577/1000</f>
        <v>163.32</v>
      </c>
      <c r="F1577" s="10" t="b">
        <f aca="false">TRUE()</f>
        <v>1</v>
      </c>
      <c r="G1577" s="0" t="n">
        <v>22</v>
      </c>
      <c r="H1577" s="0" t="n">
        <f aca="false">_xlfn.xlookup(G1577, years!A$2:A$836, years!B$2:B$836)</f>
        <v>2019</v>
      </c>
      <c r="I1577" s="2" t="n">
        <v>72</v>
      </c>
      <c r="J1577" s="0" t="n">
        <v>0.876</v>
      </c>
      <c r="K1577" s="0" t="n">
        <v>0.662</v>
      </c>
      <c r="L1577" s="3" t="str">
        <f aca="false">IF(K1577&gt;0.66,"High",IF(K1577&gt;0.33&amp;K1577&lt;=0.66,"Medium","Low"))</f>
        <v>High</v>
      </c>
      <c r="M1577" s="0" t="n">
        <v>-6.482</v>
      </c>
      <c r="N1577" s="3" t="n">
        <v>0.426</v>
      </c>
      <c r="O1577" s="3" t="n">
        <v>0.0608</v>
      </c>
      <c r="P1577" s="4" t="n">
        <v>0</v>
      </c>
      <c r="Q1577" s="3" t="n">
        <v>0.127</v>
      </c>
      <c r="R1577" s="3" t="n">
        <v>0.844</v>
      </c>
      <c r="S1577" s="3" t="str">
        <f aca="false">IF(R1577 &gt;= 0.5, "Positive", "Negative")</f>
        <v>Positive</v>
      </c>
      <c r="T1577" s="2" t="n">
        <v>75.445</v>
      </c>
      <c r="U1577" s="0" t="s">
        <v>29</v>
      </c>
    </row>
    <row r="1578" customFormat="false" ht="14.25" hidden="false" customHeight="false" outlineLevel="0" collapsed="false">
      <c r="A1578" s="0" t="n">
        <v>176</v>
      </c>
      <c r="B1578" s="0" t="str">
        <f aca="false">_xlfn.xlookup(A1578, artists!A$2:A$836, artists!B$2:B$836)</f>
        <v>Justin Timberlake</v>
      </c>
      <c r="C1578" s="1" t="s">
        <v>1601</v>
      </c>
      <c r="D1578" s="2" t="n">
        <v>326280</v>
      </c>
      <c r="E1578" s="2" t="n">
        <f aca="false">D1578/1000</f>
        <v>326.28</v>
      </c>
      <c r="F1578" s="10" t="b">
        <f aca="false">TRUE()</f>
        <v>1</v>
      </c>
      <c r="G1578" s="0" t="n">
        <v>16</v>
      </c>
      <c r="H1578" s="0" t="n">
        <f aca="false">_xlfn.xlookup(G1578, years!A$2:A$836, years!B$2:B$836)</f>
        <v>2013</v>
      </c>
      <c r="I1578" s="2" t="n">
        <v>67</v>
      </c>
      <c r="J1578" s="0" t="n">
        <v>0.795</v>
      </c>
      <c r="K1578" s="0" t="n">
        <v>0.596</v>
      </c>
      <c r="L1578" s="3" t="str">
        <f aca="false">IF(K1578&gt;0.66,"High",IF(K1578&gt;0.33&amp;K1578&lt;=0.66,"Medium","Low"))</f>
        <v>Low</v>
      </c>
      <c r="M1578" s="0" t="n">
        <v>-3.799</v>
      </c>
      <c r="N1578" s="3" t="n">
        <v>0.219</v>
      </c>
      <c r="O1578" s="3" t="n">
        <v>0.103</v>
      </c>
      <c r="P1578" s="4" t="n">
        <v>0</v>
      </c>
      <c r="Q1578" s="3" t="n">
        <v>0.164</v>
      </c>
      <c r="R1578" s="3" t="n">
        <v>0.357</v>
      </c>
      <c r="S1578" s="3" t="str">
        <f aca="false">IF(R1578 &gt;= 0.5, "Positive", "Negative")</f>
        <v>Negative</v>
      </c>
      <c r="T1578" s="2" t="n">
        <v>101.985</v>
      </c>
      <c r="U1578" s="0" t="s">
        <v>39</v>
      </c>
    </row>
    <row r="1579" customFormat="false" ht="14.25" hidden="false" customHeight="false" outlineLevel="0" collapsed="false">
      <c r="A1579" s="0" t="n">
        <v>372</v>
      </c>
      <c r="B1579" s="0" t="str">
        <f aca="false">_xlfn.xlookup(A1579, artists!A$2:A$836, artists!B$2:B$836)</f>
        <v>Calvin Harris</v>
      </c>
      <c r="C1579" s="1" t="s">
        <v>1602</v>
      </c>
      <c r="D1579" s="2" t="n">
        <v>224506</v>
      </c>
      <c r="E1579" s="2" t="n">
        <f aca="false">D1579/1000</f>
        <v>224.506</v>
      </c>
      <c r="F1579" s="10" t="b">
        <f aca="false">FALSE()</f>
        <v>0</v>
      </c>
      <c r="G1579" s="0" t="n">
        <v>17</v>
      </c>
      <c r="H1579" s="0" t="n">
        <f aca="false">_xlfn.xlookup(G1579, years!A$2:A$836, years!B$2:B$836)</f>
        <v>2014</v>
      </c>
      <c r="I1579" s="2" t="n">
        <v>21</v>
      </c>
      <c r="J1579" s="0" t="n">
        <v>0.603</v>
      </c>
      <c r="K1579" s="0" t="n">
        <v>0.861</v>
      </c>
      <c r="L1579" s="3" t="str">
        <f aca="false">IF(K1579&gt;0.66,"High",IF(K1579&gt;0.33&amp;K1579&lt;=0.66,"Medium","Low"))</f>
        <v>High</v>
      </c>
      <c r="M1579" s="0" t="n">
        <v>-3.565</v>
      </c>
      <c r="N1579" s="3" t="n">
        <v>0.0325</v>
      </c>
      <c r="O1579" s="3" t="n">
        <v>0.0215</v>
      </c>
      <c r="P1579" s="4" t="n">
        <v>0.043</v>
      </c>
      <c r="Q1579" s="3" t="n">
        <v>0.1</v>
      </c>
      <c r="R1579" s="3" t="n">
        <v>0.72</v>
      </c>
      <c r="S1579" s="3" t="str">
        <f aca="false">IF(R1579 &gt;= 0.5, "Positive", "Negative")</f>
        <v>Positive</v>
      </c>
      <c r="T1579" s="2" t="n">
        <v>127.962</v>
      </c>
      <c r="U1579" s="0" t="s">
        <v>53</v>
      </c>
    </row>
    <row r="1580" customFormat="false" ht="14.25" hidden="false" customHeight="false" outlineLevel="0" collapsed="false">
      <c r="A1580" s="0" t="n">
        <v>176</v>
      </c>
      <c r="B1580" s="0" t="str">
        <f aca="false">_xlfn.xlookup(A1580, artists!A$2:A$836, artists!B$2:B$836)</f>
        <v>Justin Timberlake</v>
      </c>
      <c r="C1580" s="1" t="s">
        <v>1603</v>
      </c>
      <c r="D1580" s="2" t="n">
        <v>252973</v>
      </c>
      <c r="E1580" s="2" t="n">
        <f aca="false">D1580/1000</f>
        <v>252.973</v>
      </c>
      <c r="F1580" s="10" t="b">
        <f aca="false">FALSE()</f>
        <v>0</v>
      </c>
      <c r="G1580" s="0" t="n">
        <v>9</v>
      </c>
      <c r="H1580" s="0" t="n">
        <f aca="false">_xlfn.xlookup(G1580, years!A$2:A$836, years!B$2:B$836)</f>
        <v>2006</v>
      </c>
      <c r="I1580" s="2" t="n">
        <v>66</v>
      </c>
      <c r="J1580" s="0" t="n">
        <v>0.606</v>
      </c>
      <c r="K1580" s="0" t="n">
        <v>0.591</v>
      </c>
      <c r="L1580" s="3" t="str">
        <f aca="false">IF(K1580&gt;0.66,"High",IF(K1580&gt;0.33&amp;K1580&lt;=0.66,"Medium","Low"))</f>
        <v>Low</v>
      </c>
      <c r="M1580" s="0" t="n">
        <v>-7.228</v>
      </c>
      <c r="N1580" s="3" t="n">
        <v>0.087</v>
      </c>
      <c r="O1580" s="3" t="n">
        <v>0.0756</v>
      </c>
      <c r="P1580" s="4" t="n">
        <v>0</v>
      </c>
      <c r="Q1580" s="3" t="n">
        <v>0.328</v>
      </c>
      <c r="R1580" s="3" t="n">
        <v>0.477</v>
      </c>
      <c r="S1580" s="3" t="str">
        <f aca="false">IF(R1580 &gt;= 0.5, "Positive", "Negative")</f>
        <v>Negative</v>
      </c>
      <c r="T1580" s="2" t="n">
        <v>95.802</v>
      </c>
      <c r="U1580" s="0" t="s">
        <v>39</v>
      </c>
    </row>
    <row r="1581" customFormat="false" ht="14.25" hidden="false" customHeight="false" outlineLevel="0" collapsed="false">
      <c r="A1581" s="0" t="n">
        <v>561</v>
      </c>
      <c r="B1581" s="0" t="str">
        <f aca="false">_xlfn.xlookup(A1581, artists!A$2:A$836, artists!B$2:B$836)</f>
        <v>Lana Del Rey</v>
      </c>
      <c r="C1581" s="1" t="s">
        <v>1604</v>
      </c>
      <c r="D1581" s="2" t="n">
        <v>214912</v>
      </c>
      <c r="E1581" s="2" t="n">
        <f aca="false">D1581/1000</f>
        <v>214.912</v>
      </c>
      <c r="F1581" s="10" t="b">
        <f aca="false">FALSE()</f>
        <v>0</v>
      </c>
      <c r="G1581" s="0" t="n">
        <v>16</v>
      </c>
      <c r="H1581" s="0" t="n">
        <f aca="false">_xlfn.xlookup(G1581, years!A$2:A$836, years!B$2:B$836)</f>
        <v>2013</v>
      </c>
      <c r="I1581" s="2" t="n">
        <v>72</v>
      </c>
      <c r="J1581" s="0" t="n">
        <v>0.572</v>
      </c>
      <c r="K1581" s="0" t="n">
        <v>0.81</v>
      </c>
      <c r="L1581" s="3" t="str">
        <f aca="false">IF(K1581&gt;0.66,"High",IF(K1581&gt;0.33&amp;K1581&lt;=0.66,"Medium","Low"))</f>
        <v>High</v>
      </c>
      <c r="M1581" s="0" t="n">
        <v>-5.791</v>
      </c>
      <c r="N1581" s="3" t="n">
        <v>0.0558</v>
      </c>
      <c r="O1581" s="3" t="n">
        <v>0.0157</v>
      </c>
      <c r="P1581" s="4" t="n">
        <v>6.53E-006</v>
      </c>
      <c r="Q1581" s="3" t="n">
        <v>0.13</v>
      </c>
      <c r="R1581" s="3" t="n">
        <v>0.11</v>
      </c>
      <c r="S1581" s="3" t="str">
        <f aca="false">IF(R1581 &gt;= 0.5, "Positive", "Negative")</f>
        <v>Negative</v>
      </c>
      <c r="T1581" s="2" t="n">
        <v>126.052</v>
      </c>
      <c r="U1581" s="0" t="s">
        <v>39</v>
      </c>
    </row>
    <row r="1582" customFormat="false" ht="14.25" hidden="false" customHeight="false" outlineLevel="0" collapsed="false">
      <c r="A1582" s="0" t="n">
        <v>746</v>
      </c>
      <c r="B1582" s="0" t="str">
        <f aca="false">_xlfn.xlookup(A1582, artists!A$2:A$836, artists!B$2:B$836)</f>
        <v>Post Malone</v>
      </c>
      <c r="C1582" s="1" t="s">
        <v>1605</v>
      </c>
      <c r="D1582" s="2" t="n">
        <v>157560</v>
      </c>
      <c r="E1582" s="2" t="n">
        <f aca="false">D1582/1000</f>
        <v>157.56</v>
      </c>
      <c r="F1582" s="10" t="b">
        <f aca="false">FALSE()</f>
        <v>0</v>
      </c>
      <c r="G1582" s="0" t="n">
        <v>22</v>
      </c>
      <c r="H1582" s="0" t="n">
        <f aca="false">_xlfn.xlookup(G1582, years!A$2:A$836, years!B$2:B$836)</f>
        <v>2019</v>
      </c>
      <c r="I1582" s="2" t="n">
        <v>79</v>
      </c>
      <c r="J1582" s="0" t="n">
        <v>0.755</v>
      </c>
      <c r="K1582" s="0" t="n">
        <v>0.522</v>
      </c>
      <c r="L1582" s="3" t="str">
        <f aca="false">IF(K1582&gt;0.66,"High",IF(K1582&gt;0.33&amp;K1582&lt;=0.66,"Medium","Low"))</f>
        <v>Low</v>
      </c>
      <c r="M1582" s="0" t="n">
        <v>-4.368</v>
      </c>
      <c r="N1582" s="3" t="n">
        <v>0.0575</v>
      </c>
      <c r="O1582" s="3" t="n">
        <v>0.533</v>
      </c>
      <c r="P1582" s="4" t="n">
        <v>0</v>
      </c>
      <c r="Q1582" s="3" t="n">
        <v>0.0685</v>
      </c>
      <c r="R1582" s="3" t="n">
        <v>0.925</v>
      </c>
      <c r="S1582" s="3" t="str">
        <f aca="false">IF(R1582 &gt;= 0.5, "Positive", "Negative")</f>
        <v>Positive</v>
      </c>
      <c r="T1582" s="2" t="n">
        <v>89.96</v>
      </c>
      <c r="U1582" s="0" t="s">
        <v>29</v>
      </c>
    </row>
    <row r="1583" customFormat="false" ht="14.25" hidden="false" customHeight="false" outlineLevel="0" collapsed="false">
      <c r="A1583" s="0" t="n">
        <v>207</v>
      </c>
      <c r="B1583" s="0" t="str">
        <f aca="false">_xlfn.xlookup(A1583, artists!A$2:A$836, artists!B$2:B$836)</f>
        <v>Simply Red</v>
      </c>
      <c r="C1583" s="1" t="s">
        <v>1606</v>
      </c>
      <c r="D1583" s="2" t="n">
        <v>199040</v>
      </c>
      <c r="E1583" s="2" t="n">
        <f aca="false">D1583/1000</f>
        <v>199.04</v>
      </c>
      <c r="F1583" s="10" t="b">
        <f aca="false">FALSE()</f>
        <v>0</v>
      </c>
      <c r="G1583" s="0" t="n">
        <v>11</v>
      </c>
      <c r="H1583" s="0" t="n">
        <f aca="false">_xlfn.xlookup(G1583, years!A$2:A$836, years!B$2:B$836)</f>
        <v>2008</v>
      </c>
      <c r="I1583" s="2" t="n">
        <v>58</v>
      </c>
      <c r="J1583" s="0" t="n">
        <v>0.791</v>
      </c>
      <c r="K1583" s="0" t="n">
        <v>0.733</v>
      </c>
      <c r="L1583" s="3" t="str">
        <f aca="false">IF(K1583&gt;0.66,"High",IF(K1583&gt;0.33&amp;K1583&lt;=0.66,"Medium","Low"))</f>
        <v>High</v>
      </c>
      <c r="M1583" s="0" t="n">
        <v>-5.123</v>
      </c>
      <c r="N1583" s="3" t="n">
        <v>0.029</v>
      </c>
      <c r="O1583" s="3" t="n">
        <v>0.00189</v>
      </c>
      <c r="P1583" s="4" t="n">
        <v>0.201</v>
      </c>
      <c r="Q1583" s="3" t="n">
        <v>0.0859</v>
      </c>
      <c r="R1583" s="3" t="n">
        <v>0.917</v>
      </c>
      <c r="S1583" s="3" t="str">
        <f aca="false">IF(R1583 &gt;= 0.5, "Positive", "Negative")</f>
        <v>Positive</v>
      </c>
      <c r="T1583" s="2" t="n">
        <v>105.987</v>
      </c>
      <c r="U1583" s="0" t="s">
        <v>1607</v>
      </c>
    </row>
    <row r="1584" customFormat="false" ht="14.25" hidden="false" customHeight="false" outlineLevel="0" collapsed="false">
      <c r="A1584" s="0" t="n">
        <v>674</v>
      </c>
      <c r="B1584" s="0" t="str">
        <f aca="false">_xlfn.xlookup(A1584, artists!A$2:A$836, artists!B$2:B$836)</f>
        <v>Petit Biscuit</v>
      </c>
      <c r="C1584" s="1" t="s">
        <v>1608</v>
      </c>
      <c r="D1584" s="2" t="n">
        <v>237792</v>
      </c>
      <c r="E1584" s="2" t="n">
        <f aca="false">D1584/1000</f>
        <v>237.792</v>
      </c>
      <c r="F1584" s="10" t="b">
        <f aca="false">FALSE()</f>
        <v>0</v>
      </c>
      <c r="G1584" s="0" t="n">
        <v>18</v>
      </c>
      <c r="H1584" s="0" t="n">
        <f aca="false">_xlfn.xlookup(G1584, years!A$2:A$836, years!B$2:B$836)</f>
        <v>2015</v>
      </c>
      <c r="I1584" s="2" t="n">
        <v>71</v>
      </c>
      <c r="J1584" s="0" t="n">
        <v>0.783</v>
      </c>
      <c r="K1584" s="0" t="n">
        <v>0.467</v>
      </c>
      <c r="L1584" s="3" t="str">
        <f aca="false">IF(K1584&gt;0.66,"High",IF(K1584&gt;0.33&amp;K1584&lt;=0.66,"Medium","Low"))</f>
        <v>Low</v>
      </c>
      <c r="M1584" s="0" t="n">
        <v>-9.474</v>
      </c>
      <c r="N1584" s="3" t="n">
        <v>0.0503</v>
      </c>
      <c r="O1584" s="3" t="n">
        <v>0.729</v>
      </c>
      <c r="P1584" s="4" t="n">
        <v>0.809</v>
      </c>
      <c r="Q1584" s="3" t="n">
        <v>0.109</v>
      </c>
      <c r="R1584" s="3" t="n">
        <v>0.236</v>
      </c>
      <c r="S1584" s="3" t="str">
        <f aca="false">IF(R1584 &gt;= 0.5, "Positive", "Negative")</f>
        <v>Negative</v>
      </c>
      <c r="T1584" s="2" t="n">
        <v>90.838</v>
      </c>
      <c r="U1584" s="0" t="s">
        <v>48</v>
      </c>
    </row>
    <row r="1585" customFormat="false" ht="14.25" hidden="false" customHeight="false" outlineLevel="0" collapsed="false">
      <c r="A1585" s="0" t="n">
        <v>262</v>
      </c>
      <c r="B1585" s="0" t="str">
        <f aca="false">_xlfn.xlookup(A1585, artists!A$2:A$836, artists!B$2:B$836)</f>
        <v>Twista</v>
      </c>
      <c r="C1585" s="1" t="s">
        <v>1609</v>
      </c>
      <c r="D1585" s="2" t="n">
        <v>226013</v>
      </c>
      <c r="E1585" s="2" t="n">
        <f aca="false">D1585/1000</f>
        <v>226.013</v>
      </c>
      <c r="F1585" s="10" t="b">
        <f aca="false">TRUE()</f>
        <v>1</v>
      </c>
      <c r="G1585" s="0" t="n">
        <v>7</v>
      </c>
      <c r="H1585" s="0" t="n">
        <f aca="false">_xlfn.xlookup(G1585, years!A$2:A$836, years!B$2:B$836)</f>
        <v>2004</v>
      </c>
      <c r="I1585" s="2" t="n">
        <v>56</v>
      </c>
      <c r="J1585" s="0" t="n">
        <v>0.926</v>
      </c>
      <c r="K1585" s="0" t="n">
        <v>0.888</v>
      </c>
      <c r="L1585" s="3" t="str">
        <f aca="false">IF(K1585&gt;0.66,"High",IF(K1585&gt;0.33&amp;K1585&lt;=0.66,"Medium","Low"))</f>
        <v>High</v>
      </c>
      <c r="M1585" s="0" t="n">
        <v>-5.337</v>
      </c>
      <c r="N1585" s="3" t="n">
        <v>0.294</v>
      </c>
      <c r="O1585" s="3" t="n">
        <v>0.261</v>
      </c>
      <c r="P1585" s="4" t="n">
        <v>0</v>
      </c>
      <c r="Q1585" s="3" t="n">
        <v>0.348</v>
      </c>
      <c r="R1585" s="3" t="n">
        <v>0.819</v>
      </c>
      <c r="S1585" s="3" t="str">
        <f aca="false">IF(R1585 &gt;= 0.5, "Positive", "Negative")</f>
        <v>Positive</v>
      </c>
      <c r="T1585" s="2" t="n">
        <v>98.523</v>
      </c>
      <c r="U1585" s="0" t="s">
        <v>31</v>
      </c>
    </row>
    <row r="1586" customFormat="false" ht="14.25" hidden="false" customHeight="false" outlineLevel="0" collapsed="false">
      <c r="A1586" s="0" t="n">
        <v>268</v>
      </c>
      <c r="B1586" s="0" t="str">
        <f aca="false">_xlfn.xlookup(A1586, artists!A$2:A$836, artists!B$2:B$836)</f>
        <v>Lil' Flip</v>
      </c>
      <c r="C1586" s="1" t="s">
        <v>1610</v>
      </c>
      <c r="D1586" s="2" t="n">
        <v>225173</v>
      </c>
      <c r="E1586" s="2" t="n">
        <f aca="false">D1586/1000</f>
        <v>225.173</v>
      </c>
      <c r="F1586" s="10" t="b">
        <f aca="false">TRUE()</f>
        <v>1</v>
      </c>
      <c r="G1586" s="0" t="n">
        <v>7</v>
      </c>
      <c r="H1586" s="0" t="n">
        <f aca="false">_xlfn.xlookup(G1586, years!A$2:A$836, years!B$2:B$836)</f>
        <v>2004</v>
      </c>
      <c r="I1586" s="2" t="n">
        <v>42</v>
      </c>
      <c r="J1586" s="0" t="n">
        <v>0.814</v>
      </c>
      <c r="K1586" s="0" t="n">
        <v>0.387</v>
      </c>
      <c r="L1586" s="3" t="str">
        <f aca="false">IF(K1586&gt;0.66,"High",IF(K1586&gt;0.33&amp;K1586&lt;=0.66,"Medium","Low"))</f>
        <v>Low</v>
      </c>
      <c r="M1586" s="0" t="n">
        <v>-9.867</v>
      </c>
      <c r="N1586" s="3" t="n">
        <v>0.0946</v>
      </c>
      <c r="O1586" s="3" t="n">
        <v>0.0248</v>
      </c>
      <c r="P1586" s="4" t="n">
        <v>0</v>
      </c>
      <c r="Q1586" s="3" t="n">
        <v>0.131</v>
      </c>
      <c r="R1586" s="3" t="n">
        <v>0.792</v>
      </c>
      <c r="S1586" s="3" t="str">
        <f aca="false">IF(R1586 &gt;= 0.5, "Positive", "Negative")</f>
        <v>Positive</v>
      </c>
      <c r="T1586" s="2" t="n">
        <v>93.961</v>
      </c>
      <c r="U1586" s="0" t="s">
        <v>24</v>
      </c>
    </row>
    <row r="1587" customFormat="false" ht="14.25" hidden="false" customHeight="false" outlineLevel="0" collapsed="false">
      <c r="A1587" s="0" t="n">
        <v>526</v>
      </c>
      <c r="B1587" s="0" t="str">
        <f aca="false">_xlfn.xlookup(A1587, artists!A$2:A$836, artists!B$2:B$836)</f>
        <v>Nicki Minaj</v>
      </c>
      <c r="C1587" s="1" t="s">
        <v>1611</v>
      </c>
      <c r="D1587" s="2" t="n">
        <v>200013</v>
      </c>
      <c r="E1587" s="2" t="n">
        <f aca="false">D1587/1000</f>
        <v>200.013</v>
      </c>
      <c r="F1587" s="10" t="b">
        <f aca="false">TRUE()</f>
        <v>1</v>
      </c>
      <c r="G1587" s="0" t="n">
        <v>13</v>
      </c>
      <c r="H1587" s="0" t="n">
        <f aca="false">_xlfn.xlookup(G1587, years!A$2:A$836, years!B$2:B$836)</f>
        <v>2010</v>
      </c>
      <c r="I1587" s="2" t="n">
        <v>0</v>
      </c>
      <c r="J1587" s="0" t="n">
        <v>0.72</v>
      </c>
      <c r="K1587" s="0" t="n">
        <v>0.861</v>
      </c>
      <c r="L1587" s="3" t="str">
        <f aca="false">IF(K1587&gt;0.66,"High",IF(K1587&gt;0.33&amp;K1587&lt;=0.66,"Medium","Low"))</f>
        <v>High</v>
      </c>
      <c r="M1587" s="0" t="n">
        <v>-4.339</v>
      </c>
      <c r="N1587" s="3" t="n">
        <v>0.209</v>
      </c>
      <c r="O1587" s="3" t="n">
        <v>0.269</v>
      </c>
      <c r="P1587" s="4" t="n">
        <v>5.11E-006</v>
      </c>
      <c r="Q1587" s="3" t="n">
        <v>0.601</v>
      </c>
      <c r="R1587" s="3" t="n">
        <v>0.669</v>
      </c>
      <c r="S1587" s="3" t="str">
        <f aca="false">IF(R1587 &gt;= 0.5, "Positive", "Negative")</f>
        <v>Positive</v>
      </c>
      <c r="T1587" s="2" t="n">
        <v>126.991</v>
      </c>
      <c r="U1587" s="0" t="s">
        <v>24</v>
      </c>
    </row>
    <row r="1588" customFormat="false" ht="14.25" hidden="false" customHeight="false" outlineLevel="0" collapsed="false">
      <c r="A1588" s="0" t="n">
        <v>553</v>
      </c>
      <c r="B1588" s="0" t="str">
        <f aca="false">_xlfn.xlookup(A1588, artists!A$2:A$836, artists!B$2:B$836)</f>
        <v>The Script</v>
      </c>
      <c r="C1588" s="1" t="s">
        <v>1612</v>
      </c>
      <c r="D1588" s="2" t="n">
        <v>245466</v>
      </c>
      <c r="E1588" s="2" t="n">
        <f aca="false">D1588/1000</f>
        <v>245.466</v>
      </c>
      <c r="F1588" s="10" t="b">
        <f aca="false">FALSE()</f>
        <v>0</v>
      </c>
      <c r="G1588" s="0" t="n">
        <v>17</v>
      </c>
      <c r="H1588" s="0" t="n">
        <f aca="false">_xlfn.xlookup(G1588, years!A$2:A$836, years!B$2:B$836)</f>
        <v>2014</v>
      </c>
      <c r="I1588" s="2" t="n">
        <v>74</v>
      </c>
      <c r="J1588" s="0" t="n">
        <v>0.49</v>
      </c>
      <c r="K1588" s="0" t="n">
        <v>0.885</v>
      </c>
      <c r="L1588" s="3" t="str">
        <f aca="false">IF(K1588&gt;0.66,"High",IF(K1588&gt;0.33&amp;K1588&lt;=0.66,"Medium","Low"))</f>
        <v>High</v>
      </c>
      <c r="M1588" s="0" t="n">
        <v>-4.121</v>
      </c>
      <c r="N1588" s="3" t="n">
        <v>0.0396</v>
      </c>
      <c r="O1588" s="3" t="n">
        <v>0.00218</v>
      </c>
      <c r="P1588" s="4" t="n">
        <v>0</v>
      </c>
      <c r="Q1588" s="3" t="n">
        <v>0.0741</v>
      </c>
      <c r="R1588" s="3" t="n">
        <v>0.64</v>
      </c>
      <c r="S1588" s="3" t="str">
        <f aca="false">IF(R1588 &gt;= 0.5, "Positive", "Negative")</f>
        <v>Positive</v>
      </c>
      <c r="T1588" s="2" t="n">
        <v>166.996</v>
      </c>
      <c r="U1588" s="0" t="s">
        <v>210</v>
      </c>
    </row>
    <row r="1589" customFormat="false" ht="14.25" hidden="false" customHeight="false" outlineLevel="0" collapsed="false">
      <c r="A1589" s="0" t="n">
        <v>323</v>
      </c>
      <c r="B1589" s="0" t="str">
        <f aca="false">_xlfn.xlookup(A1589, artists!A$2:A$836, artists!B$2:B$836)</f>
        <v>Muse</v>
      </c>
      <c r="C1589" s="1" t="s">
        <v>1613</v>
      </c>
      <c r="D1589" s="2" t="n">
        <v>212439</v>
      </c>
      <c r="E1589" s="2" t="n">
        <f aca="false">D1589/1000</f>
        <v>212.439</v>
      </c>
      <c r="F1589" s="10" t="b">
        <f aca="false">FALSE()</f>
        <v>0</v>
      </c>
      <c r="G1589" s="0" t="n">
        <v>9</v>
      </c>
      <c r="H1589" s="0" t="n">
        <f aca="false">_xlfn.xlookup(G1589, years!A$2:A$836, years!B$2:B$836)</f>
        <v>2006</v>
      </c>
      <c r="I1589" s="2" t="n">
        <v>75</v>
      </c>
      <c r="J1589" s="0" t="n">
        <v>0.668</v>
      </c>
      <c r="K1589" s="0" t="n">
        <v>0.921</v>
      </c>
      <c r="L1589" s="3" t="str">
        <f aca="false">IF(K1589&gt;0.66,"High",IF(K1589&gt;0.33&amp;K1589&lt;=0.66,"Medium","Low"))</f>
        <v>High</v>
      </c>
      <c r="M1589" s="0" t="n">
        <v>-3.727</v>
      </c>
      <c r="N1589" s="3" t="n">
        <v>0.0439</v>
      </c>
      <c r="O1589" s="3" t="n">
        <v>0.0492</v>
      </c>
      <c r="P1589" s="4" t="n">
        <v>0.00517</v>
      </c>
      <c r="Q1589" s="3" t="n">
        <v>0.0877</v>
      </c>
      <c r="R1589" s="3" t="n">
        <v>0.782</v>
      </c>
      <c r="S1589" s="3" t="str">
        <f aca="false">IF(R1589 &gt;= 0.5, "Positive", "Negative")</f>
        <v>Positive</v>
      </c>
      <c r="T1589" s="2" t="n">
        <v>120</v>
      </c>
      <c r="U1589" s="0" t="s">
        <v>43</v>
      </c>
    </row>
    <row r="1590" customFormat="false" ht="14.25" hidden="false" customHeight="false" outlineLevel="0" collapsed="false">
      <c r="A1590" s="0" t="n">
        <v>198</v>
      </c>
      <c r="B1590" s="0" t="str">
        <f aca="false">_xlfn.xlookup(A1590, artists!A$2:A$836, artists!B$2:B$836)</f>
        <v>Jamelia</v>
      </c>
      <c r="C1590" s="1" t="s">
        <v>1614</v>
      </c>
      <c r="D1590" s="2" t="n">
        <v>215480</v>
      </c>
      <c r="E1590" s="2" t="n">
        <f aca="false">D1590/1000</f>
        <v>215.48</v>
      </c>
      <c r="F1590" s="10" t="b">
        <f aca="false">FALSE()</f>
        <v>0</v>
      </c>
      <c r="G1590" s="0" t="n">
        <v>6</v>
      </c>
      <c r="H1590" s="0" t="n">
        <f aca="false">_xlfn.xlookup(G1590, years!A$2:A$836, years!B$2:B$836)</f>
        <v>2003</v>
      </c>
      <c r="I1590" s="2" t="n">
        <v>69</v>
      </c>
      <c r="J1590" s="0" t="n">
        <v>0.801</v>
      </c>
      <c r="K1590" s="0" t="n">
        <v>0.645</v>
      </c>
      <c r="L1590" s="3" t="str">
        <f aca="false">IF(K1590&gt;0.66,"High",IF(K1590&gt;0.33&amp;K1590&lt;=0.66,"Medium","Low"))</f>
        <v>Low</v>
      </c>
      <c r="M1590" s="0" t="n">
        <v>-6.93</v>
      </c>
      <c r="N1590" s="3" t="n">
        <v>0.0356</v>
      </c>
      <c r="O1590" s="3" t="n">
        <v>0.0457</v>
      </c>
      <c r="P1590" s="4" t="n">
        <v>0</v>
      </c>
      <c r="Q1590" s="3" t="n">
        <v>0.0357</v>
      </c>
      <c r="R1590" s="3" t="n">
        <v>0.824</v>
      </c>
      <c r="S1590" s="3" t="str">
        <f aca="false">IF(R1590 &gt;= 0.5, "Positive", "Negative")</f>
        <v>Positive</v>
      </c>
      <c r="T1590" s="2" t="n">
        <v>110.01</v>
      </c>
      <c r="U1590" s="0" t="s">
        <v>39</v>
      </c>
    </row>
    <row r="1591" customFormat="false" ht="14.25" hidden="false" customHeight="false" outlineLevel="0" collapsed="false">
      <c r="A1591" s="0" t="n">
        <v>435</v>
      </c>
      <c r="B1591" s="0" t="str">
        <f aca="false">_xlfn.xlookup(A1591, artists!A$2:A$836, artists!B$2:B$836)</f>
        <v>Lupe Fiasco</v>
      </c>
      <c r="C1591" s="1" t="s">
        <v>1615</v>
      </c>
      <c r="D1591" s="2" t="n">
        <v>289000</v>
      </c>
      <c r="E1591" s="2" t="n">
        <f aca="false">D1591/1000</f>
        <v>289</v>
      </c>
      <c r="F1591" s="10" t="b">
        <f aca="false">FALSE()</f>
        <v>0</v>
      </c>
      <c r="G1591" s="0" t="n">
        <v>10</v>
      </c>
      <c r="H1591" s="0" t="n">
        <f aca="false">_xlfn.xlookup(G1591, years!A$2:A$836, years!B$2:B$836)</f>
        <v>2007</v>
      </c>
      <c r="I1591" s="2" t="n">
        <v>64</v>
      </c>
      <c r="J1591" s="0" t="n">
        <v>0.572</v>
      </c>
      <c r="K1591" s="0" t="n">
        <v>0.822</v>
      </c>
      <c r="L1591" s="3" t="str">
        <f aca="false">IF(K1591&gt;0.66,"High",IF(K1591&gt;0.33&amp;K1591&lt;=0.66,"Medium","Low"))</f>
        <v>High</v>
      </c>
      <c r="M1591" s="0" t="n">
        <v>-6.015</v>
      </c>
      <c r="N1591" s="3" t="n">
        <v>0.361</v>
      </c>
      <c r="O1591" s="3" t="n">
        <v>0.207</v>
      </c>
      <c r="P1591" s="4" t="n">
        <v>0</v>
      </c>
      <c r="Q1591" s="3" t="n">
        <v>0.359</v>
      </c>
      <c r="R1591" s="3" t="n">
        <v>0.472</v>
      </c>
      <c r="S1591" s="3" t="str">
        <f aca="false">IF(R1591 &gt;= 0.5, "Positive", "Negative")</f>
        <v>Negative</v>
      </c>
      <c r="T1591" s="2" t="n">
        <v>94.812</v>
      </c>
      <c r="U1591" s="0" t="s">
        <v>24</v>
      </c>
    </row>
    <row r="1592" customFormat="false" ht="14.25" hidden="false" customHeight="false" outlineLevel="0" collapsed="false">
      <c r="A1592" s="0" t="n">
        <v>530</v>
      </c>
      <c r="B1592" s="0" t="str">
        <f aca="false">_xlfn.xlookup(A1592, artists!A$2:A$836, artists!B$2:B$836)</f>
        <v>Blake Shelton</v>
      </c>
      <c r="C1592" s="1" t="s">
        <v>1616</v>
      </c>
      <c r="D1592" s="2" t="n">
        <v>215720</v>
      </c>
      <c r="E1592" s="2" t="n">
        <f aca="false">D1592/1000</f>
        <v>215.72</v>
      </c>
      <c r="F1592" s="10" t="b">
        <f aca="false">FALSE()</f>
        <v>0</v>
      </c>
      <c r="G1592" s="0" t="n">
        <v>16</v>
      </c>
      <c r="H1592" s="0" t="n">
        <f aca="false">_xlfn.xlookup(G1592, years!A$2:A$836, years!B$2:B$836)</f>
        <v>2013</v>
      </c>
      <c r="I1592" s="2" t="n">
        <v>56</v>
      </c>
      <c r="J1592" s="0" t="n">
        <v>0.576</v>
      </c>
      <c r="K1592" s="0" t="n">
        <v>0.726</v>
      </c>
      <c r="L1592" s="3" t="str">
        <f aca="false">IF(K1592&gt;0.66,"High",IF(K1592&gt;0.33&amp;K1592&lt;=0.66,"Medium","Low"))</f>
        <v>High</v>
      </c>
      <c r="M1592" s="0" t="n">
        <v>-4.625</v>
      </c>
      <c r="N1592" s="3" t="n">
        <v>0.035</v>
      </c>
      <c r="O1592" s="3" t="n">
        <v>0.255</v>
      </c>
      <c r="P1592" s="4" t="n">
        <v>0</v>
      </c>
      <c r="Q1592" s="3" t="n">
        <v>0.108</v>
      </c>
      <c r="R1592" s="3" t="n">
        <v>0.582</v>
      </c>
      <c r="S1592" s="3" t="str">
        <f aca="false">IF(R1592 &gt;= 0.5, "Positive", "Negative")</f>
        <v>Positive</v>
      </c>
      <c r="T1592" s="2" t="n">
        <v>136.802</v>
      </c>
      <c r="U1592" s="0" t="s">
        <v>150</v>
      </c>
    </row>
    <row r="1593" customFormat="false" ht="14.25" hidden="false" customHeight="false" outlineLevel="0" collapsed="false">
      <c r="A1593" s="0" t="n">
        <v>520</v>
      </c>
      <c r="B1593" s="0" t="str">
        <f aca="false">_xlfn.xlookup(A1593, artists!A$2:A$836, artists!B$2:B$836)</f>
        <v>Miguel</v>
      </c>
      <c r="C1593" s="1" t="s">
        <v>1617</v>
      </c>
      <c r="D1593" s="2" t="n">
        <v>195373</v>
      </c>
      <c r="E1593" s="2" t="n">
        <f aca="false">D1593/1000</f>
        <v>195.373</v>
      </c>
      <c r="F1593" s="10" t="b">
        <f aca="false">FALSE()</f>
        <v>0</v>
      </c>
      <c r="G1593" s="0" t="n">
        <v>13</v>
      </c>
      <c r="H1593" s="0" t="n">
        <f aca="false">_xlfn.xlookup(G1593, years!A$2:A$836, years!B$2:B$836)</f>
        <v>2010</v>
      </c>
      <c r="I1593" s="2" t="n">
        <v>78</v>
      </c>
      <c r="J1593" s="0" t="n">
        <v>0.684</v>
      </c>
      <c r="K1593" s="0" t="n">
        <v>0.607</v>
      </c>
      <c r="L1593" s="3" t="str">
        <f aca="false">IF(K1593&gt;0.66,"High",IF(K1593&gt;0.33&amp;K1593&lt;=0.66,"Medium","Low"))</f>
        <v>Low</v>
      </c>
      <c r="M1593" s="0" t="n">
        <v>-8.127</v>
      </c>
      <c r="N1593" s="3" t="n">
        <v>0.1</v>
      </c>
      <c r="O1593" s="3" t="n">
        <v>0.0267</v>
      </c>
      <c r="P1593" s="4" t="n">
        <v>0.000307</v>
      </c>
      <c r="Q1593" s="3" t="n">
        <v>0.191</v>
      </c>
      <c r="R1593" s="3" t="n">
        <v>0.498</v>
      </c>
      <c r="S1593" s="3" t="str">
        <f aca="false">IF(R1593 &gt;= 0.5, "Positive", "Negative")</f>
        <v>Negative</v>
      </c>
      <c r="T1593" s="2" t="n">
        <v>81.001</v>
      </c>
      <c r="U1593" s="0" t="s">
        <v>33</v>
      </c>
    </row>
    <row r="1594" customFormat="false" ht="14.25" hidden="false" customHeight="false" outlineLevel="0" collapsed="false">
      <c r="A1594" s="0" t="n">
        <v>9</v>
      </c>
      <c r="B1594" s="0" t="str">
        <f aca="false">_xlfn.xlookup(A1594, artists!A$2:A$836, artists!B$2:B$836)</f>
        <v>Destiny's Child</v>
      </c>
      <c r="C1594" s="1" t="s">
        <v>1618</v>
      </c>
      <c r="D1594" s="2" t="n">
        <v>254026</v>
      </c>
      <c r="E1594" s="2" t="n">
        <f aca="false">D1594/1000</f>
        <v>254.026</v>
      </c>
      <c r="F1594" s="10" t="b">
        <f aca="false">FALSE()</f>
        <v>0</v>
      </c>
      <c r="G1594" s="0" t="n">
        <v>4</v>
      </c>
      <c r="H1594" s="0" t="n">
        <f aca="false">_xlfn.xlookup(G1594, years!A$2:A$836, years!B$2:B$836)</f>
        <v>2001</v>
      </c>
      <c r="I1594" s="2" t="n">
        <v>70</v>
      </c>
      <c r="J1594" s="0" t="n">
        <v>0.514</v>
      </c>
      <c r="K1594" s="0" t="n">
        <v>0.911</v>
      </c>
      <c r="L1594" s="3" t="str">
        <f aca="false">IF(K1594&gt;0.66,"High",IF(K1594&gt;0.33&amp;K1594&lt;=0.66,"Medium","Low"))</f>
        <v>High</v>
      </c>
      <c r="M1594" s="0" t="n">
        <v>-2.027</v>
      </c>
      <c r="N1594" s="3" t="n">
        <v>0.41</v>
      </c>
      <c r="O1594" s="3" t="n">
        <v>0.0559</v>
      </c>
      <c r="P1594" s="4" t="n">
        <v>0</v>
      </c>
      <c r="Q1594" s="3" t="n">
        <v>0.775</v>
      </c>
      <c r="R1594" s="3" t="n">
        <v>0.619</v>
      </c>
      <c r="S1594" s="3" t="str">
        <f aca="false">IF(R1594 &gt;= 0.5, "Positive", "Negative")</f>
        <v>Positive</v>
      </c>
      <c r="T1594" s="2" t="n">
        <v>161.109</v>
      </c>
      <c r="U1594" s="0" t="s">
        <v>33</v>
      </c>
    </row>
    <row r="1595" customFormat="false" ht="14.25" hidden="false" customHeight="false" outlineLevel="0" collapsed="false">
      <c r="A1595" s="0" t="n">
        <v>359</v>
      </c>
      <c r="B1595" s="0" t="str">
        <f aca="false">_xlfn.xlookup(A1595, artists!A$2:A$836, artists!B$2:B$836)</f>
        <v>Mark Ronson</v>
      </c>
      <c r="C1595" s="1" t="s">
        <v>1619</v>
      </c>
      <c r="D1595" s="2" t="n">
        <v>217466</v>
      </c>
      <c r="E1595" s="2" t="n">
        <f aca="false">D1595/1000</f>
        <v>217.466</v>
      </c>
      <c r="F1595" s="10" t="b">
        <f aca="false">FALSE()</f>
        <v>0</v>
      </c>
      <c r="G1595" s="0" t="n">
        <v>21</v>
      </c>
      <c r="H1595" s="0" t="n">
        <f aca="false">_xlfn.xlookup(G1595, years!A$2:A$836, years!B$2:B$836)</f>
        <v>2018</v>
      </c>
      <c r="I1595" s="2" t="n">
        <v>79</v>
      </c>
      <c r="J1595" s="0" t="n">
        <v>0.601</v>
      </c>
      <c r="K1595" s="0" t="n">
        <v>0.794</v>
      </c>
      <c r="L1595" s="3" t="str">
        <f aca="false">IF(K1595&gt;0.66,"High",IF(K1595&gt;0.33&amp;K1595&lt;=0.66,"Medium","Low"))</f>
        <v>High</v>
      </c>
      <c r="M1595" s="0" t="n">
        <v>-5.844</v>
      </c>
      <c r="N1595" s="3" t="n">
        <v>0.0671</v>
      </c>
      <c r="O1595" s="3" t="n">
        <v>0.00987</v>
      </c>
      <c r="P1595" s="4" t="n">
        <v>1.36E-006</v>
      </c>
      <c r="Q1595" s="3" t="n">
        <v>0.388</v>
      </c>
      <c r="R1595" s="3" t="n">
        <v>0.244</v>
      </c>
      <c r="S1595" s="3" t="str">
        <f aca="false">IF(R1595 &gt;= 0.5, "Positive", "Negative")</f>
        <v>Negative</v>
      </c>
      <c r="T1595" s="2" t="n">
        <v>114.066</v>
      </c>
      <c r="U1595" s="0" t="s">
        <v>39</v>
      </c>
    </row>
    <row r="1596" customFormat="false" ht="14.25" hidden="false" customHeight="false" outlineLevel="0" collapsed="false">
      <c r="A1596" s="0" t="n">
        <v>646</v>
      </c>
      <c r="B1596" s="0" t="str">
        <f aca="false">_xlfn.xlookup(A1596, artists!A$2:A$836, artists!B$2:B$836)</f>
        <v>Rae Sremmurd</v>
      </c>
      <c r="C1596" s="1" t="s">
        <v>1620</v>
      </c>
      <c r="D1596" s="2" t="n">
        <v>208120</v>
      </c>
      <c r="E1596" s="2" t="n">
        <f aca="false">D1596/1000</f>
        <v>208.12</v>
      </c>
      <c r="F1596" s="10" t="b">
        <f aca="false">TRUE()</f>
        <v>1</v>
      </c>
      <c r="G1596" s="0" t="n">
        <v>19</v>
      </c>
      <c r="H1596" s="0" t="n">
        <f aca="false">_xlfn.xlookup(G1596, years!A$2:A$836, years!B$2:B$836)</f>
        <v>2016</v>
      </c>
      <c r="I1596" s="2" t="n">
        <v>75</v>
      </c>
      <c r="J1596" s="0" t="n">
        <v>0.681</v>
      </c>
      <c r="K1596" s="0" t="n">
        <v>0.314</v>
      </c>
      <c r="L1596" s="3" t="str">
        <f aca="false">IF(K1596&gt;0.66,"High",IF(K1596&gt;0.33&amp;K1596&lt;=0.66,"Medium","Low"))</f>
        <v>Low</v>
      </c>
      <c r="M1596" s="0" t="n">
        <v>-9.319</v>
      </c>
      <c r="N1596" s="3" t="n">
        <v>0.0581</v>
      </c>
      <c r="O1596" s="3" t="n">
        <v>0.2</v>
      </c>
      <c r="P1596" s="4" t="n">
        <v>9.82E-006</v>
      </c>
      <c r="Q1596" s="3" t="n">
        <v>0.1</v>
      </c>
      <c r="R1596" s="3" t="n">
        <v>0.166</v>
      </c>
      <c r="S1596" s="3" t="str">
        <f aca="false">IF(R1596 &gt;= 0.5, "Positive", "Negative")</f>
        <v>Negative</v>
      </c>
      <c r="T1596" s="2" t="n">
        <v>139.992</v>
      </c>
      <c r="U1596" s="0" t="s">
        <v>24</v>
      </c>
    </row>
    <row r="1597" customFormat="false" ht="14.25" hidden="false" customHeight="false" outlineLevel="0" collapsed="false">
      <c r="A1597" s="0" t="n">
        <v>216</v>
      </c>
      <c r="B1597" s="0" t="str">
        <f aca="false">_xlfn.xlookup(A1597, artists!A$2:A$836, artists!B$2:B$836)</f>
        <v>Snoop Dogg</v>
      </c>
      <c r="C1597" s="1" t="s">
        <v>1621</v>
      </c>
      <c r="D1597" s="2" t="n">
        <v>195986</v>
      </c>
      <c r="E1597" s="2" t="n">
        <f aca="false">D1597/1000</f>
        <v>195.986</v>
      </c>
      <c r="F1597" s="10" t="b">
        <f aca="false">FALSE()</f>
        <v>0</v>
      </c>
      <c r="G1597" s="0" t="n">
        <v>14</v>
      </c>
      <c r="H1597" s="0" t="n">
        <f aca="false">_xlfn.xlookup(G1597, years!A$2:A$836, years!B$2:B$836)</f>
        <v>2011</v>
      </c>
      <c r="I1597" s="2" t="n">
        <v>68</v>
      </c>
      <c r="J1597" s="0" t="n">
        <v>0.813</v>
      </c>
      <c r="K1597" s="0" t="n">
        <v>0.732</v>
      </c>
      <c r="L1597" s="3" t="str">
        <f aca="false">IF(K1597&gt;0.66,"High",IF(K1597&gt;0.33&amp;K1597&lt;=0.66,"Medium","Low"))</f>
        <v>High</v>
      </c>
      <c r="M1597" s="0" t="n">
        <v>-5.636</v>
      </c>
      <c r="N1597" s="3" t="n">
        <v>0.03</v>
      </c>
      <c r="O1597" s="3" t="n">
        <v>0.0597</v>
      </c>
      <c r="P1597" s="4" t="n">
        <v>0.00137</v>
      </c>
      <c r="Q1597" s="3" t="n">
        <v>0.0826</v>
      </c>
      <c r="R1597" s="3" t="n">
        <v>0.731</v>
      </c>
      <c r="S1597" s="3" t="str">
        <f aca="false">IF(R1597 &gt;= 0.5, "Positive", "Negative")</f>
        <v>Positive</v>
      </c>
      <c r="T1597" s="2" t="n">
        <v>130.02</v>
      </c>
      <c r="U1597" s="0" t="s">
        <v>24</v>
      </c>
    </row>
    <row r="1598" customFormat="false" ht="14.25" hidden="false" customHeight="false" outlineLevel="0" collapsed="false">
      <c r="A1598" s="0" t="n">
        <v>579</v>
      </c>
      <c r="B1598" s="0" t="str">
        <f aca="false">_xlfn.xlookup(A1598, artists!A$2:A$836, artists!B$2:B$836)</f>
        <v>The Neighbourhood</v>
      </c>
      <c r="C1598" s="1" t="s">
        <v>1622</v>
      </c>
      <c r="D1598" s="2" t="n">
        <v>240400</v>
      </c>
      <c r="E1598" s="2" t="n">
        <f aca="false">D1598/1000</f>
        <v>240.4</v>
      </c>
      <c r="F1598" s="10" t="b">
        <f aca="false">FALSE()</f>
        <v>0</v>
      </c>
      <c r="G1598" s="0" t="n">
        <v>16</v>
      </c>
      <c r="H1598" s="0" t="n">
        <f aca="false">_xlfn.xlookup(G1598, years!A$2:A$836, years!B$2:B$836)</f>
        <v>2013</v>
      </c>
      <c r="I1598" s="2" t="n">
        <v>89</v>
      </c>
      <c r="J1598" s="0" t="n">
        <v>0.612</v>
      </c>
      <c r="K1598" s="0" t="n">
        <v>0.807</v>
      </c>
      <c r="L1598" s="3" t="str">
        <f aca="false">IF(K1598&gt;0.66,"High",IF(K1598&gt;0.33&amp;K1598&lt;=0.66,"Medium","Low"))</f>
        <v>High</v>
      </c>
      <c r="M1598" s="0" t="n">
        <v>-2.81</v>
      </c>
      <c r="N1598" s="3" t="n">
        <v>0.0336</v>
      </c>
      <c r="O1598" s="3" t="n">
        <v>0.0495</v>
      </c>
      <c r="P1598" s="4" t="n">
        <v>0.0177</v>
      </c>
      <c r="Q1598" s="3" t="n">
        <v>0.101</v>
      </c>
      <c r="R1598" s="3" t="n">
        <v>0.398</v>
      </c>
      <c r="S1598" s="3" t="str">
        <f aca="false">IF(R1598 &gt;= 0.5, "Positive", "Negative")</f>
        <v>Negative</v>
      </c>
      <c r="T1598" s="2" t="n">
        <v>124.053</v>
      </c>
      <c r="U1598" s="0" t="s">
        <v>35</v>
      </c>
    </row>
    <row r="1599" customFormat="false" ht="14.25" hidden="false" customHeight="false" outlineLevel="0" collapsed="false">
      <c r="A1599" s="0" t="n">
        <v>409</v>
      </c>
      <c r="B1599" s="0" t="str">
        <f aca="false">_xlfn.xlookup(A1599, artists!A$2:A$836, artists!B$2:B$836)</f>
        <v>Gabriella Cilmi</v>
      </c>
      <c r="C1599" s="1" t="s">
        <v>1623</v>
      </c>
      <c r="D1599" s="2" t="n">
        <v>202133</v>
      </c>
      <c r="E1599" s="2" t="n">
        <f aca="false">D1599/1000</f>
        <v>202.133</v>
      </c>
      <c r="F1599" s="10" t="b">
        <f aca="false">FALSE()</f>
        <v>0</v>
      </c>
      <c r="G1599" s="0" t="n">
        <v>11</v>
      </c>
      <c r="H1599" s="0" t="n">
        <f aca="false">_xlfn.xlookup(G1599, years!A$2:A$836, years!B$2:B$836)</f>
        <v>2008</v>
      </c>
      <c r="I1599" s="2" t="n">
        <v>56</v>
      </c>
      <c r="J1599" s="0" t="n">
        <v>0.671</v>
      </c>
      <c r="K1599" s="0" t="n">
        <v>0.701</v>
      </c>
      <c r="L1599" s="3" t="str">
        <f aca="false">IF(K1599&gt;0.66,"High",IF(K1599&gt;0.33&amp;K1599&lt;=0.66,"Medium","Low"))</f>
        <v>High</v>
      </c>
      <c r="M1599" s="0" t="n">
        <v>-5.035</v>
      </c>
      <c r="N1599" s="3" t="n">
        <v>0.0288</v>
      </c>
      <c r="O1599" s="3" t="n">
        <v>0.0607</v>
      </c>
      <c r="P1599" s="4" t="n">
        <v>2.7E-006</v>
      </c>
      <c r="Q1599" s="3" t="n">
        <v>0.163</v>
      </c>
      <c r="R1599" s="3" t="n">
        <v>0.585</v>
      </c>
      <c r="S1599" s="3" t="str">
        <f aca="false">IF(R1599 &gt;= 0.5, "Positive", "Negative")</f>
        <v>Positive</v>
      </c>
      <c r="T1599" s="2" t="n">
        <v>131.977</v>
      </c>
      <c r="U1599" s="0" t="s">
        <v>128</v>
      </c>
    </row>
    <row r="1600" customFormat="false" ht="14.25" hidden="false" customHeight="false" outlineLevel="0" collapsed="false">
      <c r="A1600" s="0" t="n">
        <v>815</v>
      </c>
      <c r="B1600" s="0" t="str">
        <f aca="false">_xlfn.xlookup(A1600, artists!A$2:A$836, artists!B$2:B$836)</f>
        <v>Ava Max</v>
      </c>
      <c r="C1600" s="1" t="s">
        <v>1624</v>
      </c>
      <c r="D1600" s="2" t="n">
        <v>187436</v>
      </c>
      <c r="E1600" s="2" t="n">
        <f aca="false">D1600/1000</f>
        <v>187.436</v>
      </c>
      <c r="F1600" s="10" t="b">
        <f aca="false">FALSE()</f>
        <v>0</v>
      </c>
      <c r="G1600" s="0" t="n">
        <v>21</v>
      </c>
      <c r="H1600" s="0" t="n">
        <f aca="false">_xlfn.xlookup(G1600, years!A$2:A$836, years!B$2:B$836)</f>
        <v>2018</v>
      </c>
      <c r="I1600" s="2" t="n">
        <v>7</v>
      </c>
      <c r="J1600" s="0" t="n">
        <v>0.719</v>
      </c>
      <c r="K1600" s="0" t="n">
        <v>0.704</v>
      </c>
      <c r="L1600" s="3" t="str">
        <f aca="false">IF(K1600&gt;0.66,"High",IF(K1600&gt;0.33&amp;K1600&lt;=0.66,"Medium","Low"))</f>
        <v>High</v>
      </c>
      <c r="M1600" s="0" t="n">
        <v>-4.724</v>
      </c>
      <c r="N1600" s="3" t="n">
        <v>0.0476</v>
      </c>
      <c r="O1600" s="3" t="n">
        <v>0.0691</v>
      </c>
      <c r="P1600" s="4" t="n">
        <v>0</v>
      </c>
      <c r="Q1600" s="3" t="n">
        <v>0.166</v>
      </c>
      <c r="R1600" s="3" t="n">
        <v>0.628</v>
      </c>
      <c r="S1600" s="3" t="str">
        <f aca="false">IF(R1600 &gt;= 0.5, "Positive", "Negative")</f>
        <v>Positive</v>
      </c>
      <c r="T1600" s="2" t="n">
        <v>133.002</v>
      </c>
      <c r="U1600" s="0" t="s">
        <v>39</v>
      </c>
    </row>
    <row r="1601" customFormat="false" ht="14.25" hidden="false" customHeight="false" outlineLevel="0" collapsed="false">
      <c r="A1601" s="0" t="n">
        <v>1</v>
      </c>
      <c r="B1601" s="0" t="str">
        <f aca="false">_xlfn.xlookup(A1601, artists!A$2:A$836, artists!B$2:B$836)</f>
        <v>Britney Spears</v>
      </c>
      <c r="C1601" s="1" t="s">
        <v>1625</v>
      </c>
      <c r="D1601" s="2" t="n">
        <v>203600</v>
      </c>
      <c r="E1601" s="2" t="n">
        <f aca="false">D1601/1000</f>
        <v>203.6</v>
      </c>
      <c r="F1601" s="10" t="b">
        <f aca="false">FALSE()</f>
        <v>0</v>
      </c>
      <c r="G1601" s="0" t="n">
        <v>4</v>
      </c>
      <c r="H1601" s="0" t="n">
        <f aca="false">_xlfn.xlookup(G1601, years!A$2:A$836, years!B$2:B$836)</f>
        <v>2001</v>
      </c>
      <c r="I1601" s="2" t="n">
        <v>69</v>
      </c>
      <c r="J1601" s="0" t="n">
        <v>0.847</v>
      </c>
      <c r="K1601" s="0" t="n">
        <v>0.843</v>
      </c>
      <c r="L1601" s="3" t="str">
        <f aca="false">IF(K1601&gt;0.66,"High",IF(K1601&gt;0.33&amp;K1601&lt;=0.66,"Medium","Low"))</f>
        <v>High</v>
      </c>
      <c r="M1601" s="0" t="n">
        <v>-3.579</v>
      </c>
      <c r="N1601" s="3" t="n">
        <v>0.106</v>
      </c>
      <c r="O1601" s="3" t="n">
        <v>0.415</v>
      </c>
      <c r="P1601" s="4" t="n">
        <v>0.000134</v>
      </c>
      <c r="Q1601" s="3" t="n">
        <v>0.107</v>
      </c>
      <c r="R1601" s="3" t="n">
        <v>0.963</v>
      </c>
      <c r="S1601" s="3" t="str">
        <f aca="false">IF(R1601 &gt;= 0.5, "Positive", "Negative")</f>
        <v>Positive</v>
      </c>
      <c r="T1601" s="2" t="n">
        <v>110.027</v>
      </c>
      <c r="U1601" s="0" t="s">
        <v>39</v>
      </c>
    </row>
    <row r="1602" customFormat="false" ht="14.25" hidden="false" customHeight="false" outlineLevel="0" collapsed="false">
      <c r="A1602" s="0" t="n">
        <v>219</v>
      </c>
      <c r="B1602" s="0" t="str">
        <f aca="false">_xlfn.xlookup(A1602, artists!A$2:A$836, artists!B$2:B$836)</f>
        <v>Rachel Stevens</v>
      </c>
      <c r="C1602" s="1" t="s">
        <v>1626</v>
      </c>
      <c r="D1602" s="2" t="n">
        <v>208386</v>
      </c>
      <c r="E1602" s="2" t="n">
        <f aca="false">D1602/1000</f>
        <v>208.386</v>
      </c>
      <c r="F1602" s="10" t="b">
        <f aca="false">FALSE()</f>
        <v>0</v>
      </c>
      <c r="G1602" s="0" t="n">
        <v>6</v>
      </c>
      <c r="H1602" s="0" t="n">
        <f aca="false">_xlfn.xlookup(G1602, years!A$2:A$836, years!B$2:B$836)</f>
        <v>2003</v>
      </c>
      <c r="I1602" s="2" t="n">
        <v>38</v>
      </c>
      <c r="J1602" s="0" t="n">
        <v>0.85</v>
      </c>
      <c r="K1602" s="0" t="n">
        <v>0.862</v>
      </c>
      <c r="L1602" s="3" t="str">
        <f aca="false">IF(K1602&gt;0.66,"High",IF(K1602&gt;0.33&amp;K1602&lt;=0.66,"Medium","Low"))</f>
        <v>High</v>
      </c>
      <c r="M1602" s="0" t="n">
        <v>-3.587</v>
      </c>
      <c r="N1602" s="3" t="n">
        <v>0.138</v>
      </c>
      <c r="O1602" s="3" t="n">
        <v>0.0733</v>
      </c>
      <c r="P1602" s="4" t="n">
        <v>0.00144</v>
      </c>
      <c r="Q1602" s="3" t="n">
        <v>0.0936</v>
      </c>
      <c r="R1602" s="3" t="n">
        <v>0.908</v>
      </c>
      <c r="S1602" s="3" t="str">
        <f aca="false">IF(R1602 &gt;= 0.5, "Positive", "Negative")</f>
        <v>Positive</v>
      </c>
      <c r="T1602" s="2" t="n">
        <v>130.036</v>
      </c>
      <c r="U1602" s="0" t="s">
        <v>22</v>
      </c>
    </row>
    <row r="1603" customFormat="false" ht="14.25" hidden="false" customHeight="false" outlineLevel="0" collapsed="false">
      <c r="A1603" s="0" t="n">
        <v>696</v>
      </c>
      <c r="B1603" s="0" t="str">
        <f aca="false">_xlfn.xlookup(A1603, artists!A$2:A$836, artists!B$2:B$836)</f>
        <v>Marshmello</v>
      </c>
      <c r="C1603" s="1" t="s">
        <v>1627</v>
      </c>
      <c r="D1603" s="2" t="n">
        <v>202620</v>
      </c>
      <c r="E1603" s="2" t="n">
        <f aca="false">D1603/1000</f>
        <v>202.62</v>
      </c>
      <c r="F1603" s="10" t="b">
        <f aca="false">TRUE()</f>
        <v>1</v>
      </c>
      <c r="G1603" s="0" t="n">
        <v>21</v>
      </c>
      <c r="H1603" s="0" t="n">
        <f aca="false">_xlfn.xlookup(G1603, years!A$2:A$836, years!B$2:B$836)</f>
        <v>2018</v>
      </c>
      <c r="I1603" s="2" t="n">
        <v>78</v>
      </c>
      <c r="J1603" s="0" t="n">
        <v>0.626</v>
      </c>
      <c r="K1603" s="0" t="n">
        <v>0.88</v>
      </c>
      <c r="L1603" s="3" t="str">
        <f aca="false">IF(K1603&gt;0.66,"High",IF(K1603&gt;0.33&amp;K1603&lt;=0.66,"Medium","Low"))</f>
        <v>High</v>
      </c>
      <c r="M1603" s="0" t="n">
        <v>-2.384</v>
      </c>
      <c r="N1603" s="3" t="n">
        <v>0.0504</v>
      </c>
      <c r="O1603" s="3" t="n">
        <v>0.205</v>
      </c>
      <c r="P1603" s="4" t="n">
        <v>0</v>
      </c>
      <c r="Q1603" s="3" t="n">
        <v>0.128</v>
      </c>
      <c r="R1603" s="3" t="n">
        <v>0.534</v>
      </c>
      <c r="S1603" s="3" t="str">
        <f aca="false">IF(R1603 &gt;= 0.5, "Positive", "Negative")</f>
        <v>Positive</v>
      </c>
      <c r="T1603" s="2" t="n">
        <v>95.079</v>
      </c>
      <c r="U1603" s="0" t="s">
        <v>22</v>
      </c>
    </row>
    <row r="1604" customFormat="false" ht="14.25" hidden="false" customHeight="false" outlineLevel="0" collapsed="false">
      <c r="A1604" s="0" t="n">
        <v>372</v>
      </c>
      <c r="B1604" s="0" t="str">
        <f aca="false">_xlfn.xlookup(A1604, artists!A$2:A$836, artists!B$2:B$836)</f>
        <v>Calvin Harris</v>
      </c>
      <c r="C1604" s="1" t="s">
        <v>1628</v>
      </c>
      <c r="D1604" s="2" t="n">
        <v>212560</v>
      </c>
      <c r="E1604" s="2" t="n">
        <f aca="false">D1604/1000</f>
        <v>212.56</v>
      </c>
      <c r="F1604" s="10" t="b">
        <f aca="false">FALSE()</f>
        <v>0</v>
      </c>
      <c r="G1604" s="0" t="n">
        <v>15</v>
      </c>
      <c r="H1604" s="0" t="n">
        <f aca="false">_xlfn.xlookup(G1604, years!A$2:A$836, years!B$2:B$836)</f>
        <v>2012</v>
      </c>
      <c r="I1604" s="2" t="n">
        <v>71</v>
      </c>
      <c r="J1604" s="0" t="n">
        <v>0.573</v>
      </c>
      <c r="K1604" s="0" t="n">
        <v>0.929</v>
      </c>
      <c r="L1604" s="3" t="str">
        <f aca="false">IF(K1604&gt;0.66,"High",IF(K1604&gt;0.33&amp;K1604&lt;=0.66,"Medium","Low"))</f>
        <v>High</v>
      </c>
      <c r="M1604" s="0" t="n">
        <v>-3.942</v>
      </c>
      <c r="N1604" s="3" t="n">
        <v>0.109</v>
      </c>
      <c r="O1604" s="3" t="n">
        <v>0.197</v>
      </c>
      <c r="P1604" s="4" t="n">
        <v>0.000112</v>
      </c>
      <c r="Q1604" s="3" t="n">
        <v>0.0567</v>
      </c>
      <c r="R1604" s="3" t="n">
        <v>0.582</v>
      </c>
      <c r="S1604" s="3" t="str">
        <f aca="false">IF(R1604 &gt;= 0.5, "Positive", "Negative")</f>
        <v>Positive</v>
      </c>
      <c r="T1604" s="2" t="n">
        <v>127.934</v>
      </c>
      <c r="U1604" s="0" t="s">
        <v>53</v>
      </c>
    </row>
    <row r="1605" customFormat="false" ht="14.25" hidden="false" customHeight="false" outlineLevel="0" collapsed="false">
      <c r="A1605" s="0" t="n">
        <v>394</v>
      </c>
      <c r="B1605" s="0" t="str">
        <f aca="false">_xlfn.xlookup(A1605, artists!A$2:A$836, artists!B$2:B$836)</f>
        <v>Wyclef Jean</v>
      </c>
      <c r="C1605" s="1" t="s">
        <v>1629</v>
      </c>
      <c r="D1605" s="2" t="n">
        <v>241133</v>
      </c>
      <c r="E1605" s="2" t="n">
        <f aca="false">D1605/1000</f>
        <v>241.133</v>
      </c>
      <c r="F1605" s="10" t="b">
        <f aca="false">FALSE()</f>
        <v>0</v>
      </c>
      <c r="G1605" s="0" t="n">
        <v>10</v>
      </c>
      <c r="H1605" s="0" t="n">
        <f aca="false">_xlfn.xlookup(G1605, years!A$2:A$836, years!B$2:B$836)</f>
        <v>2007</v>
      </c>
      <c r="I1605" s="2" t="n">
        <v>56</v>
      </c>
      <c r="J1605" s="0" t="n">
        <v>0.733</v>
      </c>
      <c r="K1605" s="0" t="n">
        <v>0.744</v>
      </c>
      <c r="L1605" s="3" t="str">
        <f aca="false">IF(K1605&gt;0.66,"High",IF(K1605&gt;0.33&amp;K1605&lt;=0.66,"Medium","Low"))</f>
        <v>High</v>
      </c>
      <c r="M1605" s="0" t="n">
        <v>-3.51</v>
      </c>
      <c r="N1605" s="3" t="n">
        <v>0.0553</v>
      </c>
      <c r="O1605" s="3" t="n">
        <v>0.0772</v>
      </c>
      <c r="P1605" s="4" t="n">
        <v>0</v>
      </c>
      <c r="Q1605" s="3" t="n">
        <v>0.341</v>
      </c>
      <c r="R1605" s="3" t="n">
        <v>0.529</v>
      </c>
      <c r="S1605" s="3" t="str">
        <f aca="false">IF(R1605 &gt;= 0.5, "Positive", "Negative")</f>
        <v>Positive</v>
      </c>
      <c r="T1605" s="2" t="n">
        <v>92.515</v>
      </c>
      <c r="U1605" s="0" t="s">
        <v>118</v>
      </c>
    </row>
    <row r="1606" customFormat="false" ht="14.25" hidden="false" customHeight="false" outlineLevel="0" collapsed="false">
      <c r="A1606" s="0" t="n">
        <v>739</v>
      </c>
      <c r="B1606" s="0" t="str">
        <f aca="false">_xlfn.xlookup(A1606, artists!A$2:A$836, artists!B$2:B$836)</f>
        <v>A Boogie Wit da Hoodie</v>
      </c>
      <c r="C1606" s="1" t="s">
        <v>1630</v>
      </c>
      <c r="D1606" s="2" t="n">
        <v>189486</v>
      </c>
      <c r="E1606" s="2" t="n">
        <f aca="false">D1606/1000</f>
        <v>189.486</v>
      </c>
      <c r="F1606" s="10" t="b">
        <f aca="false">TRUE()</f>
        <v>1</v>
      </c>
      <c r="G1606" s="0" t="n">
        <v>21</v>
      </c>
      <c r="H1606" s="0" t="n">
        <f aca="false">_xlfn.xlookup(G1606, years!A$2:A$836, years!B$2:B$836)</f>
        <v>2018</v>
      </c>
      <c r="I1606" s="2" t="n">
        <v>75</v>
      </c>
      <c r="J1606" s="0" t="n">
        <v>0.581</v>
      </c>
      <c r="K1606" s="0" t="n">
        <v>0.662</v>
      </c>
      <c r="L1606" s="3" t="str">
        <f aca="false">IF(K1606&gt;0.66,"High",IF(K1606&gt;0.33&amp;K1606&lt;=0.66,"Medium","Low"))</f>
        <v>High</v>
      </c>
      <c r="M1606" s="0" t="n">
        <v>-5.239</v>
      </c>
      <c r="N1606" s="3" t="n">
        <v>0.303</v>
      </c>
      <c r="O1606" s="3" t="n">
        <v>0.0153</v>
      </c>
      <c r="P1606" s="4" t="n">
        <v>0</v>
      </c>
      <c r="Q1606" s="3" t="n">
        <v>0.111</v>
      </c>
      <c r="R1606" s="3" t="n">
        <v>0.434</v>
      </c>
      <c r="S1606" s="3" t="str">
        <f aca="false">IF(R1606 &gt;= 0.5, "Positive", "Negative")</f>
        <v>Negative</v>
      </c>
      <c r="T1606" s="2" t="n">
        <v>93.023</v>
      </c>
      <c r="U1606" s="0" t="s">
        <v>29</v>
      </c>
    </row>
    <row r="1607" customFormat="false" ht="14.25" hidden="false" customHeight="false" outlineLevel="0" collapsed="false">
      <c r="A1607" s="0" t="n">
        <v>539</v>
      </c>
      <c r="B1607" s="0" t="str">
        <f aca="false">_xlfn.xlookup(A1607, artists!A$2:A$836, artists!B$2:B$836)</f>
        <v>Kendrick Lamar</v>
      </c>
      <c r="C1607" s="1" t="s">
        <v>1631</v>
      </c>
      <c r="D1607" s="2" t="n">
        <v>313786</v>
      </c>
      <c r="E1607" s="2" t="n">
        <f aca="false">D1607/1000</f>
        <v>313.786</v>
      </c>
      <c r="F1607" s="10" t="b">
        <f aca="false">TRUE()</f>
        <v>1</v>
      </c>
      <c r="G1607" s="0" t="n">
        <v>15</v>
      </c>
      <c r="H1607" s="0" t="n">
        <f aca="false">_xlfn.xlookup(G1607, years!A$2:A$836, years!B$2:B$836)</f>
        <v>2012</v>
      </c>
      <c r="I1607" s="2" t="n">
        <v>63</v>
      </c>
      <c r="J1607" s="0" t="n">
        <v>0.716</v>
      </c>
      <c r="K1607" s="0" t="n">
        <v>0.485</v>
      </c>
      <c r="L1607" s="3" t="str">
        <f aca="false">IF(K1607&gt;0.66,"High",IF(K1607&gt;0.33&amp;K1607&lt;=0.66,"Medium","Low"))</f>
        <v>Low</v>
      </c>
      <c r="M1607" s="0" t="n">
        <v>-7.745</v>
      </c>
      <c r="N1607" s="3" t="n">
        <v>0.404</v>
      </c>
      <c r="O1607" s="3" t="n">
        <v>0.123</v>
      </c>
      <c r="P1607" s="4" t="n">
        <v>2.69E-005</v>
      </c>
      <c r="Q1607" s="3" t="n">
        <v>0.604</v>
      </c>
      <c r="R1607" s="3" t="n">
        <v>0.26</v>
      </c>
      <c r="S1607" s="3" t="str">
        <f aca="false">IF(R1607 &gt;= 0.5, "Positive", "Negative")</f>
        <v>Negative</v>
      </c>
      <c r="T1607" s="2" t="n">
        <v>74.132</v>
      </c>
      <c r="U1607" s="0" t="s">
        <v>29</v>
      </c>
    </row>
    <row r="1608" customFormat="false" ht="14.25" hidden="false" customHeight="false" outlineLevel="0" collapsed="false">
      <c r="A1608" s="0" t="n">
        <v>304</v>
      </c>
      <c r="B1608" s="0" t="str">
        <f aca="false">_xlfn.xlookup(A1608, artists!A$2:A$836, artists!B$2:B$836)</f>
        <v>Will Smith</v>
      </c>
      <c r="C1608" s="1" t="s">
        <v>1632</v>
      </c>
      <c r="D1608" s="2" t="n">
        <v>197666</v>
      </c>
      <c r="E1608" s="2" t="n">
        <f aca="false">D1608/1000</f>
        <v>197.666</v>
      </c>
      <c r="F1608" s="10" t="b">
        <f aca="false">FALSE()</f>
        <v>0</v>
      </c>
      <c r="G1608" s="0" t="n">
        <v>23</v>
      </c>
      <c r="H1608" s="0" t="n">
        <f aca="false">_xlfn.xlookup(G1608, years!A$2:A$836, years!B$2:B$836)</f>
        <v>2020</v>
      </c>
      <c r="I1608" s="2" t="n">
        <v>34</v>
      </c>
      <c r="J1608" s="0" t="n">
        <v>0.873</v>
      </c>
      <c r="K1608" s="0" t="n">
        <v>0.9</v>
      </c>
      <c r="L1608" s="3" t="str">
        <f aca="false">IF(K1608&gt;0.66,"High",IF(K1608&gt;0.33&amp;K1608&lt;=0.66,"Medium","Low"))</f>
        <v>High</v>
      </c>
      <c r="M1608" s="0" t="n">
        <v>-4.325</v>
      </c>
      <c r="N1608" s="3" t="n">
        <v>0.18</v>
      </c>
      <c r="O1608" s="3" t="n">
        <v>0.0107</v>
      </c>
      <c r="P1608" s="4" t="n">
        <v>0.000502</v>
      </c>
      <c r="Q1608" s="3" t="n">
        <v>0.556</v>
      </c>
      <c r="R1608" s="3" t="n">
        <v>0.478</v>
      </c>
      <c r="S1608" s="3" t="str">
        <f aca="false">IF(R1608 &gt;= 0.5, "Positive", "Negative")</f>
        <v>Negative</v>
      </c>
      <c r="T1608" s="2" t="n">
        <v>102.516</v>
      </c>
      <c r="U1608" s="0" t="s">
        <v>24</v>
      </c>
    </row>
    <row r="1609" customFormat="false" ht="14.25" hidden="false" customHeight="false" outlineLevel="0" collapsed="false">
      <c r="A1609" s="0" t="n">
        <v>635</v>
      </c>
      <c r="B1609" s="0" t="str">
        <f aca="false">_xlfn.xlookup(A1609, artists!A$2:A$836, artists!B$2:B$836)</f>
        <v>Clean Bandit</v>
      </c>
      <c r="C1609" s="1" t="s">
        <v>1633</v>
      </c>
      <c r="D1609" s="2" t="n">
        <v>214866</v>
      </c>
      <c r="E1609" s="2" t="n">
        <f aca="false">D1609/1000</f>
        <v>214.866</v>
      </c>
      <c r="F1609" s="10" t="b">
        <f aca="false">FALSE()</f>
        <v>0</v>
      </c>
      <c r="G1609" s="0" t="n">
        <v>20</v>
      </c>
      <c r="H1609" s="0" t="n">
        <f aca="false">_xlfn.xlookup(G1609, years!A$2:A$836, years!B$2:B$836)</f>
        <v>2017</v>
      </c>
      <c r="I1609" s="2" t="n">
        <v>0</v>
      </c>
      <c r="J1609" s="0" t="n">
        <v>0.718</v>
      </c>
      <c r="K1609" s="0" t="n">
        <v>0.609</v>
      </c>
      <c r="L1609" s="3" t="str">
        <f aca="false">IF(K1609&gt;0.66,"High",IF(K1609&gt;0.33&amp;K1609&lt;=0.66,"Medium","Low"))</f>
        <v>Low</v>
      </c>
      <c r="M1609" s="0" t="n">
        <v>-4.699</v>
      </c>
      <c r="N1609" s="3" t="n">
        <v>0.043</v>
      </c>
      <c r="O1609" s="3" t="n">
        <v>0.281</v>
      </c>
      <c r="P1609" s="4" t="n">
        <v>3.29E-005</v>
      </c>
      <c r="Q1609" s="3" t="n">
        <v>0.234</v>
      </c>
      <c r="R1609" s="3" t="n">
        <v>0.497</v>
      </c>
      <c r="S1609" s="3" t="str">
        <f aca="false">IF(R1609 &gt;= 0.5, "Positive", "Negative")</f>
        <v>Negative</v>
      </c>
      <c r="T1609" s="2" t="n">
        <v>122.95</v>
      </c>
      <c r="U1609" s="0" t="s">
        <v>22</v>
      </c>
    </row>
    <row r="1610" customFormat="false" ht="14.25" hidden="false" customHeight="false" outlineLevel="0" collapsed="false">
      <c r="A1610" s="0" t="n">
        <v>157</v>
      </c>
      <c r="B1610" s="0" t="str">
        <f aca="false">_xlfn.xlookup(A1610, artists!A$2:A$836, artists!B$2:B$836)</f>
        <v>Marilyn Manson</v>
      </c>
      <c r="C1610" s="1" t="s">
        <v>1634</v>
      </c>
      <c r="D1610" s="2" t="n">
        <v>200426</v>
      </c>
      <c r="E1610" s="2" t="n">
        <f aca="false">D1610/1000</f>
        <v>200.426</v>
      </c>
      <c r="F1610" s="10" t="b">
        <f aca="false">FALSE()</f>
        <v>0</v>
      </c>
      <c r="G1610" s="0" t="n">
        <v>6</v>
      </c>
      <c r="H1610" s="0" t="n">
        <f aca="false">_xlfn.xlookup(G1610, years!A$2:A$836, years!B$2:B$836)</f>
        <v>2003</v>
      </c>
      <c r="I1610" s="2" t="n">
        <v>60</v>
      </c>
      <c r="J1610" s="0" t="n">
        <v>0.622</v>
      </c>
      <c r="K1610" s="0" t="n">
        <v>0.876</v>
      </c>
      <c r="L1610" s="3" t="str">
        <f aca="false">IF(K1610&gt;0.66,"High",IF(K1610&gt;0.33&amp;K1610&lt;=0.66,"Medium","Low"))</f>
        <v>High</v>
      </c>
      <c r="M1610" s="0" t="n">
        <v>-7.779</v>
      </c>
      <c r="N1610" s="3" t="n">
        <v>0.0728</v>
      </c>
      <c r="O1610" s="3" t="n">
        <v>0.00107</v>
      </c>
      <c r="P1610" s="4" t="n">
        <v>1.83E-006</v>
      </c>
      <c r="Q1610" s="3" t="n">
        <v>0.292</v>
      </c>
      <c r="R1610" s="3" t="n">
        <v>0.537</v>
      </c>
      <c r="S1610" s="3" t="str">
        <f aca="false">IF(R1610 &gt;= 0.5, "Positive", "Negative")</f>
        <v>Positive</v>
      </c>
      <c r="T1610" s="2" t="n">
        <v>142.017</v>
      </c>
      <c r="U1610" s="0" t="s">
        <v>81</v>
      </c>
    </row>
    <row r="1611" customFormat="false" ht="14.25" hidden="false" customHeight="false" outlineLevel="0" collapsed="false">
      <c r="A1611" s="0" t="n">
        <v>283</v>
      </c>
      <c r="B1611" s="0" t="str">
        <f aca="false">_xlfn.xlookup(A1611, artists!A$2:A$836, artists!B$2:B$836)</f>
        <v>Rihanna</v>
      </c>
      <c r="C1611" s="1" t="s">
        <v>1635</v>
      </c>
      <c r="D1611" s="2" t="n">
        <v>229413</v>
      </c>
      <c r="E1611" s="2" t="n">
        <f aca="false">D1611/1000</f>
        <v>229.413</v>
      </c>
      <c r="F1611" s="10" t="b">
        <f aca="false">FALSE()</f>
        <v>0</v>
      </c>
      <c r="G1611" s="0" t="n">
        <v>11</v>
      </c>
      <c r="H1611" s="0" t="n">
        <f aca="false">_xlfn.xlookup(G1611, years!A$2:A$836, years!B$2:B$836)</f>
        <v>2008</v>
      </c>
      <c r="I1611" s="2" t="n">
        <v>74</v>
      </c>
      <c r="J1611" s="0" t="n">
        <v>0.697</v>
      </c>
      <c r="K1611" s="0" t="n">
        <v>0.467</v>
      </c>
      <c r="L1611" s="3" t="str">
        <f aca="false">IF(K1611&gt;0.66,"High",IF(K1611&gt;0.33&amp;K1611&lt;=0.66,"Medium","Low"))</f>
        <v>Low</v>
      </c>
      <c r="M1611" s="0" t="n">
        <v>-7.536</v>
      </c>
      <c r="N1611" s="3" t="n">
        <v>0.0715</v>
      </c>
      <c r="O1611" s="3" t="n">
        <v>0.248</v>
      </c>
      <c r="P1611" s="4" t="n">
        <v>0</v>
      </c>
      <c r="Q1611" s="3" t="n">
        <v>0.0941</v>
      </c>
      <c r="R1611" s="3" t="n">
        <v>0.572</v>
      </c>
      <c r="S1611" s="3" t="str">
        <f aca="false">IF(R1611 &gt;= 0.5, "Positive", "Negative")</f>
        <v>Positive</v>
      </c>
      <c r="T1611" s="2" t="n">
        <v>82.082</v>
      </c>
      <c r="U1611" s="0" t="s">
        <v>31</v>
      </c>
    </row>
    <row r="1612" customFormat="false" ht="14.25" hidden="false" customHeight="false" outlineLevel="0" collapsed="false">
      <c r="A1612" s="0" t="n">
        <v>24</v>
      </c>
      <c r="B1612" s="0" t="str">
        <f aca="false">_xlfn.xlookup(A1612, artists!A$2:A$836, artists!B$2:B$836)</f>
        <v>Limp Bizkit</v>
      </c>
      <c r="C1612" s="1" t="s">
        <v>1636</v>
      </c>
      <c r="D1612" s="2" t="n">
        <v>321040</v>
      </c>
      <c r="E1612" s="2" t="n">
        <f aca="false">D1612/1000</f>
        <v>321.04</v>
      </c>
      <c r="F1612" s="10" t="b">
        <f aca="false">FALSE()</f>
        <v>0</v>
      </c>
      <c r="G1612" s="0" t="n">
        <v>3</v>
      </c>
      <c r="H1612" s="0" t="n">
        <f aca="false">_xlfn.xlookup(G1612, years!A$2:A$836, years!B$2:B$836)</f>
        <v>2000</v>
      </c>
      <c r="I1612" s="2" t="n">
        <v>72</v>
      </c>
      <c r="J1612" s="0" t="n">
        <v>0.425</v>
      </c>
      <c r="K1612" s="0" t="n">
        <v>0.852</v>
      </c>
      <c r="L1612" s="3" t="str">
        <f aca="false">IF(K1612&gt;0.66,"High",IF(K1612&gt;0.33&amp;K1612&lt;=0.66,"Medium","Low"))</f>
        <v>High</v>
      </c>
      <c r="M1612" s="0" t="n">
        <v>-5.607</v>
      </c>
      <c r="N1612" s="3" t="n">
        <v>0.046</v>
      </c>
      <c r="O1612" s="3" t="n">
        <v>0.0175</v>
      </c>
      <c r="P1612" s="4" t="n">
        <v>0.306</v>
      </c>
      <c r="Q1612" s="3" t="n">
        <v>0.0935</v>
      </c>
      <c r="R1612" s="3" t="n">
        <v>0.512</v>
      </c>
      <c r="S1612" s="3" t="str">
        <f aca="false">IF(R1612 &gt;= 0.5, "Positive", "Negative")</f>
        <v>Positive</v>
      </c>
      <c r="T1612" s="2" t="n">
        <v>101.968</v>
      </c>
      <c r="U1612" s="0" t="s">
        <v>27</v>
      </c>
    </row>
    <row r="1613" customFormat="false" ht="14.25" hidden="false" customHeight="false" outlineLevel="0" collapsed="false">
      <c r="A1613" s="0" t="n">
        <v>455</v>
      </c>
      <c r="B1613" s="0" t="str">
        <f aca="false">_xlfn.xlookup(A1613, artists!A$2:A$836, artists!B$2:B$836)</f>
        <v>Drake</v>
      </c>
      <c r="C1613" s="1" t="s">
        <v>1637</v>
      </c>
      <c r="D1613" s="2" t="n">
        <v>277386</v>
      </c>
      <c r="E1613" s="2" t="n">
        <f aca="false">D1613/1000</f>
        <v>277.386</v>
      </c>
      <c r="F1613" s="10" t="b">
        <f aca="false">TRUE()</f>
        <v>1</v>
      </c>
      <c r="G1613" s="0" t="n">
        <v>14</v>
      </c>
      <c r="H1613" s="0" t="n">
        <f aca="false">_xlfn.xlookup(G1613, years!A$2:A$836, years!B$2:B$836)</f>
        <v>2011</v>
      </c>
      <c r="I1613" s="2" t="n">
        <v>75</v>
      </c>
      <c r="J1613" s="0" t="n">
        <v>0.629</v>
      </c>
      <c r="K1613" s="0" t="n">
        <v>0.515</v>
      </c>
      <c r="L1613" s="3" t="str">
        <f aca="false">IF(K1613&gt;0.66,"High",IF(K1613&gt;0.33&amp;K1613&lt;=0.66,"Medium","Low"))</f>
        <v>Low</v>
      </c>
      <c r="M1613" s="0" t="n">
        <v>-10.358</v>
      </c>
      <c r="N1613" s="3" t="n">
        <v>0.265</v>
      </c>
      <c r="O1613" s="3" t="n">
        <v>0.0267</v>
      </c>
      <c r="P1613" s="4" t="n">
        <v>1.22E-005</v>
      </c>
      <c r="Q1613" s="3" t="n">
        <v>0.0888</v>
      </c>
      <c r="R1613" s="3" t="n">
        <v>0.299</v>
      </c>
      <c r="S1613" s="3" t="str">
        <f aca="false">IF(R1613 &gt;= 0.5, "Positive", "Negative")</f>
        <v>Negative</v>
      </c>
      <c r="T1613" s="2" t="n">
        <v>121.845</v>
      </c>
      <c r="U1613" s="0" t="s">
        <v>31</v>
      </c>
    </row>
    <row r="1614" customFormat="false" ht="14.25" hidden="false" customHeight="false" outlineLevel="0" collapsed="false">
      <c r="A1614" s="0" t="n">
        <v>471</v>
      </c>
      <c r="B1614" s="0" t="str">
        <f aca="false">_xlfn.xlookup(A1614, artists!A$2:A$836, artists!B$2:B$836)</f>
        <v>Kesha</v>
      </c>
      <c r="C1614" s="1" t="s">
        <v>1638</v>
      </c>
      <c r="D1614" s="2" t="n">
        <v>215200</v>
      </c>
      <c r="E1614" s="2" t="n">
        <f aca="false">D1614/1000</f>
        <v>215.2</v>
      </c>
      <c r="F1614" s="10" t="b">
        <f aca="false">FALSE()</f>
        <v>0</v>
      </c>
      <c r="G1614" s="0" t="n">
        <v>13</v>
      </c>
      <c r="H1614" s="0" t="n">
        <f aca="false">_xlfn.xlookup(G1614, years!A$2:A$836, years!B$2:B$836)</f>
        <v>2010</v>
      </c>
      <c r="I1614" s="2" t="n">
        <v>68</v>
      </c>
      <c r="J1614" s="0" t="n">
        <v>0.729</v>
      </c>
      <c r="K1614" s="0" t="n">
        <v>0.675</v>
      </c>
      <c r="L1614" s="3" t="str">
        <f aca="false">IF(K1614&gt;0.66,"High",IF(K1614&gt;0.33&amp;K1614&lt;=0.66,"Medium","Low"))</f>
        <v>High</v>
      </c>
      <c r="M1614" s="0" t="n">
        <v>-5.292</v>
      </c>
      <c r="N1614" s="3" t="n">
        <v>0.0286</v>
      </c>
      <c r="O1614" s="3" t="n">
        <v>4.14E-005</v>
      </c>
      <c r="P1614" s="4" t="n">
        <v>0.00126</v>
      </c>
      <c r="Q1614" s="3" t="n">
        <v>0.0867</v>
      </c>
      <c r="R1614" s="3" t="n">
        <v>0.74</v>
      </c>
      <c r="S1614" s="3" t="str">
        <f aca="false">IF(R1614 &gt;= 0.5, "Positive", "Negative")</f>
        <v>Positive</v>
      </c>
      <c r="T1614" s="2" t="n">
        <v>125.036</v>
      </c>
      <c r="U1614" s="0" t="s">
        <v>22</v>
      </c>
    </row>
    <row r="1615" customFormat="false" ht="14.25" hidden="false" customHeight="false" outlineLevel="0" collapsed="false">
      <c r="A1615" s="0" t="n">
        <v>628</v>
      </c>
      <c r="B1615" s="0" t="str">
        <f aca="false">_xlfn.xlookup(A1615, artists!A$2:A$836, artists!B$2:B$836)</f>
        <v>Ed Sheeran</v>
      </c>
      <c r="C1615" s="1" t="s">
        <v>1639</v>
      </c>
      <c r="D1615" s="2" t="n">
        <v>189733</v>
      </c>
      <c r="E1615" s="2" t="n">
        <f aca="false">D1615/1000</f>
        <v>189.733</v>
      </c>
      <c r="F1615" s="10" t="b">
        <f aca="false">TRUE()</f>
        <v>1</v>
      </c>
      <c r="G1615" s="0" t="n">
        <v>22</v>
      </c>
      <c r="H1615" s="0" t="n">
        <f aca="false">_xlfn.xlookup(G1615, years!A$2:A$836, years!B$2:B$836)</f>
        <v>2019</v>
      </c>
      <c r="I1615" s="2" t="n">
        <v>66</v>
      </c>
      <c r="J1615" s="0" t="n">
        <v>0.885</v>
      </c>
      <c r="K1615" s="0" t="n">
        <v>0.762</v>
      </c>
      <c r="L1615" s="3" t="str">
        <f aca="false">IF(K1615&gt;0.66,"High",IF(K1615&gt;0.33&amp;K1615&lt;=0.66,"Medium","Low"))</f>
        <v>High</v>
      </c>
      <c r="M1615" s="0" t="n">
        <v>-5.513</v>
      </c>
      <c r="N1615" s="3" t="n">
        <v>0.216</v>
      </c>
      <c r="O1615" s="3" t="n">
        <v>0.219</v>
      </c>
      <c r="P1615" s="4" t="n">
        <v>0</v>
      </c>
      <c r="Q1615" s="3" t="n">
        <v>0.162</v>
      </c>
      <c r="R1615" s="3" t="n">
        <v>0.605</v>
      </c>
      <c r="S1615" s="3" t="str">
        <f aca="false">IF(R1615 &gt;= 0.5, "Positive", "Negative")</f>
        <v>Positive</v>
      </c>
      <c r="T1615" s="2" t="n">
        <v>138.058</v>
      </c>
      <c r="U1615" s="0" t="s">
        <v>39</v>
      </c>
    </row>
    <row r="1616" customFormat="false" ht="14.25" hidden="false" customHeight="false" outlineLevel="0" collapsed="false">
      <c r="A1616" s="0" t="n">
        <v>265</v>
      </c>
      <c r="B1616" s="0" t="str">
        <f aca="false">_xlfn.xlookup(A1616, artists!A$2:A$836, artists!B$2:B$836)</f>
        <v>Franz Ferdinand</v>
      </c>
      <c r="C1616" s="1" t="s">
        <v>1640</v>
      </c>
      <c r="D1616" s="2" t="n">
        <v>237026</v>
      </c>
      <c r="E1616" s="2" t="n">
        <f aca="false">D1616/1000</f>
        <v>237.026</v>
      </c>
      <c r="F1616" s="10" t="b">
        <f aca="false">FALSE()</f>
        <v>0</v>
      </c>
      <c r="G1616" s="0" t="n">
        <v>7</v>
      </c>
      <c r="H1616" s="0" t="n">
        <f aca="false">_xlfn.xlookup(G1616, years!A$2:A$836, years!B$2:B$836)</f>
        <v>2004</v>
      </c>
      <c r="I1616" s="2" t="n">
        <v>77</v>
      </c>
      <c r="J1616" s="0" t="n">
        <v>0.277</v>
      </c>
      <c r="K1616" s="0" t="n">
        <v>0.663</v>
      </c>
      <c r="L1616" s="3" t="str">
        <f aca="false">IF(K1616&gt;0.66,"High",IF(K1616&gt;0.33&amp;K1616&lt;=0.66,"Medium","Low"))</f>
        <v>High</v>
      </c>
      <c r="M1616" s="0" t="n">
        <v>-8.821</v>
      </c>
      <c r="N1616" s="3" t="n">
        <v>0.0377</v>
      </c>
      <c r="O1616" s="3" t="n">
        <v>0.000409</v>
      </c>
      <c r="P1616" s="4" t="n">
        <v>0.00051</v>
      </c>
      <c r="Q1616" s="3" t="n">
        <v>0.136</v>
      </c>
      <c r="R1616" s="3" t="n">
        <v>0.527</v>
      </c>
      <c r="S1616" s="3" t="str">
        <f aca="false">IF(R1616 &gt;= 0.5, "Positive", "Negative")</f>
        <v>Positive</v>
      </c>
      <c r="T1616" s="2" t="n">
        <v>104.561</v>
      </c>
      <c r="U1616" s="0" t="s">
        <v>43</v>
      </c>
    </row>
    <row r="1617" customFormat="false" ht="14.25" hidden="false" customHeight="false" outlineLevel="0" collapsed="false">
      <c r="A1617" s="0" t="n">
        <v>670</v>
      </c>
      <c r="B1617" s="0" t="str">
        <f aca="false">_xlfn.xlookup(A1617, artists!A$2:A$836, artists!B$2:B$836)</f>
        <v>Hozier</v>
      </c>
      <c r="C1617" s="1" t="s">
        <v>1641</v>
      </c>
      <c r="D1617" s="2" t="n">
        <v>241688</v>
      </c>
      <c r="E1617" s="2" t="n">
        <f aca="false">D1617/1000</f>
        <v>241.688</v>
      </c>
      <c r="F1617" s="10" t="b">
        <f aca="false">FALSE()</f>
        <v>0</v>
      </c>
      <c r="G1617" s="0" t="n">
        <v>17</v>
      </c>
      <c r="H1617" s="0" t="n">
        <f aca="false">_xlfn.xlookup(G1617, years!A$2:A$836, years!B$2:B$836)</f>
        <v>2014</v>
      </c>
      <c r="I1617" s="2" t="n">
        <v>81</v>
      </c>
      <c r="J1617" s="0" t="n">
        <v>0.566</v>
      </c>
      <c r="K1617" s="0" t="n">
        <v>0.664</v>
      </c>
      <c r="L1617" s="3" t="str">
        <f aca="false">IF(K1617&gt;0.66,"High",IF(K1617&gt;0.33&amp;K1617&lt;=0.66,"Medium","Low"))</f>
        <v>High</v>
      </c>
      <c r="M1617" s="0" t="n">
        <v>-5.303</v>
      </c>
      <c r="N1617" s="3" t="n">
        <v>0.0464</v>
      </c>
      <c r="O1617" s="3" t="n">
        <v>0.634</v>
      </c>
      <c r="P1617" s="4" t="n">
        <v>0</v>
      </c>
      <c r="Q1617" s="3" t="n">
        <v>0.116</v>
      </c>
      <c r="R1617" s="3" t="n">
        <v>0.437</v>
      </c>
      <c r="S1617" s="3" t="str">
        <f aca="false">IF(R1617 &gt;= 0.5, "Positive", "Negative")</f>
        <v>Negative</v>
      </c>
      <c r="T1617" s="2" t="n">
        <v>128.945</v>
      </c>
      <c r="U1617" s="0" t="s">
        <v>71</v>
      </c>
    </row>
    <row r="1618" customFormat="false" ht="14.25" hidden="false" customHeight="false" outlineLevel="0" collapsed="false">
      <c r="A1618" s="0" t="n">
        <v>277</v>
      </c>
      <c r="B1618" s="0" t="str">
        <f aca="false">_xlfn.xlookup(A1618, artists!A$2:A$836, artists!B$2:B$836)</f>
        <v>LMC</v>
      </c>
      <c r="C1618" s="1" t="s">
        <v>1642</v>
      </c>
      <c r="D1618" s="2" t="n">
        <v>171546</v>
      </c>
      <c r="E1618" s="2" t="n">
        <f aca="false">D1618/1000</f>
        <v>171.546</v>
      </c>
      <c r="F1618" s="10" t="b">
        <f aca="false">FALSE()</f>
        <v>0</v>
      </c>
      <c r="G1618" s="0" t="n">
        <v>7</v>
      </c>
      <c r="H1618" s="0" t="n">
        <f aca="false">_xlfn.xlookup(G1618, years!A$2:A$836, years!B$2:B$836)</f>
        <v>2004</v>
      </c>
      <c r="I1618" s="2" t="n">
        <v>59</v>
      </c>
      <c r="J1618" s="0" t="n">
        <v>0.668</v>
      </c>
      <c r="K1618" s="0" t="n">
        <v>0.905</v>
      </c>
      <c r="L1618" s="3" t="str">
        <f aca="false">IF(K1618&gt;0.66,"High",IF(K1618&gt;0.33&amp;K1618&lt;=0.66,"Medium","Low"))</f>
        <v>High</v>
      </c>
      <c r="M1618" s="0" t="n">
        <v>-5.395</v>
      </c>
      <c r="N1618" s="3" t="n">
        <v>0.038</v>
      </c>
      <c r="O1618" s="3" t="n">
        <v>0.00232</v>
      </c>
      <c r="P1618" s="4" t="n">
        <v>0.0331</v>
      </c>
      <c r="Q1618" s="3" t="n">
        <v>0.141</v>
      </c>
      <c r="R1618" s="3" t="n">
        <v>0.667</v>
      </c>
      <c r="S1618" s="3" t="str">
        <f aca="false">IF(R1618 &gt;= 0.5, "Positive", "Negative")</f>
        <v>Positive</v>
      </c>
      <c r="T1618" s="2" t="n">
        <v>128.658</v>
      </c>
      <c r="U1618" s="0" t="s">
        <v>48</v>
      </c>
    </row>
    <row r="1619" customFormat="false" ht="14.25" hidden="false" customHeight="false" outlineLevel="0" collapsed="false">
      <c r="A1619" s="0" t="n">
        <v>387</v>
      </c>
      <c r="B1619" s="0" t="str">
        <f aca="false">_xlfn.xlookup(A1619, artists!A$2:A$836, artists!B$2:B$836)</f>
        <v>Sean Kingston</v>
      </c>
      <c r="C1619" s="1" t="s">
        <v>1643</v>
      </c>
      <c r="D1619" s="2" t="n">
        <v>236693</v>
      </c>
      <c r="E1619" s="2" t="n">
        <f aca="false">D1619/1000</f>
        <v>236.693</v>
      </c>
      <c r="F1619" s="10" t="b">
        <f aca="false">FALSE()</f>
        <v>0</v>
      </c>
      <c r="G1619" s="0" t="n">
        <v>11</v>
      </c>
      <c r="H1619" s="0" t="n">
        <f aca="false">_xlfn.xlookup(G1619, years!A$2:A$836, years!B$2:B$836)</f>
        <v>2008</v>
      </c>
      <c r="I1619" s="2" t="n">
        <v>65</v>
      </c>
      <c r="J1619" s="0" t="n">
        <v>0.752</v>
      </c>
      <c r="K1619" s="0" t="n">
        <v>0.921</v>
      </c>
      <c r="L1619" s="3" t="str">
        <f aca="false">IF(K1619&gt;0.66,"High",IF(K1619&gt;0.33&amp;K1619&lt;=0.66,"Medium","Low"))</f>
        <v>High</v>
      </c>
      <c r="M1619" s="0" t="n">
        <v>-4.321</v>
      </c>
      <c r="N1619" s="3" t="n">
        <v>0.0696</v>
      </c>
      <c r="O1619" s="3" t="n">
        <v>0.0182</v>
      </c>
      <c r="P1619" s="4" t="n">
        <v>0</v>
      </c>
      <c r="Q1619" s="3" t="n">
        <v>0.256</v>
      </c>
      <c r="R1619" s="3" t="n">
        <v>0.634</v>
      </c>
      <c r="S1619" s="3" t="str">
        <f aca="false">IF(R1619 &gt;= 0.5, "Positive", "Negative")</f>
        <v>Positive</v>
      </c>
      <c r="T1619" s="2" t="n">
        <v>115.033</v>
      </c>
      <c r="U1619" s="0" t="s">
        <v>31</v>
      </c>
    </row>
    <row r="1620" customFormat="false" ht="14.25" hidden="false" customHeight="false" outlineLevel="0" collapsed="false">
      <c r="A1620" s="0" t="n">
        <v>610</v>
      </c>
      <c r="B1620" s="0" t="str">
        <f aca="false">_xlfn.xlookup(A1620, artists!A$2:A$836, artists!B$2:B$836)</f>
        <v>DJ Snake</v>
      </c>
      <c r="C1620" s="1" t="s">
        <v>1644</v>
      </c>
      <c r="D1620" s="2" t="n">
        <v>212500</v>
      </c>
      <c r="E1620" s="2" t="n">
        <f aca="false">D1620/1000</f>
        <v>212.5</v>
      </c>
      <c r="F1620" s="10" t="b">
        <f aca="false">TRUE()</f>
        <v>1</v>
      </c>
      <c r="G1620" s="0" t="n">
        <v>22</v>
      </c>
      <c r="H1620" s="0" t="n">
        <f aca="false">_xlfn.xlookup(G1620, years!A$2:A$836, years!B$2:B$836)</f>
        <v>2019</v>
      </c>
      <c r="I1620" s="2" t="n">
        <v>70</v>
      </c>
      <c r="J1620" s="0" t="n">
        <v>0.842</v>
      </c>
      <c r="K1620" s="0" t="n">
        <v>0.801</v>
      </c>
      <c r="L1620" s="3" t="str">
        <f aca="false">IF(K1620&gt;0.66,"High",IF(K1620&gt;0.33&amp;K1620&lt;=0.66,"Medium","Low"))</f>
        <v>High</v>
      </c>
      <c r="M1620" s="0" t="n">
        <v>-4.167</v>
      </c>
      <c r="N1620" s="3" t="n">
        <v>0.228</v>
      </c>
      <c r="O1620" s="3" t="n">
        <v>0.157</v>
      </c>
      <c r="P1620" s="4" t="n">
        <v>4.82E-006</v>
      </c>
      <c r="Q1620" s="3" t="n">
        <v>0.0642</v>
      </c>
      <c r="R1620" s="3" t="n">
        <v>0.617</v>
      </c>
      <c r="S1620" s="3" t="str">
        <f aca="false">IF(R1620 &gt;= 0.5, "Positive", "Negative")</f>
        <v>Positive</v>
      </c>
      <c r="T1620" s="2" t="n">
        <v>95.881</v>
      </c>
      <c r="U1620" s="0" t="s">
        <v>53</v>
      </c>
    </row>
    <row r="1621" customFormat="false" ht="14.25" hidden="false" customHeight="false" outlineLevel="0" collapsed="false">
      <c r="A1621" s="0" t="n">
        <v>455</v>
      </c>
      <c r="B1621" s="0" t="str">
        <f aca="false">_xlfn.xlookup(A1621, artists!A$2:A$836, artists!B$2:B$836)</f>
        <v>Drake</v>
      </c>
      <c r="C1621" s="1" t="s">
        <v>1645</v>
      </c>
      <c r="D1621" s="2" t="n">
        <v>210746</v>
      </c>
      <c r="E1621" s="2" t="n">
        <f aca="false">D1621/1000</f>
        <v>210.746</v>
      </c>
      <c r="F1621" s="10" t="b">
        <f aca="false">TRUE()</f>
        <v>1</v>
      </c>
      <c r="G1621" s="0" t="n">
        <v>21</v>
      </c>
      <c r="H1621" s="0" t="n">
        <f aca="false">_xlfn.xlookup(G1621, years!A$2:A$836, years!B$2:B$836)</f>
        <v>2018</v>
      </c>
      <c r="I1621" s="2" t="n">
        <v>77</v>
      </c>
      <c r="J1621" s="0" t="n">
        <v>0.585</v>
      </c>
      <c r="K1621" s="0" t="n">
        <v>0.909</v>
      </c>
      <c r="L1621" s="3" t="str">
        <f aca="false">IF(K1621&gt;0.66,"High",IF(K1621&gt;0.33&amp;K1621&lt;=0.66,"Medium","Low"))</f>
        <v>High</v>
      </c>
      <c r="M1621" s="0" t="n">
        <v>-6.474</v>
      </c>
      <c r="N1621" s="3" t="n">
        <v>0.0707</v>
      </c>
      <c r="O1621" s="3" t="n">
        <v>0.0891</v>
      </c>
      <c r="P1621" s="4" t="n">
        <v>9.7E-005</v>
      </c>
      <c r="Q1621" s="3" t="n">
        <v>0.119</v>
      </c>
      <c r="R1621" s="3" t="n">
        <v>0.758</v>
      </c>
      <c r="S1621" s="3" t="str">
        <f aca="false">IF(R1621 &gt;= 0.5, "Positive", "Negative")</f>
        <v>Positive</v>
      </c>
      <c r="T1621" s="2" t="n">
        <v>93.372</v>
      </c>
      <c r="U1621" s="0" t="s">
        <v>31</v>
      </c>
    </row>
    <row r="1622" customFormat="false" ht="14.25" hidden="false" customHeight="false" outlineLevel="0" collapsed="false">
      <c r="A1622" s="0" t="n">
        <v>458</v>
      </c>
      <c r="B1622" s="0" t="str">
        <f aca="false">_xlfn.xlookup(A1622, artists!A$2:A$836, artists!B$2:B$836)</f>
        <v>Jason Derulo</v>
      </c>
      <c r="C1622" s="1" t="s">
        <v>1646</v>
      </c>
      <c r="D1622" s="2" t="n">
        <v>177685</v>
      </c>
      <c r="E1622" s="2" t="n">
        <f aca="false">D1622/1000</f>
        <v>177.685</v>
      </c>
      <c r="F1622" s="10" t="b">
        <f aca="false">TRUE()</f>
        <v>1</v>
      </c>
      <c r="G1622" s="0" t="n">
        <v>16</v>
      </c>
      <c r="H1622" s="0" t="n">
        <f aca="false">_xlfn.xlookup(G1622, years!A$2:A$836, years!B$2:B$836)</f>
        <v>2013</v>
      </c>
      <c r="I1622" s="2" t="n">
        <v>56</v>
      </c>
      <c r="J1622" s="0" t="n">
        <v>0.76</v>
      </c>
      <c r="K1622" s="0" t="n">
        <v>0.652</v>
      </c>
      <c r="L1622" s="3" t="str">
        <f aca="false">IF(K1622&gt;0.66,"High",IF(K1622&gt;0.33&amp;K1622&lt;=0.66,"Medium","Low"))</f>
        <v>Low</v>
      </c>
      <c r="M1622" s="0" t="n">
        <v>-7.321</v>
      </c>
      <c r="N1622" s="3" t="n">
        <v>0.232</v>
      </c>
      <c r="O1622" s="3" t="n">
        <v>0.0348</v>
      </c>
      <c r="P1622" s="4" t="n">
        <v>0</v>
      </c>
      <c r="Q1622" s="3" t="n">
        <v>0.307</v>
      </c>
      <c r="R1622" s="3" t="n">
        <v>0.759</v>
      </c>
      <c r="S1622" s="3" t="str">
        <f aca="false">IF(R1622 &gt;= 0.5, "Positive", "Negative")</f>
        <v>Positive</v>
      </c>
      <c r="T1622" s="2" t="n">
        <v>100.315</v>
      </c>
      <c r="U1622" s="0" t="s">
        <v>24</v>
      </c>
    </row>
    <row r="1623" customFormat="false" ht="14.25" hidden="false" customHeight="false" outlineLevel="0" collapsed="false">
      <c r="A1623" s="0" t="n">
        <v>608</v>
      </c>
      <c r="B1623" s="0" t="str">
        <f aca="false">_xlfn.xlookup(A1623, artists!A$2:A$836, artists!B$2:B$836)</f>
        <v>Tove Lo</v>
      </c>
      <c r="C1623" s="1" t="s">
        <v>1647</v>
      </c>
      <c r="D1623" s="2" t="n">
        <v>238426</v>
      </c>
      <c r="E1623" s="2" t="n">
        <f aca="false">D1623/1000</f>
        <v>238.426</v>
      </c>
      <c r="F1623" s="10" t="b">
        <f aca="false">TRUE()</f>
        <v>1</v>
      </c>
      <c r="G1623" s="0" t="n">
        <v>17</v>
      </c>
      <c r="H1623" s="0" t="n">
        <f aca="false">_xlfn.xlookup(G1623, years!A$2:A$836, years!B$2:B$836)</f>
        <v>2014</v>
      </c>
      <c r="I1623" s="2" t="n">
        <v>66</v>
      </c>
      <c r="J1623" s="0" t="n">
        <v>0.736</v>
      </c>
      <c r="K1623" s="0" t="n">
        <v>0.761</v>
      </c>
      <c r="L1623" s="3" t="str">
        <f aca="false">IF(K1623&gt;0.66,"High",IF(K1623&gt;0.33&amp;K1623&lt;=0.66,"Medium","Low"))</f>
        <v>High</v>
      </c>
      <c r="M1623" s="0" t="n">
        <v>-5.449</v>
      </c>
      <c r="N1623" s="3" t="n">
        <v>0.0338</v>
      </c>
      <c r="O1623" s="3" t="n">
        <v>0.0966</v>
      </c>
      <c r="P1623" s="4" t="n">
        <v>0</v>
      </c>
      <c r="Q1623" s="3" t="n">
        <v>0.0823</v>
      </c>
      <c r="R1623" s="3" t="n">
        <v>0.114</v>
      </c>
      <c r="S1623" s="3" t="str">
        <f aca="false">IF(R1623 &gt;= 0.5, "Positive", "Negative")</f>
        <v>Negative</v>
      </c>
      <c r="T1623" s="2" t="n">
        <v>119.999</v>
      </c>
      <c r="U1623" s="0" t="s">
        <v>22</v>
      </c>
    </row>
    <row r="1624" customFormat="false" ht="14.25" hidden="false" customHeight="false" outlineLevel="0" collapsed="false">
      <c r="A1624" s="0" t="n">
        <v>469</v>
      </c>
      <c r="B1624" s="0" t="str">
        <f aca="false">_xlfn.xlookup(A1624, artists!A$2:A$836, artists!B$2:B$836)</f>
        <v>Bruno Mars</v>
      </c>
      <c r="C1624" s="1" t="s">
        <v>1648</v>
      </c>
      <c r="D1624" s="2" t="n">
        <v>217866</v>
      </c>
      <c r="E1624" s="2" t="n">
        <f aca="false">D1624/1000</f>
        <v>217.866</v>
      </c>
      <c r="F1624" s="10" t="b">
        <f aca="false">FALSE()</f>
        <v>0</v>
      </c>
      <c r="G1624" s="0" t="n">
        <v>13</v>
      </c>
      <c r="H1624" s="0" t="n">
        <f aca="false">_xlfn.xlookup(G1624, years!A$2:A$836, years!B$2:B$836)</f>
        <v>2010</v>
      </c>
      <c r="I1624" s="2" t="n">
        <v>76</v>
      </c>
      <c r="J1624" s="0" t="n">
        <v>0.498</v>
      </c>
      <c r="K1624" s="0" t="n">
        <v>0.59</v>
      </c>
      <c r="L1624" s="3" t="str">
        <f aca="false">IF(K1624&gt;0.66,"High",IF(K1624&gt;0.33&amp;K1624&lt;=0.66,"Medium","Low"))</f>
        <v>Low</v>
      </c>
      <c r="M1624" s="0" t="n">
        <v>-4.721</v>
      </c>
      <c r="N1624" s="3" t="n">
        <v>0.032</v>
      </c>
      <c r="O1624" s="3" t="n">
        <v>0.511</v>
      </c>
      <c r="P1624" s="4" t="n">
        <v>0</v>
      </c>
      <c r="Q1624" s="3" t="n">
        <v>0.107</v>
      </c>
      <c r="R1624" s="3" t="n">
        <v>0.0784</v>
      </c>
      <c r="S1624" s="3" t="str">
        <f aca="false">IF(R1624 &gt;= 0.5, "Positive", "Negative")</f>
        <v>Negative</v>
      </c>
      <c r="T1624" s="2" t="n">
        <v>145.867</v>
      </c>
      <c r="U1624" s="0" t="s">
        <v>39</v>
      </c>
    </row>
    <row r="1625" customFormat="false" ht="14.25" hidden="false" customHeight="false" outlineLevel="0" collapsed="false">
      <c r="A1625" s="0" t="n">
        <v>550</v>
      </c>
      <c r="B1625" s="0" t="str">
        <f aca="false">_xlfn.xlookup(A1625, artists!A$2:A$836, artists!B$2:B$836)</f>
        <v>Tyga</v>
      </c>
      <c r="C1625" s="1" t="s">
        <v>1649</v>
      </c>
      <c r="D1625" s="2" t="n">
        <v>232959</v>
      </c>
      <c r="E1625" s="2" t="n">
        <f aca="false">D1625/1000</f>
        <v>232.959</v>
      </c>
      <c r="F1625" s="10" t="b">
        <f aca="false">TRUE()</f>
        <v>1</v>
      </c>
      <c r="G1625" s="0" t="n">
        <v>21</v>
      </c>
      <c r="H1625" s="0" t="n">
        <f aca="false">_xlfn.xlookup(G1625, years!A$2:A$836, years!B$2:B$836)</f>
        <v>2018</v>
      </c>
      <c r="I1625" s="2" t="n">
        <v>73</v>
      </c>
      <c r="J1625" s="0" t="n">
        <v>0.884</v>
      </c>
      <c r="K1625" s="0" t="n">
        <v>0.559</v>
      </c>
      <c r="L1625" s="3" t="str">
        <f aca="false">IF(K1625&gt;0.66,"High",IF(K1625&gt;0.33&amp;K1625&lt;=0.66,"Medium","Low"))</f>
        <v>Low</v>
      </c>
      <c r="M1625" s="0" t="n">
        <v>-7.442</v>
      </c>
      <c r="N1625" s="3" t="n">
        <v>0.12</v>
      </c>
      <c r="O1625" s="3" t="n">
        <v>0.0236</v>
      </c>
      <c r="P1625" s="4" t="n">
        <v>0</v>
      </c>
      <c r="Q1625" s="3" t="n">
        <v>0.101</v>
      </c>
      <c r="R1625" s="3" t="n">
        <v>0.342</v>
      </c>
      <c r="S1625" s="3" t="str">
        <f aca="false">IF(R1625 &gt;= 0.5, "Positive", "Negative")</f>
        <v>Negative</v>
      </c>
      <c r="T1625" s="2" t="n">
        <v>97.994</v>
      </c>
      <c r="U1625" s="0" t="s">
        <v>24</v>
      </c>
    </row>
    <row r="1626" customFormat="false" ht="14.25" hidden="false" customHeight="false" outlineLevel="0" collapsed="false">
      <c r="A1626" s="0" t="n">
        <v>427</v>
      </c>
      <c r="B1626" s="0" t="str">
        <f aca="false">_xlfn.xlookup(A1626, artists!A$2:A$836, artists!B$2:B$836)</f>
        <v>Jordin Sparks</v>
      </c>
      <c r="C1626" s="1" t="s">
        <v>1650</v>
      </c>
      <c r="D1626" s="2" t="n">
        <v>233466</v>
      </c>
      <c r="E1626" s="2" t="n">
        <f aca="false">D1626/1000</f>
        <v>233.466</v>
      </c>
      <c r="F1626" s="10" t="b">
        <f aca="false">FALSE()</f>
        <v>0</v>
      </c>
      <c r="G1626" s="0" t="n">
        <v>10</v>
      </c>
      <c r="H1626" s="0" t="n">
        <f aca="false">_xlfn.xlookup(G1626, years!A$2:A$836, years!B$2:B$836)</f>
        <v>2007</v>
      </c>
      <c r="I1626" s="2" t="n">
        <v>54</v>
      </c>
      <c r="J1626" s="0" t="n">
        <v>0.566</v>
      </c>
      <c r="K1626" s="0" t="n">
        <v>0.766</v>
      </c>
      <c r="L1626" s="3" t="str">
        <f aca="false">IF(K1626&gt;0.66,"High",IF(K1626&gt;0.33&amp;K1626&lt;=0.66,"Medium","Low"))</f>
        <v>High</v>
      </c>
      <c r="M1626" s="0" t="n">
        <v>-5.036</v>
      </c>
      <c r="N1626" s="3" t="n">
        <v>0.0399</v>
      </c>
      <c r="O1626" s="3" t="n">
        <v>0.431</v>
      </c>
      <c r="P1626" s="4" t="n">
        <v>0</v>
      </c>
      <c r="Q1626" s="3" t="n">
        <v>0.101</v>
      </c>
      <c r="R1626" s="3" t="n">
        <v>0.547</v>
      </c>
      <c r="S1626" s="3" t="str">
        <f aca="false">IF(R1626 &gt;= 0.5, "Positive", "Negative")</f>
        <v>Positive</v>
      </c>
      <c r="T1626" s="2" t="n">
        <v>168.005</v>
      </c>
      <c r="U1626" s="0" t="s">
        <v>33</v>
      </c>
    </row>
    <row r="1627" customFormat="false" ht="14.25" hidden="false" customHeight="false" outlineLevel="0" collapsed="false">
      <c r="A1627" s="0" t="n">
        <v>283</v>
      </c>
      <c r="B1627" s="0" t="str">
        <f aca="false">_xlfn.xlookup(A1627, artists!A$2:A$836, artists!B$2:B$836)</f>
        <v>Rihanna</v>
      </c>
      <c r="C1627" s="1" t="s">
        <v>1651</v>
      </c>
      <c r="D1627" s="2" t="n">
        <v>208426</v>
      </c>
      <c r="E1627" s="2" t="n">
        <f aca="false">D1627/1000</f>
        <v>208.426</v>
      </c>
      <c r="F1627" s="10" t="b">
        <f aca="false">TRUE()</f>
        <v>1</v>
      </c>
      <c r="G1627" s="0" t="n">
        <v>12</v>
      </c>
      <c r="H1627" s="0" t="n">
        <f aca="false">_xlfn.xlookup(G1627, years!A$2:A$836, years!B$2:B$836)</f>
        <v>2009</v>
      </c>
      <c r="I1627" s="2" t="n">
        <v>67</v>
      </c>
      <c r="J1627" s="0" t="n">
        <v>0.567</v>
      </c>
      <c r="K1627" s="0" t="n">
        <v>0.707</v>
      </c>
      <c r="L1627" s="3" t="str">
        <f aca="false">IF(K1627&gt;0.66,"High",IF(K1627&gt;0.33&amp;K1627&lt;=0.66,"Medium","Low"))</f>
        <v>High</v>
      </c>
      <c r="M1627" s="0" t="n">
        <v>-5.455</v>
      </c>
      <c r="N1627" s="3" t="n">
        <v>0.0818</v>
      </c>
      <c r="O1627" s="3" t="n">
        <v>0.541</v>
      </c>
      <c r="P1627" s="4" t="n">
        <v>0.000176</v>
      </c>
      <c r="Q1627" s="3" t="n">
        <v>0.1</v>
      </c>
      <c r="R1627" s="3" t="n">
        <v>0.751</v>
      </c>
      <c r="S1627" s="3" t="str">
        <f aca="false">IF(R1627 &gt;= 0.5, "Positive", "Negative")</f>
        <v>Positive</v>
      </c>
      <c r="T1627" s="2" t="n">
        <v>171.917</v>
      </c>
      <c r="U1627" s="0" t="s">
        <v>31</v>
      </c>
    </row>
    <row r="1628" customFormat="false" ht="14.25" hidden="false" customHeight="false" outlineLevel="0" collapsed="false">
      <c r="A1628" s="0" t="n">
        <v>600</v>
      </c>
      <c r="B1628" s="0" t="str">
        <f aca="false">_xlfn.xlookup(A1628, artists!A$2:A$836, artists!B$2:B$836)</f>
        <v>Ariana Grande</v>
      </c>
      <c r="C1628" s="1" t="s">
        <v>1652</v>
      </c>
      <c r="D1628" s="2" t="n">
        <v>205920</v>
      </c>
      <c r="E1628" s="2" t="n">
        <f aca="false">D1628/1000</f>
        <v>205.92</v>
      </c>
      <c r="F1628" s="10" t="b">
        <f aca="false">FALSE()</f>
        <v>0</v>
      </c>
      <c r="G1628" s="0" t="n">
        <v>21</v>
      </c>
      <c r="H1628" s="0" t="n">
        <f aca="false">_xlfn.xlookup(G1628, years!A$2:A$836, years!B$2:B$836)</f>
        <v>2018</v>
      </c>
      <c r="I1628" s="2" t="n">
        <v>77</v>
      </c>
      <c r="J1628" s="0" t="n">
        <v>0.699</v>
      </c>
      <c r="K1628" s="0" t="n">
        <v>0.713</v>
      </c>
      <c r="L1628" s="3" t="str">
        <f aca="false">IF(K1628&gt;0.66,"High",IF(K1628&gt;0.33&amp;K1628&lt;=0.66,"Medium","Low"))</f>
        <v>High</v>
      </c>
      <c r="M1628" s="0" t="n">
        <v>-5.507</v>
      </c>
      <c r="N1628" s="3" t="n">
        <v>0.0594</v>
      </c>
      <c r="O1628" s="3" t="n">
        <v>0.04</v>
      </c>
      <c r="P1628" s="4" t="n">
        <v>3.11E-006</v>
      </c>
      <c r="Q1628" s="3" t="n">
        <v>0.294</v>
      </c>
      <c r="R1628" s="3" t="n">
        <v>0.354</v>
      </c>
      <c r="S1628" s="3" t="str">
        <f aca="false">IF(R1628 &gt;= 0.5, "Positive", "Negative")</f>
        <v>Negative</v>
      </c>
      <c r="T1628" s="2" t="n">
        <v>121.993</v>
      </c>
      <c r="U1628" s="0" t="s">
        <v>39</v>
      </c>
    </row>
    <row r="1629" customFormat="false" ht="14.25" hidden="false" customHeight="false" outlineLevel="0" collapsed="false">
      <c r="A1629" s="0" t="n">
        <v>488</v>
      </c>
      <c r="B1629" s="0" t="str">
        <f aca="false">_xlfn.xlookup(A1629, artists!A$2:A$836, artists!B$2:B$836)</f>
        <v>Cali Swag District</v>
      </c>
      <c r="C1629" s="1" t="s">
        <v>1653</v>
      </c>
      <c r="D1629" s="2" t="n">
        <v>237480</v>
      </c>
      <c r="E1629" s="2" t="n">
        <f aca="false">D1629/1000</f>
        <v>237.48</v>
      </c>
      <c r="F1629" s="10" t="b">
        <f aca="false">TRUE()</f>
        <v>1</v>
      </c>
      <c r="G1629" s="0" t="n">
        <v>14</v>
      </c>
      <c r="H1629" s="0" t="n">
        <f aca="false">_xlfn.xlookup(G1629, years!A$2:A$836, years!B$2:B$836)</f>
        <v>2011</v>
      </c>
      <c r="I1629" s="2" t="n">
        <v>66</v>
      </c>
      <c r="J1629" s="0" t="n">
        <v>0.846</v>
      </c>
      <c r="K1629" s="0" t="n">
        <v>0.438</v>
      </c>
      <c r="L1629" s="3" t="str">
        <f aca="false">IF(K1629&gt;0.66,"High",IF(K1629&gt;0.33&amp;K1629&lt;=0.66,"Medium","Low"))</f>
        <v>Low</v>
      </c>
      <c r="M1629" s="0" t="n">
        <v>-4.981</v>
      </c>
      <c r="N1629" s="3" t="n">
        <v>0.141</v>
      </c>
      <c r="O1629" s="3" t="n">
        <v>0.2</v>
      </c>
      <c r="P1629" s="4" t="n">
        <v>9.43E-005</v>
      </c>
      <c r="Q1629" s="3" t="n">
        <v>0.0939</v>
      </c>
      <c r="R1629" s="3" t="n">
        <v>0.512</v>
      </c>
      <c r="S1629" s="3" t="str">
        <f aca="false">IF(R1629 &gt;= 0.5, "Positive", "Negative")</f>
        <v>Positive</v>
      </c>
      <c r="T1629" s="2" t="n">
        <v>85.013</v>
      </c>
      <c r="U1629" s="0" t="s">
        <v>24</v>
      </c>
    </row>
    <row r="1630" customFormat="false" ht="14.25" hidden="false" customHeight="false" outlineLevel="0" collapsed="false">
      <c r="A1630" s="0" t="n">
        <v>569</v>
      </c>
      <c r="B1630" s="0" t="str">
        <f aca="false">_xlfn.xlookup(A1630, artists!A$2:A$836, artists!B$2:B$836)</f>
        <v>Lorde</v>
      </c>
      <c r="C1630" s="1" t="s">
        <v>1654</v>
      </c>
      <c r="D1630" s="2" t="n">
        <v>193058</v>
      </c>
      <c r="E1630" s="2" t="n">
        <f aca="false">D1630/1000</f>
        <v>193.058</v>
      </c>
      <c r="F1630" s="10" t="b">
        <f aca="false">FALSE()</f>
        <v>0</v>
      </c>
      <c r="G1630" s="0" t="n">
        <v>16</v>
      </c>
      <c r="H1630" s="0" t="n">
        <f aca="false">_xlfn.xlookup(G1630, years!A$2:A$836, years!B$2:B$836)</f>
        <v>2013</v>
      </c>
      <c r="I1630" s="2" t="n">
        <v>0</v>
      </c>
      <c r="J1630" s="0" t="n">
        <v>0.691</v>
      </c>
      <c r="K1630" s="0" t="n">
        <v>0.582</v>
      </c>
      <c r="L1630" s="3" t="str">
        <f aca="false">IF(K1630&gt;0.66,"High",IF(K1630&gt;0.33&amp;K1630&lt;=0.66,"Medium","Low"))</f>
        <v>Low</v>
      </c>
      <c r="M1630" s="0" t="n">
        <v>-7.444</v>
      </c>
      <c r="N1630" s="3" t="n">
        <v>0.0939</v>
      </c>
      <c r="O1630" s="3" t="n">
        <v>0.162</v>
      </c>
      <c r="P1630" s="4" t="n">
        <v>0</v>
      </c>
      <c r="Q1630" s="3" t="n">
        <v>0.247</v>
      </c>
      <c r="R1630" s="3" t="n">
        <v>0.427</v>
      </c>
      <c r="S1630" s="3" t="str">
        <f aca="false">IF(R1630 &gt;= 0.5, "Positive", "Negative")</f>
        <v>Negative</v>
      </c>
      <c r="T1630" s="2" t="n">
        <v>100.05</v>
      </c>
      <c r="U1630" s="0" t="s">
        <v>22</v>
      </c>
    </row>
    <row r="1631" customFormat="false" ht="14.25" hidden="false" customHeight="false" outlineLevel="0" collapsed="false">
      <c r="A1631" s="0" t="n">
        <v>569</v>
      </c>
      <c r="B1631" s="0" t="str">
        <f aca="false">_xlfn.xlookup(A1631, artists!A$2:A$836, artists!B$2:B$836)</f>
        <v>Lorde</v>
      </c>
      <c r="C1631" s="1" t="s">
        <v>1654</v>
      </c>
      <c r="D1631" s="2" t="n">
        <v>193058</v>
      </c>
      <c r="E1631" s="2" t="n">
        <f aca="false">D1631/1000</f>
        <v>193.058</v>
      </c>
      <c r="F1631" s="10" t="b">
        <f aca="false">FALSE()</f>
        <v>0</v>
      </c>
      <c r="G1631" s="0" t="n">
        <v>16</v>
      </c>
      <c r="H1631" s="0" t="n">
        <f aca="false">_xlfn.xlookup(G1631, years!A$2:A$836, years!B$2:B$836)</f>
        <v>2013</v>
      </c>
      <c r="I1631" s="2" t="n">
        <v>76</v>
      </c>
      <c r="J1631" s="0" t="n">
        <v>0.69</v>
      </c>
      <c r="K1631" s="0" t="n">
        <v>0.578</v>
      </c>
      <c r="L1631" s="3" t="str">
        <f aca="false">IF(K1631&gt;0.66,"High",IF(K1631&gt;0.33&amp;K1631&lt;=0.66,"Medium","Low"))</f>
        <v>Low</v>
      </c>
      <c r="M1631" s="0" t="n">
        <v>-7.436</v>
      </c>
      <c r="N1631" s="3" t="n">
        <v>0.0929</v>
      </c>
      <c r="O1631" s="3" t="n">
        <v>0.167</v>
      </c>
      <c r="P1631" s="4" t="n">
        <v>0</v>
      </c>
      <c r="Q1631" s="3" t="n">
        <v>0.305</v>
      </c>
      <c r="R1631" s="3" t="n">
        <v>0.416</v>
      </c>
      <c r="S1631" s="3" t="str">
        <f aca="false">IF(R1631 &gt;= 0.5, "Positive", "Negative")</f>
        <v>Negative</v>
      </c>
      <c r="T1631" s="2" t="n">
        <v>99.961</v>
      </c>
      <c r="U1631" s="0" t="s">
        <v>22</v>
      </c>
    </row>
    <row r="1632" customFormat="false" ht="14.25" hidden="false" customHeight="false" outlineLevel="0" collapsed="false">
      <c r="A1632" s="0" t="n">
        <v>610</v>
      </c>
      <c r="B1632" s="0" t="str">
        <f aca="false">_xlfn.xlookup(A1632, artists!A$2:A$836, artists!B$2:B$836)</f>
        <v>DJ Snake</v>
      </c>
      <c r="C1632" s="1" t="s">
        <v>1655</v>
      </c>
      <c r="D1632" s="2" t="n">
        <v>212500</v>
      </c>
      <c r="E1632" s="2" t="n">
        <f aca="false">D1632/1000</f>
        <v>212.5</v>
      </c>
      <c r="F1632" s="10" t="b">
        <f aca="false">TRUE()</f>
        <v>1</v>
      </c>
      <c r="G1632" s="0" t="n">
        <v>21</v>
      </c>
      <c r="H1632" s="0" t="n">
        <f aca="false">_xlfn.xlookup(G1632, years!A$2:A$836, years!B$2:B$836)</f>
        <v>2018</v>
      </c>
      <c r="I1632" s="2" t="n">
        <v>76</v>
      </c>
      <c r="J1632" s="0" t="n">
        <v>0.842</v>
      </c>
      <c r="K1632" s="0" t="n">
        <v>0.801</v>
      </c>
      <c r="L1632" s="3" t="str">
        <f aca="false">IF(K1632&gt;0.66,"High",IF(K1632&gt;0.33&amp;K1632&lt;=0.66,"Medium","Low"))</f>
        <v>High</v>
      </c>
      <c r="M1632" s="0" t="n">
        <v>-4.167</v>
      </c>
      <c r="N1632" s="3" t="n">
        <v>0.228</v>
      </c>
      <c r="O1632" s="3" t="n">
        <v>0.157</v>
      </c>
      <c r="P1632" s="4" t="n">
        <v>4.82E-006</v>
      </c>
      <c r="Q1632" s="3" t="n">
        <v>0.0642</v>
      </c>
      <c r="R1632" s="3" t="n">
        <v>0.617</v>
      </c>
      <c r="S1632" s="3" t="str">
        <f aca="false">IF(R1632 &gt;= 0.5, "Positive", "Negative")</f>
        <v>Positive</v>
      </c>
      <c r="T1632" s="2" t="n">
        <v>95.881</v>
      </c>
      <c r="U1632" s="0" t="s">
        <v>53</v>
      </c>
    </row>
    <row r="1633" customFormat="false" ht="14.25" hidden="false" customHeight="false" outlineLevel="0" collapsed="false">
      <c r="A1633" s="0" t="n">
        <v>80</v>
      </c>
      <c r="B1633" s="0" t="str">
        <f aca="false">_xlfn.xlookup(A1633, artists!A$2:A$836, artists!B$2:B$836)</f>
        <v>Wheatus</v>
      </c>
      <c r="C1633" s="1" t="s">
        <v>1656</v>
      </c>
      <c r="D1633" s="2" t="n">
        <v>241666</v>
      </c>
      <c r="E1633" s="2" t="n">
        <f aca="false">D1633/1000</f>
        <v>241.666</v>
      </c>
      <c r="F1633" s="10" t="b">
        <f aca="false">TRUE()</f>
        <v>1</v>
      </c>
      <c r="G1633" s="0" t="n">
        <v>2</v>
      </c>
      <c r="H1633" s="0" t="n">
        <f aca="false">_xlfn.xlookup(G1633, years!A$2:A$836, years!B$2:B$836)</f>
        <v>1999</v>
      </c>
      <c r="I1633" s="2" t="n">
        <v>71</v>
      </c>
      <c r="J1633" s="0" t="n">
        <v>0.625</v>
      </c>
      <c r="K1633" s="0" t="n">
        <v>0.85</v>
      </c>
      <c r="L1633" s="3" t="str">
        <f aca="false">IF(K1633&gt;0.66,"High",IF(K1633&gt;0.33&amp;K1633&lt;=0.66,"Medium","Low"))</f>
        <v>High</v>
      </c>
      <c r="M1633" s="0" t="n">
        <v>-3.904</v>
      </c>
      <c r="N1633" s="3" t="n">
        <v>0.0495</v>
      </c>
      <c r="O1633" s="3" t="n">
        <v>0.346</v>
      </c>
      <c r="P1633" s="4" t="n">
        <v>0.000233</v>
      </c>
      <c r="Q1633" s="3" t="n">
        <v>0.174</v>
      </c>
      <c r="R1633" s="3" t="n">
        <v>0.633</v>
      </c>
      <c r="S1633" s="3" t="str">
        <f aca="false">IF(R1633 &gt;= 0.5, "Positive", "Negative")</f>
        <v>Positive</v>
      </c>
      <c r="T1633" s="2" t="n">
        <v>94.661</v>
      </c>
      <c r="U1633" s="0" t="s">
        <v>118</v>
      </c>
    </row>
    <row r="1634" customFormat="false" ht="14.25" hidden="false" customHeight="false" outlineLevel="0" collapsed="false">
      <c r="A1634" s="0" t="n">
        <v>398</v>
      </c>
      <c r="B1634" s="0" t="str">
        <f aca="false">_xlfn.xlookup(A1634, artists!A$2:A$836, artists!B$2:B$836)</f>
        <v>Katy Perry</v>
      </c>
      <c r="C1634" s="1" t="s">
        <v>1657</v>
      </c>
      <c r="D1634" s="2" t="n">
        <v>227741</v>
      </c>
      <c r="E1634" s="2" t="n">
        <f aca="false">D1634/1000</f>
        <v>227.741</v>
      </c>
      <c r="F1634" s="10" t="b">
        <f aca="false">FALSE()</f>
        <v>0</v>
      </c>
      <c r="G1634" s="0" t="n">
        <v>13</v>
      </c>
      <c r="H1634" s="0" t="n">
        <f aca="false">_xlfn.xlookup(G1634, years!A$2:A$836, years!B$2:B$836)</f>
        <v>2010</v>
      </c>
      <c r="I1634" s="2" t="n">
        <v>69</v>
      </c>
      <c r="J1634" s="0" t="n">
        <v>0.719</v>
      </c>
      <c r="K1634" s="0" t="n">
        <v>0.798</v>
      </c>
      <c r="L1634" s="3" t="str">
        <f aca="false">IF(K1634&gt;0.66,"High",IF(K1634&gt;0.33&amp;K1634&lt;=0.66,"Medium","Low"))</f>
        <v>High</v>
      </c>
      <c r="M1634" s="0" t="n">
        <v>-4.582</v>
      </c>
      <c r="N1634" s="3" t="n">
        <v>0.0361</v>
      </c>
      <c r="O1634" s="3" t="n">
        <v>0.0162</v>
      </c>
      <c r="P1634" s="4" t="n">
        <v>2.34E-006</v>
      </c>
      <c r="Q1634" s="3" t="n">
        <v>0.134</v>
      </c>
      <c r="R1634" s="3" t="n">
        <v>0.591</v>
      </c>
      <c r="S1634" s="3" t="str">
        <f aca="false">IF(R1634 &gt;= 0.5, "Positive", "Negative")</f>
        <v>Positive</v>
      </c>
      <c r="T1634" s="2" t="n">
        <v>120.011</v>
      </c>
      <c r="U1634" s="0" t="s">
        <v>39</v>
      </c>
    </row>
    <row r="1635" customFormat="false" ht="14.25" hidden="false" customHeight="false" outlineLevel="0" collapsed="false">
      <c r="A1635" s="0" t="n">
        <v>357</v>
      </c>
      <c r="B1635" s="0" t="str">
        <f aca="false">_xlfn.xlookup(A1635, artists!A$2:A$836, artists!B$2:B$836)</f>
        <v>My Chemical Romance</v>
      </c>
      <c r="C1635" s="1" t="s">
        <v>1658</v>
      </c>
      <c r="D1635" s="2" t="n">
        <v>161920</v>
      </c>
      <c r="E1635" s="2" t="n">
        <f aca="false">D1635/1000</f>
        <v>161.92</v>
      </c>
      <c r="F1635" s="10" t="b">
        <f aca="false">FALSE()</f>
        <v>0</v>
      </c>
      <c r="G1635" s="0" t="n">
        <v>9</v>
      </c>
      <c r="H1635" s="0" t="n">
        <f aca="false">_xlfn.xlookup(G1635, years!A$2:A$836, years!B$2:B$836)</f>
        <v>2006</v>
      </c>
      <c r="I1635" s="2" t="n">
        <v>80</v>
      </c>
      <c r="J1635" s="0" t="n">
        <v>0.463</v>
      </c>
      <c r="K1635" s="0" t="n">
        <v>0.857</v>
      </c>
      <c r="L1635" s="3" t="str">
        <f aca="false">IF(K1635&gt;0.66,"High",IF(K1635&gt;0.33&amp;K1635&lt;=0.66,"Medium","Low"))</f>
        <v>High</v>
      </c>
      <c r="M1635" s="0" t="n">
        <v>-3.063</v>
      </c>
      <c r="N1635" s="3" t="n">
        <v>0.0632</v>
      </c>
      <c r="O1635" s="3" t="n">
        <v>0.0506</v>
      </c>
      <c r="P1635" s="4" t="n">
        <v>0</v>
      </c>
      <c r="Q1635" s="3" t="n">
        <v>0.184</v>
      </c>
      <c r="R1635" s="3" t="n">
        <v>0.856</v>
      </c>
      <c r="S1635" s="3" t="str">
        <f aca="false">IF(R1635 &gt;= 0.5, "Positive", "Negative")</f>
        <v>Positive</v>
      </c>
      <c r="T1635" s="2" t="n">
        <v>111.647</v>
      </c>
      <c r="U1635" s="0" t="s">
        <v>43</v>
      </c>
    </row>
    <row r="1636" customFormat="false" ht="14.25" hidden="false" customHeight="false" outlineLevel="0" collapsed="false">
      <c r="A1636" s="0" t="n">
        <v>437</v>
      </c>
      <c r="B1636" s="0" t="str">
        <f aca="false">_xlfn.xlookup(A1636, artists!A$2:A$836, artists!B$2:B$836)</f>
        <v>Lady Gaga</v>
      </c>
      <c r="C1636" s="1" t="s">
        <v>1659</v>
      </c>
      <c r="D1636" s="2" t="n">
        <v>220640</v>
      </c>
      <c r="E1636" s="2" t="n">
        <f aca="false">D1636/1000</f>
        <v>220.64</v>
      </c>
      <c r="F1636" s="10" t="b">
        <f aca="false">FALSE()</f>
        <v>0</v>
      </c>
      <c r="G1636" s="0" t="n">
        <v>12</v>
      </c>
      <c r="H1636" s="0" t="n">
        <f aca="false">_xlfn.xlookup(G1636, years!A$2:A$836, years!B$2:B$836)</f>
        <v>2009</v>
      </c>
      <c r="I1636" s="2" t="n">
        <v>69</v>
      </c>
      <c r="J1636" s="0" t="n">
        <v>0.824</v>
      </c>
      <c r="K1636" s="0" t="n">
        <v>0.836</v>
      </c>
      <c r="L1636" s="3" t="str">
        <f aca="false">IF(K1636&gt;0.66,"High",IF(K1636&gt;0.33&amp;K1636&lt;=0.66,"Medium","Low"))</f>
        <v>High</v>
      </c>
      <c r="M1636" s="0" t="n">
        <v>-5.903</v>
      </c>
      <c r="N1636" s="3" t="n">
        <v>0.0404</v>
      </c>
      <c r="O1636" s="3" t="n">
        <v>0.00521</v>
      </c>
      <c r="P1636" s="4" t="n">
        <v>0.000817</v>
      </c>
      <c r="Q1636" s="3" t="n">
        <v>0.112</v>
      </c>
      <c r="R1636" s="3" t="n">
        <v>0.716</v>
      </c>
      <c r="S1636" s="3" t="str">
        <f aca="false">IF(R1636 &gt;= 0.5, "Positive", "Negative")</f>
        <v>Positive</v>
      </c>
      <c r="T1636" s="2" t="n">
        <v>122.014</v>
      </c>
      <c r="U1636" s="0" t="s">
        <v>39</v>
      </c>
    </row>
    <row r="1637" customFormat="false" ht="14.25" hidden="false" customHeight="false" outlineLevel="0" collapsed="false">
      <c r="A1637" s="0" t="n">
        <v>169</v>
      </c>
      <c r="B1637" s="0" t="str">
        <f aca="false">_xlfn.xlookup(A1637, artists!A$2:A$836, artists!B$2:B$836)</f>
        <v>Sean Paul</v>
      </c>
      <c r="C1637" s="1" t="s">
        <v>1660</v>
      </c>
      <c r="D1637" s="2" t="n">
        <v>218573</v>
      </c>
      <c r="E1637" s="2" t="n">
        <f aca="false">D1637/1000</f>
        <v>218.573</v>
      </c>
      <c r="F1637" s="10" t="b">
        <f aca="false">FALSE()</f>
        <v>0</v>
      </c>
      <c r="G1637" s="0" t="n">
        <v>8</v>
      </c>
      <c r="H1637" s="0" t="n">
        <f aca="false">_xlfn.xlookup(G1637, years!A$2:A$836, years!B$2:B$836)</f>
        <v>2005</v>
      </c>
      <c r="I1637" s="2" t="n">
        <v>78</v>
      </c>
      <c r="J1637" s="0" t="n">
        <v>0.951</v>
      </c>
      <c r="K1637" s="0" t="n">
        <v>0.6</v>
      </c>
      <c r="L1637" s="3" t="str">
        <f aca="false">IF(K1637&gt;0.66,"High",IF(K1637&gt;0.33&amp;K1637&lt;=0.66,"Medium","Low"))</f>
        <v>Low</v>
      </c>
      <c r="M1637" s="0" t="n">
        <v>-4.675</v>
      </c>
      <c r="N1637" s="3" t="n">
        <v>0.0685</v>
      </c>
      <c r="O1637" s="3" t="n">
        <v>0.106</v>
      </c>
      <c r="P1637" s="4" t="n">
        <v>0</v>
      </c>
      <c r="Q1637" s="3" t="n">
        <v>0.0712</v>
      </c>
      <c r="R1637" s="3" t="n">
        <v>0.822</v>
      </c>
      <c r="S1637" s="3" t="str">
        <f aca="false">IF(R1637 &gt;= 0.5, "Positive", "Negative")</f>
        <v>Positive</v>
      </c>
      <c r="T1637" s="2" t="n">
        <v>125.04</v>
      </c>
      <c r="U1637" s="0" t="s">
        <v>24</v>
      </c>
    </row>
    <row r="1638" customFormat="false" ht="14.25" hidden="false" customHeight="false" outlineLevel="0" collapsed="false">
      <c r="A1638" s="0" t="n">
        <v>50</v>
      </c>
      <c r="B1638" s="0" t="str">
        <f aca="false">_xlfn.xlookup(A1638, artists!A$2:A$836, artists!B$2:B$836)</f>
        <v>Mariah Carey</v>
      </c>
      <c r="C1638" s="1" t="s">
        <v>1661</v>
      </c>
      <c r="D1638" s="2" t="n">
        <v>257360</v>
      </c>
      <c r="E1638" s="2" t="n">
        <f aca="false">D1638/1000</f>
        <v>257.36</v>
      </c>
      <c r="F1638" s="10" t="b">
        <f aca="false">FALSE()</f>
        <v>0</v>
      </c>
      <c r="G1638" s="0" t="n">
        <v>2</v>
      </c>
      <c r="H1638" s="0" t="n">
        <f aca="false">_xlfn.xlookup(G1638, years!A$2:A$836, years!B$2:B$836)</f>
        <v>1999</v>
      </c>
      <c r="I1638" s="2" t="n">
        <v>59</v>
      </c>
      <c r="J1638" s="0" t="n">
        <v>0.348</v>
      </c>
      <c r="K1638" s="0" t="n">
        <v>0.532</v>
      </c>
      <c r="L1638" s="3" t="str">
        <f aca="false">IF(K1638&gt;0.66,"High",IF(K1638&gt;0.33&amp;K1638&lt;=0.66,"Medium","Low"))</f>
        <v>Low</v>
      </c>
      <c r="M1638" s="0" t="n">
        <v>-5.882</v>
      </c>
      <c r="N1638" s="3" t="n">
        <v>0.0331</v>
      </c>
      <c r="O1638" s="3" t="n">
        <v>0.592</v>
      </c>
      <c r="P1638" s="4" t="n">
        <v>0</v>
      </c>
      <c r="Q1638" s="3" t="n">
        <v>0.106</v>
      </c>
      <c r="R1638" s="3" t="n">
        <v>0.148</v>
      </c>
      <c r="S1638" s="3" t="str">
        <f aca="false">IF(R1638 &gt;= 0.5, "Positive", "Negative")</f>
        <v>Negative</v>
      </c>
      <c r="T1638" s="2" t="n">
        <v>129.297</v>
      </c>
      <c r="U1638" s="0" t="s">
        <v>33</v>
      </c>
    </row>
    <row r="1639" customFormat="false" ht="14.25" hidden="false" customHeight="false" outlineLevel="0" collapsed="false">
      <c r="A1639" s="0" t="n">
        <v>106</v>
      </c>
      <c r="B1639" s="0" t="str">
        <f aca="false">_xlfn.xlookup(A1639, artists!A$2:A$836, artists!B$2:B$836)</f>
        <v>Dido</v>
      </c>
      <c r="C1639" s="1" t="s">
        <v>1662</v>
      </c>
      <c r="D1639" s="2" t="n">
        <v>218360</v>
      </c>
      <c r="E1639" s="2" t="n">
        <f aca="false">D1639/1000</f>
        <v>218.36</v>
      </c>
      <c r="F1639" s="10" t="b">
        <f aca="false">FALSE()</f>
        <v>0</v>
      </c>
      <c r="G1639" s="0" t="n">
        <v>2</v>
      </c>
      <c r="H1639" s="0" t="n">
        <f aca="false">_xlfn.xlookup(G1639, years!A$2:A$836, years!B$2:B$836)</f>
        <v>1999</v>
      </c>
      <c r="I1639" s="2" t="n">
        <v>73</v>
      </c>
      <c r="J1639" s="0" t="n">
        <v>0.725</v>
      </c>
      <c r="K1639" s="0" t="n">
        <v>0.583</v>
      </c>
      <c r="L1639" s="3" t="str">
        <f aca="false">IF(K1639&gt;0.66,"High",IF(K1639&gt;0.33&amp;K1639&lt;=0.66,"Medium","Low"))</f>
        <v>Low</v>
      </c>
      <c r="M1639" s="0" t="n">
        <v>-9.942</v>
      </c>
      <c r="N1639" s="3" t="n">
        <v>0.0427</v>
      </c>
      <c r="O1639" s="3" t="n">
        <v>0.3</v>
      </c>
      <c r="P1639" s="4" t="n">
        <v>0.000238</v>
      </c>
      <c r="Q1639" s="3" t="n">
        <v>0.0665</v>
      </c>
      <c r="R1639" s="3" t="n">
        <v>0.762</v>
      </c>
      <c r="S1639" s="3" t="str">
        <f aca="false">IF(R1639 &gt;= 0.5, "Positive", "Negative")</f>
        <v>Positive</v>
      </c>
      <c r="T1639" s="2" t="n">
        <v>79.984</v>
      </c>
      <c r="U1639" s="0" t="s">
        <v>39</v>
      </c>
    </row>
    <row r="1640" customFormat="false" ht="14.25" hidden="false" customHeight="false" outlineLevel="0" collapsed="false">
      <c r="A1640" s="0" t="n">
        <v>309</v>
      </c>
      <c r="B1640" s="0" t="str">
        <f aca="false">_xlfn.xlookup(A1640, artists!A$2:A$836, artists!B$2:B$836)</f>
        <v>Shayne Ward</v>
      </c>
      <c r="C1640" s="1" t="s">
        <v>1663</v>
      </c>
      <c r="D1640" s="2" t="n">
        <v>219600</v>
      </c>
      <c r="E1640" s="2" t="n">
        <f aca="false">D1640/1000</f>
        <v>219.6</v>
      </c>
      <c r="F1640" s="10" t="b">
        <f aca="false">FALSE()</f>
        <v>0</v>
      </c>
      <c r="G1640" s="0" t="n">
        <v>9</v>
      </c>
      <c r="H1640" s="0" t="n">
        <f aca="false">_xlfn.xlookup(G1640, years!A$2:A$836, years!B$2:B$836)</f>
        <v>2006</v>
      </c>
      <c r="I1640" s="2" t="n">
        <v>1</v>
      </c>
      <c r="J1640" s="0" t="n">
        <v>0.286</v>
      </c>
      <c r="K1640" s="0" t="n">
        <v>0.508</v>
      </c>
      <c r="L1640" s="3" t="str">
        <f aca="false">IF(K1640&gt;0.66,"High",IF(K1640&gt;0.33&amp;K1640&lt;=0.66,"Medium","Low"))</f>
        <v>Low</v>
      </c>
      <c r="M1640" s="0" t="n">
        <v>-5.966</v>
      </c>
      <c r="N1640" s="3" t="n">
        <v>0.0336</v>
      </c>
      <c r="O1640" s="3" t="n">
        <v>0.372</v>
      </c>
      <c r="P1640" s="4" t="n">
        <v>0</v>
      </c>
      <c r="Q1640" s="3" t="n">
        <v>0.27</v>
      </c>
      <c r="R1640" s="3" t="n">
        <v>0.14</v>
      </c>
      <c r="S1640" s="3" t="str">
        <f aca="false">IF(R1640 &gt;= 0.5, "Positive", "Negative")</f>
        <v>Negative</v>
      </c>
      <c r="T1640" s="2" t="n">
        <v>68.637</v>
      </c>
      <c r="U1640" s="0" t="s">
        <v>39</v>
      </c>
    </row>
    <row r="1641" customFormat="false" ht="14.25" hidden="false" customHeight="false" outlineLevel="0" collapsed="false">
      <c r="A1641" s="0" t="n">
        <v>418</v>
      </c>
      <c r="B1641" s="0" t="str">
        <f aca="false">_xlfn.xlookup(A1641, artists!A$2:A$836, artists!B$2:B$836)</f>
        <v>The Ting Tings</v>
      </c>
      <c r="C1641" s="1" t="s">
        <v>1664</v>
      </c>
      <c r="D1641" s="2" t="n">
        <v>310573</v>
      </c>
      <c r="E1641" s="2" t="n">
        <f aca="false">D1641/1000</f>
        <v>310.573</v>
      </c>
      <c r="F1641" s="10" t="b">
        <f aca="false">FALSE()</f>
        <v>0</v>
      </c>
      <c r="G1641" s="0" t="n">
        <v>11</v>
      </c>
      <c r="H1641" s="0" t="n">
        <f aca="false">_xlfn.xlookup(G1641, years!A$2:A$836, years!B$2:B$836)</f>
        <v>2008</v>
      </c>
      <c r="I1641" s="2" t="n">
        <v>51</v>
      </c>
      <c r="J1641" s="0" t="n">
        <v>0.755</v>
      </c>
      <c r="K1641" s="0" t="n">
        <v>0.901</v>
      </c>
      <c r="L1641" s="3" t="str">
        <f aca="false">IF(K1641&gt;0.66,"High",IF(K1641&gt;0.33&amp;K1641&lt;=0.66,"Medium","Low"))</f>
        <v>High</v>
      </c>
      <c r="M1641" s="0" t="n">
        <v>-3.152</v>
      </c>
      <c r="N1641" s="3" t="n">
        <v>0.0893</v>
      </c>
      <c r="O1641" s="3" t="n">
        <v>0.0451</v>
      </c>
      <c r="P1641" s="4" t="n">
        <v>0.0373</v>
      </c>
      <c r="Q1641" s="3" t="n">
        <v>0.363</v>
      </c>
      <c r="R1641" s="3" t="n">
        <v>0.959</v>
      </c>
      <c r="S1641" s="3" t="str">
        <f aca="false">IF(R1641 &gt;= 0.5, "Positive", "Negative")</f>
        <v>Positive</v>
      </c>
      <c r="T1641" s="2" t="n">
        <v>145.042</v>
      </c>
      <c r="U1641" s="0" t="s">
        <v>292</v>
      </c>
    </row>
    <row r="1642" customFormat="false" ht="14.25" hidden="false" customHeight="false" outlineLevel="0" collapsed="false">
      <c r="A1642" s="0" t="n">
        <v>65</v>
      </c>
      <c r="B1642" s="0" t="str">
        <f aca="false">_xlfn.xlookup(A1642, artists!A$2:A$836, artists!B$2:B$836)</f>
        <v>Céline Dion</v>
      </c>
      <c r="C1642" s="1" t="s">
        <v>1665</v>
      </c>
      <c r="D1642" s="2" t="n">
        <v>241373</v>
      </c>
      <c r="E1642" s="2" t="n">
        <f aca="false">D1642/1000</f>
        <v>241.373</v>
      </c>
      <c r="F1642" s="10" t="b">
        <f aca="false">FALSE()</f>
        <v>0</v>
      </c>
      <c r="G1642" s="0" t="n">
        <v>2</v>
      </c>
      <c r="H1642" s="0" t="n">
        <f aca="false">_xlfn.xlookup(G1642, years!A$2:A$836, years!B$2:B$836)</f>
        <v>1999</v>
      </c>
      <c r="I1642" s="2" t="n">
        <v>64</v>
      </c>
      <c r="J1642" s="0" t="n">
        <v>0.634</v>
      </c>
      <c r="K1642" s="0" t="n">
        <v>0.886</v>
      </c>
      <c r="L1642" s="3" t="str">
        <f aca="false">IF(K1642&gt;0.66,"High",IF(K1642&gt;0.33&amp;K1642&lt;=0.66,"Medium","Low"))</f>
        <v>High</v>
      </c>
      <c r="M1642" s="0" t="n">
        <v>-5.424</v>
      </c>
      <c r="N1642" s="3" t="n">
        <v>0.0434</v>
      </c>
      <c r="O1642" s="3" t="n">
        <v>0.154</v>
      </c>
      <c r="P1642" s="4" t="n">
        <v>0</v>
      </c>
      <c r="Q1642" s="3" t="n">
        <v>0.118</v>
      </c>
      <c r="R1642" s="3" t="n">
        <v>0.577</v>
      </c>
      <c r="S1642" s="3" t="str">
        <f aca="false">IF(R1642 &gt;= 0.5, "Positive", "Negative")</f>
        <v>Positive</v>
      </c>
      <c r="T1642" s="2" t="n">
        <v>93.04</v>
      </c>
      <c r="U1642" s="0" t="s">
        <v>39</v>
      </c>
    </row>
    <row r="1643" customFormat="false" ht="14.25" hidden="false" customHeight="false" outlineLevel="0" collapsed="false">
      <c r="A1643" s="0" t="n">
        <v>58</v>
      </c>
      <c r="B1643" s="0" t="str">
        <f aca="false">_xlfn.xlookup(A1643, artists!A$2:A$836, artists!B$2:B$836)</f>
        <v>Red Hot Chili Peppers</v>
      </c>
      <c r="C1643" s="1" t="s">
        <v>1666</v>
      </c>
      <c r="D1643" s="2" t="n">
        <v>282400</v>
      </c>
      <c r="E1643" s="2" t="n">
        <f aca="false">D1643/1000</f>
        <v>282.4</v>
      </c>
      <c r="F1643" s="10" t="b">
        <f aca="false">FALSE()</f>
        <v>0</v>
      </c>
      <c r="G1643" s="0" t="n">
        <v>14</v>
      </c>
      <c r="H1643" s="0" t="n">
        <f aca="false">_xlfn.xlookup(G1643, years!A$2:A$836, years!B$2:B$836)</f>
        <v>2011</v>
      </c>
      <c r="I1643" s="2" t="n">
        <v>65</v>
      </c>
      <c r="J1643" s="0" t="n">
        <v>0.683</v>
      </c>
      <c r="K1643" s="0" t="n">
        <v>0.734</v>
      </c>
      <c r="L1643" s="3" t="str">
        <f aca="false">IF(K1643&gt;0.66,"High",IF(K1643&gt;0.33&amp;K1643&lt;=0.66,"Medium","Low"))</f>
        <v>High</v>
      </c>
      <c r="M1643" s="0" t="n">
        <v>-4.523</v>
      </c>
      <c r="N1643" s="3" t="n">
        <v>0.029</v>
      </c>
      <c r="O1643" s="3" t="n">
        <v>0.00112</v>
      </c>
      <c r="P1643" s="4" t="n">
        <v>0.0139</v>
      </c>
      <c r="Q1643" s="3" t="n">
        <v>0.258</v>
      </c>
      <c r="R1643" s="3" t="n">
        <v>0.576</v>
      </c>
      <c r="S1643" s="3" t="str">
        <f aca="false">IF(R1643 &gt;= 0.5, "Positive", "Negative")</f>
        <v>Positive</v>
      </c>
      <c r="T1643" s="2" t="n">
        <v>106.254</v>
      </c>
      <c r="U1643" s="0" t="s">
        <v>43</v>
      </c>
    </row>
    <row r="1644" customFormat="false" ht="14.25" hidden="false" customHeight="false" outlineLevel="0" collapsed="false">
      <c r="A1644" s="0" t="n">
        <v>407</v>
      </c>
      <c r="B1644" s="0" t="str">
        <f aca="false">_xlfn.xlookup(A1644, artists!A$2:A$836, artists!B$2:B$836)</f>
        <v>Alesha Dixon</v>
      </c>
      <c r="C1644" s="1" t="s">
        <v>1667</v>
      </c>
      <c r="D1644" s="2" t="n">
        <v>210680</v>
      </c>
      <c r="E1644" s="2" t="n">
        <f aca="false">D1644/1000</f>
        <v>210.68</v>
      </c>
      <c r="F1644" s="10" t="b">
        <f aca="false">FALSE()</f>
        <v>0</v>
      </c>
      <c r="G1644" s="0" t="n">
        <v>11</v>
      </c>
      <c r="H1644" s="0" t="n">
        <f aca="false">_xlfn.xlookup(G1644, years!A$2:A$836, years!B$2:B$836)</f>
        <v>2008</v>
      </c>
      <c r="I1644" s="2" t="n">
        <v>51</v>
      </c>
      <c r="J1644" s="0" t="n">
        <v>0.632</v>
      </c>
      <c r="K1644" s="0" t="n">
        <v>0.972</v>
      </c>
      <c r="L1644" s="3" t="str">
        <f aca="false">IF(K1644&gt;0.66,"High",IF(K1644&gt;0.33&amp;K1644&lt;=0.66,"Medium","Low"))</f>
        <v>High</v>
      </c>
      <c r="M1644" s="0" t="n">
        <v>-2.423</v>
      </c>
      <c r="N1644" s="3" t="n">
        <v>0.121</v>
      </c>
      <c r="O1644" s="3" t="n">
        <v>0.121</v>
      </c>
      <c r="P1644" s="4" t="n">
        <v>7.74E-005</v>
      </c>
      <c r="Q1644" s="3" t="n">
        <v>0.0317</v>
      </c>
      <c r="R1644" s="3" t="n">
        <v>0.845</v>
      </c>
      <c r="S1644" s="3" t="str">
        <f aca="false">IF(R1644 &gt;= 0.5, "Positive", "Negative")</f>
        <v>Positive</v>
      </c>
      <c r="T1644" s="2" t="n">
        <v>87</v>
      </c>
      <c r="U1644" s="0" t="s">
        <v>39</v>
      </c>
    </row>
    <row r="1645" customFormat="false" ht="14.25" hidden="false" customHeight="false" outlineLevel="0" collapsed="false">
      <c r="A1645" s="0" t="n">
        <v>275</v>
      </c>
      <c r="B1645" s="0" t="str">
        <f aca="false">_xlfn.xlookup(A1645, artists!A$2:A$836, artists!B$2:B$836)</f>
        <v>Katie Melua</v>
      </c>
      <c r="C1645" s="1" t="s">
        <v>1668</v>
      </c>
      <c r="D1645" s="2" t="n">
        <v>252466</v>
      </c>
      <c r="E1645" s="2" t="n">
        <f aca="false">D1645/1000</f>
        <v>252.466</v>
      </c>
      <c r="F1645" s="10" t="b">
        <f aca="false">FALSE()</f>
        <v>0</v>
      </c>
      <c r="G1645" s="0" t="n">
        <v>6</v>
      </c>
      <c r="H1645" s="0" t="n">
        <f aca="false">_xlfn.xlookup(G1645, years!A$2:A$836, years!B$2:B$836)</f>
        <v>2003</v>
      </c>
      <c r="I1645" s="2" t="n">
        <v>55</v>
      </c>
      <c r="J1645" s="0" t="n">
        <v>0.562</v>
      </c>
      <c r="K1645" s="0" t="n">
        <v>0.219</v>
      </c>
      <c r="L1645" s="3" t="str">
        <f aca="false">IF(K1645&gt;0.66,"High",IF(K1645&gt;0.33&amp;K1645&lt;=0.66,"Medium","Low"))</f>
        <v>Low</v>
      </c>
      <c r="M1645" s="0" t="n">
        <v>-13.2</v>
      </c>
      <c r="N1645" s="3" t="n">
        <v>0.0312</v>
      </c>
      <c r="O1645" s="3" t="n">
        <v>0.856</v>
      </c>
      <c r="P1645" s="4" t="n">
        <v>0.000296</v>
      </c>
      <c r="Q1645" s="3" t="n">
        <v>0.0979</v>
      </c>
      <c r="R1645" s="3" t="n">
        <v>0.106</v>
      </c>
      <c r="S1645" s="3" t="str">
        <f aca="false">IF(R1645 &gt;= 0.5, "Positive", "Negative")</f>
        <v>Negative</v>
      </c>
      <c r="T1645" s="2" t="n">
        <v>127.831</v>
      </c>
      <c r="U1645" s="0" t="s">
        <v>1190</v>
      </c>
    </row>
    <row r="1646" customFormat="false" ht="14.25" hidden="false" customHeight="false" outlineLevel="0" collapsed="false">
      <c r="A1646" s="0" t="n">
        <v>367</v>
      </c>
      <c r="B1646" s="0" t="str">
        <f aca="false">_xlfn.xlookup(A1646, artists!A$2:A$836, artists!B$2:B$836)</f>
        <v>Camille Jones</v>
      </c>
      <c r="C1646" s="1" t="s">
        <v>1669</v>
      </c>
      <c r="D1646" s="2" t="n">
        <v>152333</v>
      </c>
      <c r="E1646" s="2" t="n">
        <f aca="false">D1646/1000</f>
        <v>152.333</v>
      </c>
      <c r="F1646" s="10" t="b">
        <f aca="false">FALSE()</f>
        <v>0</v>
      </c>
      <c r="G1646" s="0" t="n">
        <v>9</v>
      </c>
      <c r="H1646" s="0" t="n">
        <f aca="false">_xlfn.xlookup(G1646, years!A$2:A$836, years!B$2:B$836)</f>
        <v>2006</v>
      </c>
      <c r="I1646" s="2" t="n">
        <v>17</v>
      </c>
      <c r="J1646" s="0" t="n">
        <v>0.847</v>
      </c>
      <c r="K1646" s="0" t="n">
        <v>0.861</v>
      </c>
      <c r="L1646" s="3" t="str">
        <f aca="false">IF(K1646&gt;0.66,"High",IF(K1646&gt;0.33&amp;K1646&lt;=0.66,"Medium","Low"))</f>
        <v>High</v>
      </c>
      <c r="M1646" s="0" t="n">
        <v>-6.632</v>
      </c>
      <c r="N1646" s="3" t="n">
        <v>0.0603</v>
      </c>
      <c r="O1646" s="3" t="n">
        <v>0.278</v>
      </c>
      <c r="P1646" s="4" t="n">
        <v>0.029</v>
      </c>
      <c r="Q1646" s="3" t="n">
        <v>0.0626</v>
      </c>
      <c r="R1646" s="3" t="n">
        <v>0.724</v>
      </c>
      <c r="S1646" s="3" t="str">
        <f aca="false">IF(R1646 &gt;= 0.5, "Positive", "Negative")</f>
        <v>Positive</v>
      </c>
      <c r="T1646" s="2" t="n">
        <v>127.894</v>
      </c>
      <c r="U1646" s="0" t="s">
        <v>118</v>
      </c>
    </row>
    <row r="1647" customFormat="false" ht="14.25" hidden="false" customHeight="false" outlineLevel="0" collapsed="false">
      <c r="A1647" s="0" t="n">
        <v>437</v>
      </c>
      <c r="B1647" s="0" t="str">
        <f aca="false">_xlfn.xlookup(A1647, artists!A$2:A$836, artists!B$2:B$836)</f>
        <v>Lady Gaga</v>
      </c>
      <c r="C1647" s="1" t="s">
        <v>1670</v>
      </c>
      <c r="D1647" s="2" t="n">
        <v>320546</v>
      </c>
      <c r="E1647" s="2" t="n">
        <f aca="false">D1647/1000</f>
        <v>320.546</v>
      </c>
      <c r="F1647" s="10" t="b">
        <f aca="false">FALSE()</f>
        <v>0</v>
      </c>
      <c r="G1647" s="0" t="n">
        <v>14</v>
      </c>
      <c r="H1647" s="0" t="n">
        <f aca="false">_xlfn.xlookup(G1647, years!A$2:A$836, years!B$2:B$836)</f>
        <v>2011</v>
      </c>
      <c r="I1647" s="2" t="n">
        <v>67</v>
      </c>
      <c r="J1647" s="0" t="n">
        <v>0.583</v>
      </c>
      <c r="K1647" s="0" t="n">
        <v>0.768</v>
      </c>
      <c r="L1647" s="3" t="str">
        <f aca="false">IF(K1647&gt;0.66,"High",IF(K1647&gt;0.33&amp;K1647&lt;=0.66,"Medium","Low"))</f>
        <v>High</v>
      </c>
      <c r="M1647" s="0" t="n">
        <v>-6.477</v>
      </c>
      <c r="N1647" s="3" t="n">
        <v>0.041</v>
      </c>
      <c r="O1647" s="3" t="n">
        <v>0.000323</v>
      </c>
      <c r="P1647" s="4" t="n">
        <v>0.0162</v>
      </c>
      <c r="Q1647" s="3" t="n">
        <v>0.109</v>
      </c>
      <c r="R1647" s="3" t="n">
        <v>0.357</v>
      </c>
      <c r="S1647" s="3" t="str">
        <f aca="false">IF(R1647 &gt;= 0.5, "Positive", "Negative")</f>
        <v>Negative</v>
      </c>
      <c r="T1647" s="2" t="n">
        <v>127.952</v>
      </c>
      <c r="U1647" s="0" t="s">
        <v>39</v>
      </c>
    </row>
    <row r="1648" customFormat="false" ht="14.25" hidden="false" customHeight="false" outlineLevel="0" collapsed="false">
      <c r="A1648" s="0" t="n">
        <v>342</v>
      </c>
      <c r="B1648" s="0" t="str">
        <f aca="false">_xlfn.xlookup(A1648, artists!A$2:A$836, artists!B$2:B$836)</f>
        <v>Lily Allen</v>
      </c>
      <c r="C1648" s="1" t="s">
        <v>1671</v>
      </c>
      <c r="D1648" s="2" t="n">
        <v>207120</v>
      </c>
      <c r="E1648" s="2" t="n">
        <f aca="false">D1648/1000</f>
        <v>207.12</v>
      </c>
      <c r="F1648" s="10" t="b">
        <f aca="false">TRUE()</f>
        <v>1</v>
      </c>
      <c r="G1648" s="0" t="n">
        <v>12</v>
      </c>
      <c r="H1648" s="0" t="n">
        <f aca="false">_xlfn.xlookup(G1648, years!A$2:A$836, years!B$2:B$836)</f>
        <v>2009</v>
      </c>
      <c r="I1648" s="2" t="n">
        <v>53</v>
      </c>
      <c r="J1648" s="0" t="n">
        <v>0.661</v>
      </c>
      <c r="K1648" s="0" t="n">
        <v>0.847</v>
      </c>
      <c r="L1648" s="3" t="str">
        <f aca="false">IF(K1648&gt;0.66,"High",IF(K1648&gt;0.33&amp;K1648&lt;=0.66,"Medium","Low"))</f>
        <v>High</v>
      </c>
      <c r="M1648" s="0" t="n">
        <v>-6.948</v>
      </c>
      <c r="N1648" s="3" t="n">
        <v>0.0404</v>
      </c>
      <c r="O1648" s="3" t="n">
        <v>0.419</v>
      </c>
      <c r="P1648" s="4" t="n">
        <v>8.82E-005</v>
      </c>
      <c r="Q1648" s="3" t="n">
        <v>0.107</v>
      </c>
      <c r="R1648" s="3" t="n">
        <v>0.522</v>
      </c>
      <c r="S1648" s="3" t="str">
        <f aca="false">IF(R1648 &gt;= 0.5, "Positive", "Negative")</f>
        <v>Positive</v>
      </c>
      <c r="T1648" s="2" t="n">
        <v>134.002</v>
      </c>
      <c r="U1648" s="0" t="s">
        <v>39</v>
      </c>
    </row>
    <row r="1649" customFormat="false" ht="14.25" hidden="false" customHeight="false" outlineLevel="0" collapsed="false">
      <c r="A1649" s="0" t="n">
        <v>331</v>
      </c>
      <c r="B1649" s="0" t="str">
        <f aca="false">_xlfn.xlookup(A1649, artists!A$2:A$836, artists!B$2:B$836)</f>
        <v>Take That</v>
      </c>
      <c r="C1649" s="1" t="s">
        <v>1672</v>
      </c>
      <c r="D1649" s="2" t="n">
        <v>289359</v>
      </c>
      <c r="E1649" s="2" t="n">
        <f aca="false">D1649/1000</f>
        <v>289.359</v>
      </c>
      <c r="F1649" s="10" t="b">
        <f aca="false">FALSE()</f>
        <v>0</v>
      </c>
      <c r="G1649" s="0" t="n">
        <v>13</v>
      </c>
      <c r="H1649" s="0" t="n">
        <f aca="false">_xlfn.xlookup(G1649, years!A$2:A$836, years!B$2:B$836)</f>
        <v>2010</v>
      </c>
      <c r="I1649" s="2" t="n">
        <v>57</v>
      </c>
      <c r="J1649" s="0" t="n">
        <v>0.514</v>
      </c>
      <c r="K1649" s="0" t="n">
        <v>0.83</v>
      </c>
      <c r="L1649" s="3" t="str">
        <f aca="false">IF(K1649&gt;0.66,"High",IF(K1649&gt;0.33&amp;K1649&lt;=0.66,"Medium","Low"))</f>
        <v>High</v>
      </c>
      <c r="M1649" s="0" t="n">
        <v>-6.077</v>
      </c>
      <c r="N1649" s="3" t="n">
        <v>0.044</v>
      </c>
      <c r="O1649" s="3" t="n">
        <v>0.0378</v>
      </c>
      <c r="P1649" s="4" t="n">
        <v>1.43E-006</v>
      </c>
      <c r="Q1649" s="3" t="n">
        <v>0.122</v>
      </c>
      <c r="R1649" s="3" t="n">
        <v>0.138</v>
      </c>
      <c r="S1649" s="3" t="str">
        <f aca="false">IF(R1649 &gt;= 0.5, "Positive", "Negative")</f>
        <v>Negative</v>
      </c>
      <c r="T1649" s="2" t="n">
        <v>100.631</v>
      </c>
      <c r="U1649" s="0" t="s">
        <v>39</v>
      </c>
    </row>
    <row r="1650" customFormat="false" ht="14.25" hidden="false" customHeight="false" outlineLevel="0" collapsed="false">
      <c r="A1650" s="0" t="n">
        <v>585</v>
      </c>
      <c r="B1650" s="0" t="str">
        <f aca="false">_xlfn.xlookup(A1650, artists!A$2:A$836, artists!B$2:B$836)</f>
        <v>Ylvis</v>
      </c>
      <c r="C1650" s="1" t="s">
        <v>1673</v>
      </c>
      <c r="D1650" s="2" t="n">
        <v>213708</v>
      </c>
      <c r="E1650" s="2" t="n">
        <f aca="false">D1650/1000</f>
        <v>213.708</v>
      </c>
      <c r="F1650" s="10" t="b">
        <f aca="false">FALSE()</f>
        <v>0</v>
      </c>
      <c r="G1650" s="0" t="n">
        <v>16</v>
      </c>
      <c r="H1650" s="0" t="n">
        <f aca="false">_xlfn.xlookup(G1650, years!A$2:A$836, years!B$2:B$836)</f>
        <v>2013</v>
      </c>
      <c r="I1650" s="2" t="n">
        <v>63</v>
      </c>
      <c r="J1650" s="0" t="n">
        <v>0.703</v>
      </c>
      <c r="K1650" s="0" t="n">
        <v>0.867</v>
      </c>
      <c r="L1650" s="3" t="str">
        <f aca="false">IF(K1650&gt;0.66,"High",IF(K1650&gt;0.33&amp;K1650&lt;=0.66,"Medium","Low"))</f>
        <v>High</v>
      </c>
      <c r="M1650" s="0" t="n">
        <v>-4.292</v>
      </c>
      <c r="N1650" s="3" t="n">
        <v>0.0453</v>
      </c>
      <c r="O1650" s="3" t="n">
        <v>0.107</v>
      </c>
      <c r="P1650" s="4" t="n">
        <v>0</v>
      </c>
      <c r="Q1650" s="3" t="n">
        <v>0.119</v>
      </c>
      <c r="R1650" s="3" t="n">
        <v>0.546</v>
      </c>
      <c r="S1650" s="3" t="str">
        <f aca="false">IF(R1650 &gt;= 0.5, "Positive", "Negative")</f>
        <v>Positive</v>
      </c>
      <c r="T1650" s="2" t="n">
        <v>128.008</v>
      </c>
      <c r="U1650" s="0" t="s">
        <v>29</v>
      </c>
    </row>
    <row r="1651" customFormat="false" ht="14.25" hidden="false" customHeight="false" outlineLevel="0" collapsed="false">
      <c r="A1651" s="0" t="n">
        <v>760</v>
      </c>
      <c r="B1651" s="0" t="str">
        <f aca="false">_xlfn.xlookup(A1651, artists!A$2:A$836, artists!B$2:B$836)</f>
        <v>Nio Garcia</v>
      </c>
      <c r="C1651" s="1" t="s">
        <v>1674</v>
      </c>
      <c r="D1651" s="2" t="n">
        <v>417920</v>
      </c>
      <c r="E1651" s="2" t="n">
        <f aca="false">D1651/1000</f>
        <v>417.92</v>
      </c>
      <c r="F1651" s="10" t="b">
        <f aca="false">TRUE()</f>
        <v>1</v>
      </c>
      <c r="G1651" s="0" t="n">
        <v>21</v>
      </c>
      <c r="H1651" s="0" t="n">
        <f aca="false">_xlfn.xlookup(G1651, years!A$2:A$836, years!B$2:B$836)</f>
        <v>2018</v>
      </c>
      <c r="I1651" s="2" t="n">
        <v>76</v>
      </c>
      <c r="J1651" s="0" t="n">
        <v>0.903</v>
      </c>
      <c r="K1651" s="0" t="n">
        <v>0.675</v>
      </c>
      <c r="L1651" s="3" t="str">
        <f aca="false">IF(K1651&gt;0.66,"High",IF(K1651&gt;0.33&amp;K1651&lt;=0.66,"Medium","Low"))</f>
        <v>High</v>
      </c>
      <c r="M1651" s="0" t="n">
        <v>-3.445</v>
      </c>
      <c r="N1651" s="3" t="n">
        <v>0.214</v>
      </c>
      <c r="O1651" s="3" t="n">
        <v>0.542</v>
      </c>
      <c r="P1651" s="4" t="n">
        <v>1.28E-005</v>
      </c>
      <c r="Q1651" s="3" t="n">
        <v>0.0595</v>
      </c>
      <c r="R1651" s="3" t="n">
        <v>0.442</v>
      </c>
      <c r="S1651" s="3" t="str">
        <f aca="false">IF(R1651 &gt;= 0.5, "Positive", "Negative")</f>
        <v>Negative</v>
      </c>
      <c r="T1651" s="2" t="n">
        <v>96.507</v>
      </c>
      <c r="U1651" s="0" t="s">
        <v>312</v>
      </c>
    </row>
    <row r="1652" customFormat="false" ht="14.25" hidden="false" customHeight="false" outlineLevel="0" collapsed="false">
      <c r="A1652" s="0" t="n">
        <v>835</v>
      </c>
      <c r="B1652" s="0" t="str">
        <f aca="false">_xlfn.xlookup(A1652, artists!A$2:A$836, artists!B$2:B$836)</f>
        <v>Blanco Brown</v>
      </c>
      <c r="C1652" s="1" t="s">
        <v>1675</v>
      </c>
      <c r="D1652" s="2" t="n">
        <v>200593</v>
      </c>
      <c r="E1652" s="2" t="n">
        <f aca="false">D1652/1000</f>
        <v>200.593</v>
      </c>
      <c r="F1652" s="10" t="b">
        <f aca="false">FALSE()</f>
        <v>0</v>
      </c>
      <c r="G1652" s="0" t="n">
        <v>22</v>
      </c>
      <c r="H1652" s="0" t="n">
        <f aca="false">_xlfn.xlookup(G1652, years!A$2:A$836, years!B$2:B$836)</f>
        <v>2019</v>
      </c>
      <c r="I1652" s="2" t="n">
        <v>69</v>
      </c>
      <c r="J1652" s="0" t="n">
        <v>0.847</v>
      </c>
      <c r="K1652" s="0" t="n">
        <v>0.678</v>
      </c>
      <c r="L1652" s="3" t="str">
        <f aca="false">IF(K1652&gt;0.66,"High",IF(K1652&gt;0.33&amp;K1652&lt;=0.66,"Medium","Low"))</f>
        <v>High</v>
      </c>
      <c r="M1652" s="0" t="n">
        <v>-8.635</v>
      </c>
      <c r="N1652" s="3" t="n">
        <v>0.109</v>
      </c>
      <c r="O1652" s="3" t="n">
        <v>0.0669</v>
      </c>
      <c r="P1652" s="4" t="n">
        <v>0</v>
      </c>
      <c r="Q1652" s="3" t="n">
        <v>0.274</v>
      </c>
      <c r="R1652" s="3" t="n">
        <v>0.811</v>
      </c>
      <c r="S1652" s="3" t="str">
        <f aca="false">IF(R1652 &gt;= 0.5, "Positive", "Negative")</f>
        <v>Positive</v>
      </c>
      <c r="T1652" s="2" t="n">
        <v>97.984</v>
      </c>
      <c r="U1652" s="0" t="s">
        <v>1676</v>
      </c>
    </row>
    <row r="1653" customFormat="false" ht="14.25" hidden="false" customHeight="false" outlineLevel="0" collapsed="false">
      <c r="A1653" s="0" t="n">
        <v>181</v>
      </c>
      <c r="B1653" s="0" t="str">
        <f aca="false">_xlfn.xlookup(A1653, artists!A$2:A$836, artists!B$2:B$836)</f>
        <v>Big Tymers</v>
      </c>
      <c r="C1653" s="1" t="s">
        <v>1677</v>
      </c>
      <c r="D1653" s="2" t="n">
        <v>335613</v>
      </c>
      <c r="E1653" s="2" t="n">
        <f aca="false">D1653/1000</f>
        <v>335.613</v>
      </c>
      <c r="F1653" s="10" t="b">
        <f aca="false">TRUE()</f>
        <v>1</v>
      </c>
      <c r="G1653" s="0" t="n">
        <v>5</v>
      </c>
      <c r="H1653" s="0" t="n">
        <f aca="false">_xlfn.xlookup(G1653, years!A$2:A$836, years!B$2:B$836)</f>
        <v>2002</v>
      </c>
      <c r="I1653" s="2" t="n">
        <v>64</v>
      </c>
      <c r="J1653" s="0" t="n">
        <v>0.675</v>
      </c>
      <c r="K1653" s="0" t="n">
        <v>0.607</v>
      </c>
      <c r="L1653" s="3" t="str">
        <f aca="false">IF(K1653&gt;0.66,"High",IF(K1653&gt;0.33&amp;K1653&lt;=0.66,"Medium","Low"))</f>
        <v>Low</v>
      </c>
      <c r="M1653" s="0" t="n">
        <v>-3.538</v>
      </c>
      <c r="N1653" s="3" t="n">
        <v>0.162</v>
      </c>
      <c r="O1653" s="3" t="n">
        <v>0.0302</v>
      </c>
      <c r="P1653" s="4" t="n">
        <v>8.97E-006</v>
      </c>
      <c r="Q1653" s="3" t="n">
        <v>0.339</v>
      </c>
      <c r="R1653" s="3" t="n">
        <v>0.56</v>
      </c>
      <c r="S1653" s="3" t="str">
        <f aca="false">IF(R1653 &gt;= 0.5, "Positive", "Negative")</f>
        <v>Positive</v>
      </c>
      <c r="T1653" s="2" t="n">
        <v>177.928</v>
      </c>
      <c r="U1653" s="0" t="s">
        <v>24</v>
      </c>
    </row>
    <row r="1654" customFormat="false" ht="14.25" hidden="false" customHeight="false" outlineLevel="0" collapsed="false">
      <c r="A1654" s="0" t="n">
        <v>819</v>
      </c>
      <c r="B1654" s="0" t="str">
        <f aca="false">_xlfn.xlookup(A1654, artists!A$2:A$836, artists!B$2:B$836)</f>
        <v>Pedro Capó</v>
      </c>
      <c r="C1654" s="1" t="s">
        <v>1678</v>
      </c>
      <c r="D1654" s="2" t="n">
        <v>238200</v>
      </c>
      <c r="E1654" s="2" t="n">
        <f aca="false">D1654/1000</f>
        <v>238.2</v>
      </c>
      <c r="F1654" s="10" t="b">
        <f aca="false">FALSE()</f>
        <v>0</v>
      </c>
      <c r="G1654" s="0" t="n">
        <v>21</v>
      </c>
      <c r="H1654" s="0" t="n">
        <f aca="false">_xlfn.xlookup(G1654, years!A$2:A$836, years!B$2:B$836)</f>
        <v>2018</v>
      </c>
      <c r="I1654" s="2" t="n">
        <v>74</v>
      </c>
      <c r="J1654" s="0" t="n">
        <v>0.826</v>
      </c>
      <c r="K1654" s="0" t="n">
        <v>0.773</v>
      </c>
      <c r="L1654" s="3" t="str">
        <f aca="false">IF(K1654&gt;0.66,"High",IF(K1654&gt;0.33&amp;K1654&lt;=0.66,"Medium","Low"))</f>
        <v>High</v>
      </c>
      <c r="M1654" s="0" t="n">
        <v>-4.218</v>
      </c>
      <c r="N1654" s="3" t="n">
        <v>0.0524</v>
      </c>
      <c r="O1654" s="3" t="n">
        <v>0.323</v>
      </c>
      <c r="P1654" s="4" t="n">
        <v>0</v>
      </c>
      <c r="Q1654" s="3" t="n">
        <v>0.143</v>
      </c>
      <c r="R1654" s="3" t="n">
        <v>0.761</v>
      </c>
      <c r="S1654" s="3" t="str">
        <f aca="false">IF(R1654 &gt;= 0.5, "Positive", "Negative")</f>
        <v>Positive</v>
      </c>
      <c r="T1654" s="2" t="n">
        <v>126.899</v>
      </c>
      <c r="U1654" s="0" t="s">
        <v>75</v>
      </c>
    </row>
    <row r="1655" customFormat="false" ht="14.25" hidden="false" customHeight="false" outlineLevel="0" collapsed="false">
      <c r="A1655" s="0" t="n">
        <v>720</v>
      </c>
      <c r="B1655" s="0" t="str">
        <f aca="false">_xlfn.xlookup(A1655, artists!A$2:A$836, artists!B$2:B$836)</f>
        <v>Camila Cabello</v>
      </c>
      <c r="C1655" s="1" t="s">
        <v>1679</v>
      </c>
      <c r="D1655" s="2" t="n">
        <v>226973</v>
      </c>
      <c r="E1655" s="2" t="n">
        <f aca="false">D1655/1000</f>
        <v>226.973</v>
      </c>
      <c r="F1655" s="10" t="b">
        <f aca="false">FALSE()</f>
        <v>0</v>
      </c>
      <c r="G1655" s="0" t="n">
        <v>21</v>
      </c>
      <c r="H1655" s="0" t="n">
        <f aca="false">_xlfn.xlookup(G1655, years!A$2:A$836, years!B$2:B$836)</f>
        <v>2018</v>
      </c>
      <c r="I1655" s="2" t="n">
        <v>74</v>
      </c>
      <c r="J1655" s="0" t="n">
        <v>0.637</v>
      </c>
      <c r="K1655" s="0" t="n">
        <v>0.713</v>
      </c>
      <c r="L1655" s="3" t="str">
        <f aca="false">IF(K1655&gt;0.66,"High",IF(K1655&gt;0.33&amp;K1655&lt;=0.66,"Medium","Low"))</f>
        <v>High</v>
      </c>
      <c r="M1655" s="0" t="n">
        <v>-4.333</v>
      </c>
      <c r="N1655" s="3" t="n">
        <v>0.0747</v>
      </c>
      <c r="O1655" s="3" t="n">
        <v>0.181</v>
      </c>
      <c r="P1655" s="4" t="n">
        <v>0.000637</v>
      </c>
      <c r="Q1655" s="3" t="n">
        <v>0.137</v>
      </c>
      <c r="R1655" s="3" t="n">
        <v>0.243</v>
      </c>
      <c r="S1655" s="3" t="str">
        <f aca="false">IF(R1655 &gt;= 0.5, "Positive", "Negative")</f>
        <v>Negative</v>
      </c>
      <c r="T1655" s="2" t="n">
        <v>129.923</v>
      </c>
      <c r="U1655" s="0" t="s">
        <v>39</v>
      </c>
    </row>
    <row r="1656" customFormat="false" ht="14.25" hidden="false" customHeight="false" outlineLevel="0" collapsed="false">
      <c r="A1656" s="0" t="n">
        <v>582</v>
      </c>
      <c r="B1656" s="0" t="str">
        <f aca="false">_xlfn.xlookup(A1656, artists!A$2:A$836, artists!B$2:B$836)</f>
        <v>Selena Gomez</v>
      </c>
      <c r="C1656" s="1" t="s">
        <v>1680</v>
      </c>
      <c r="D1656" s="2" t="n">
        <v>227360</v>
      </c>
      <c r="E1656" s="2" t="n">
        <f aca="false">D1656/1000</f>
        <v>227.36</v>
      </c>
      <c r="F1656" s="10" t="b">
        <f aca="false">FALSE()</f>
        <v>0</v>
      </c>
      <c r="G1656" s="0" t="n">
        <v>17</v>
      </c>
      <c r="H1656" s="0" t="n">
        <f aca="false">_xlfn.xlookup(G1656, years!A$2:A$836, years!B$2:B$836)</f>
        <v>2014</v>
      </c>
      <c r="I1656" s="2" t="n">
        <v>58</v>
      </c>
      <c r="J1656" s="0" t="n">
        <v>0.616</v>
      </c>
      <c r="K1656" s="0" t="n">
        <v>0.789</v>
      </c>
      <c r="L1656" s="3" t="str">
        <f aca="false">IF(K1656&gt;0.66,"High",IF(K1656&gt;0.33&amp;K1656&lt;=0.66,"Medium","Low"))</f>
        <v>High</v>
      </c>
      <c r="M1656" s="0" t="n">
        <v>-4.874</v>
      </c>
      <c r="N1656" s="3" t="n">
        <v>0.0377</v>
      </c>
      <c r="O1656" s="3" t="n">
        <v>0.053</v>
      </c>
      <c r="P1656" s="4" t="n">
        <v>0</v>
      </c>
      <c r="Q1656" s="3" t="n">
        <v>0.142</v>
      </c>
      <c r="R1656" s="3" t="n">
        <v>0.621</v>
      </c>
      <c r="S1656" s="3" t="str">
        <f aca="false">IF(R1656 &gt;= 0.5, "Positive", "Negative")</f>
        <v>Positive</v>
      </c>
      <c r="T1656" s="2" t="n">
        <v>83.066</v>
      </c>
      <c r="U1656" s="0" t="s">
        <v>39</v>
      </c>
    </row>
    <row r="1657" customFormat="false" ht="14.25" hidden="false" customHeight="false" outlineLevel="0" collapsed="false">
      <c r="A1657" s="0" t="n">
        <v>582</v>
      </c>
      <c r="B1657" s="0" t="str">
        <f aca="false">_xlfn.xlookup(A1657, artists!A$2:A$836, artists!B$2:B$836)</f>
        <v>Selena Gomez</v>
      </c>
      <c r="C1657" s="1" t="s">
        <v>1680</v>
      </c>
      <c r="D1657" s="2" t="n">
        <v>227373</v>
      </c>
      <c r="E1657" s="2" t="n">
        <f aca="false">D1657/1000</f>
        <v>227.373</v>
      </c>
      <c r="F1657" s="10" t="b">
        <f aca="false">FALSE()</f>
        <v>0</v>
      </c>
      <c r="G1657" s="0" t="n">
        <v>17</v>
      </c>
      <c r="H1657" s="0" t="n">
        <f aca="false">_xlfn.xlookup(G1657, years!A$2:A$836, years!B$2:B$836)</f>
        <v>2014</v>
      </c>
      <c r="I1657" s="2" t="n">
        <v>64</v>
      </c>
      <c r="J1657" s="0" t="n">
        <v>0.616</v>
      </c>
      <c r="K1657" s="0" t="n">
        <v>0.789</v>
      </c>
      <c r="L1657" s="3" t="str">
        <f aca="false">IF(K1657&gt;0.66,"High",IF(K1657&gt;0.33&amp;K1657&lt;=0.66,"Medium","Low"))</f>
        <v>High</v>
      </c>
      <c r="M1657" s="0" t="n">
        <v>-4.874</v>
      </c>
      <c r="N1657" s="3" t="n">
        <v>0.0377</v>
      </c>
      <c r="O1657" s="3" t="n">
        <v>0.053</v>
      </c>
      <c r="P1657" s="4" t="n">
        <v>0</v>
      </c>
      <c r="Q1657" s="3" t="n">
        <v>0.142</v>
      </c>
      <c r="R1657" s="3" t="n">
        <v>0.621</v>
      </c>
      <c r="S1657" s="3" t="str">
        <f aca="false">IF(R1657 &gt;= 0.5, "Positive", "Negative")</f>
        <v>Positive</v>
      </c>
      <c r="T1657" s="2" t="n">
        <v>83.066</v>
      </c>
      <c r="U1657" s="0" t="s">
        <v>39</v>
      </c>
    </row>
    <row r="1658" customFormat="false" ht="14.25" hidden="false" customHeight="false" outlineLevel="0" collapsed="false">
      <c r="A1658" s="0" t="n">
        <v>644</v>
      </c>
      <c r="B1658" s="0" t="str">
        <f aca="false">_xlfn.xlookup(A1658, artists!A$2:A$836, artists!B$2:B$836)</f>
        <v>The Weeknd</v>
      </c>
      <c r="C1658" s="1" t="s">
        <v>1681</v>
      </c>
      <c r="D1658" s="2" t="n">
        <v>242253</v>
      </c>
      <c r="E1658" s="2" t="n">
        <f aca="false">D1658/1000</f>
        <v>242.253</v>
      </c>
      <c r="F1658" s="10" t="b">
        <f aca="false">TRUE()</f>
        <v>1</v>
      </c>
      <c r="G1658" s="0" t="n">
        <v>18</v>
      </c>
      <c r="H1658" s="0" t="n">
        <f aca="false">_xlfn.xlookup(G1658, years!A$2:A$836, years!B$2:B$836)</f>
        <v>2015</v>
      </c>
      <c r="I1658" s="2" t="n">
        <v>84</v>
      </c>
      <c r="J1658" s="0" t="n">
        <v>0.585</v>
      </c>
      <c r="K1658" s="0" t="n">
        <v>0.564</v>
      </c>
      <c r="L1658" s="3" t="str">
        <f aca="false">IF(K1658&gt;0.66,"High",IF(K1658&gt;0.33&amp;K1658&lt;=0.66,"Medium","Low"))</f>
        <v>Low</v>
      </c>
      <c r="M1658" s="0" t="n">
        <v>-7.063</v>
      </c>
      <c r="N1658" s="3" t="n">
        <v>0.0515</v>
      </c>
      <c r="O1658" s="3" t="n">
        <v>0.0671</v>
      </c>
      <c r="P1658" s="4" t="n">
        <v>0</v>
      </c>
      <c r="Q1658" s="3" t="n">
        <v>0.135</v>
      </c>
      <c r="R1658" s="3" t="n">
        <v>0.137</v>
      </c>
      <c r="S1658" s="3" t="str">
        <f aca="false">IF(R1658 &gt;= 0.5, "Positive", "Negative")</f>
        <v>Negative</v>
      </c>
      <c r="T1658" s="2" t="n">
        <v>113.003</v>
      </c>
      <c r="U1658" s="0" t="s">
        <v>33</v>
      </c>
    </row>
    <row r="1659" customFormat="false" ht="14.25" hidden="false" customHeight="false" outlineLevel="0" collapsed="false">
      <c r="A1659" s="0" t="n">
        <v>205</v>
      </c>
      <c r="B1659" s="0" t="str">
        <f aca="false">_xlfn.xlookup(A1659, artists!A$2:A$836, artists!B$2:B$836)</f>
        <v>Lil' Kim</v>
      </c>
      <c r="C1659" s="1" t="s">
        <v>1682</v>
      </c>
      <c r="D1659" s="2" t="n">
        <v>234800</v>
      </c>
      <c r="E1659" s="2" t="n">
        <f aca="false">D1659/1000</f>
        <v>234.8</v>
      </c>
      <c r="F1659" s="10" t="b">
        <f aca="false">TRUE()</f>
        <v>1</v>
      </c>
      <c r="G1659" s="0" t="n">
        <v>6</v>
      </c>
      <c r="H1659" s="0" t="n">
        <f aca="false">_xlfn.xlookup(G1659, years!A$2:A$836, years!B$2:B$836)</f>
        <v>2003</v>
      </c>
      <c r="I1659" s="2" t="n">
        <v>48</v>
      </c>
      <c r="J1659" s="0" t="n">
        <v>0.853</v>
      </c>
      <c r="K1659" s="0" t="n">
        <v>0.752</v>
      </c>
      <c r="L1659" s="3" t="str">
        <f aca="false">IF(K1659&gt;0.66,"High",IF(K1659&gt;0.33&amp;K1659&lt;=0.66,"Medium","Low"))</f>
        <v>High</v>
      </c>
      <c r="M1659" s="0" t="n">
        <v>-8.831</v>
      </c>
      <c r="N1659" s="3" t="n">
        <v>0.339</v>
      </c>
      <c r="O1659" s="3" t="n">
        <v>0.178</v>
      </c>
      <c r="P1659" s="4" t="n">
        <v>4.65E-006</v>
      </c>
      <c r="Q1659" s="3" t="n">
        <v>0.0553</v>
      </c>
      <c r="R1659" s="3" t="n">
        <v>0.935</v>
      </c>
      <c r="S1659" s="3" t="str">
        <f aca="false">IF(R1659 &gt;= 0.5, "Positive", "Negative")</f>
        <v>Positive</v>
      </c>
      <c r="T1659" s="2" t="n">
        <v>104.946</v>
      </c>
      <c r="U1659" s="0" t="s">
        <v>31</v>
      </c>
    </row>
    <row r="1660" customFormat="false" ht="14.25" hidden="false" customHeight="false" outlineLevel="0" collapsed="false">
      <c r="A1660" s="0" t="n">
        <v>154</v>
      </c>
      <c r="B1660" s="0" t="str">
        <f aca="false">_xlfn.xlookup(A1660, artists!A$2:A$836, artists!B$2:B$836)</f>
        <v>Las Ketchup</v>
      </c>
      <c r="C1660" s="1" t="s">
        <v>1683</v>
      </c>
      <c r="D1660" s="2" t="n">
        <v>213973</v>
      </c>
      <c r="E1660" s="2" t="n">
        <f aca="false">D1660/1000</f>
        <v>213.973</v>
      </c>
      <c r="F1660" s="10" t="b">
        <f aca="false">FALSE()</f>
        <v>0</v>
      </c>
      <c r="G1660" s="0" t="n">
        <v>5</v>
      </c>
      <c r="H1660" s="0" t="n">
        <f aca="false">_xlfn.xlookup(G1660, years!A$2:A$836, years!B$2:B$836)</f>
        <v>2002</v>
      </c>
      <c r="I1660" s="2" t="n">
        <v>66</v>
      </c>
      <c r="J1660" s="0" t="n">
        <v>0.607</v>
      </c>
      <c r="K1660" s="0" t="n">
        <v>0.923</v>
      </c>
      <c r="L1660" s="3" t="str">
        <f aca="false">IF(K1660&gt;0.66,"High",IF(K1660&gt;0.33&amp;K1660&lt;=0.66,"Medium","Low"))</f>
        <v>High</v>
      </c>
      <c r="M1660" s="0" t="n">
        <v>-6.777</v>
      </c>
      <c r="N1660" s="3" t="n">
        <v>0.0948</v>
      </c>
      <c r="O1660" s="3" t="n">
        <v>0.0193</v>
      </c>
      <c r="P1660" s="4" t="n">
        <v>1.1E-006</v>
      </c>
      <c r="Q1660" s="3" t="n">
        <v>0.0924</v>
      </c>
      <c r="R1660" s="3" t="n">
        <v>0.868</v>
      </c>
      <c r="S1660" s="3" t="str">
        <f aca="false">IF(R1660 &gt;= 0.5, "Positive", "Negative")</f>
        <v>Positive</v>
      </c>
      <c r="T1660" s="2" t="n">
        <v>184.819</v>
      </c>
      <c r="U1660" s="0" t="s">
        <v>118</v>
      </c>
    </row>
    <row r="1661" customFormat="false" ht="14.25" hidden="false" customHeight="false" outlineLevel="0" collapsed="false">
      <c r="A1661" s="0" t="n">
        <v>303</v>
      </c>
      <c r="B1661" s="0" t="str">
        <f aca="false">_xlfn.xlookup(A1661, artists!A$2:A$836, artists!B$2:B$836)</f>
        <v>Thirty Seconds To Mars</v>
      </c>
      <c r="C1661" s="1" t="s">
        <v>1684</v>
      </c>
      <c r="D1661" s="2" t="n">
        <v>231533</v>
      </c>
      <c r="E1661" s="2" t="n">
        <f aca="false">D1661/1000</f>
        <v>231.533</v>
      </c>
      <c r="F1661" s="10" t="b">
        <f aca="false">FALSE()</f>
        <v>0</v>
      </c>
      <c r="G1661" s="0" t="n">
        <v>8</v>
      </c>
      <c r="H1661" s="0" t="n">
        <f aca="false">_xlfn.xlookup(G1661, years!A$2:A$836, years!B$2:B$836)</f>
        <v>2005</v>
      </c>
      <c r="I1661" s="2" t="n">
        <v>74</v>
      </c>
      <c r="J1661" s="0" t="n">
        <v>0.179</v>
      </c>
      <c r="K1661" s="0" t="n">
        <v>0.912</v>
      </c>
      <c r="L1661" s="3" t="str">
        <f aca="false">IF(K1661&gt;0.66,"High",IF(K1661&gt;0.33&amp;K1661&lt;=0.66,"Medium","Low"))</f>
        <v>High</v>
      </c>
      <c r="M1661" s="0" t="n">
        <v>-3.881</v>
      </c>
      <c r="N1661" s="3" t="n">
        <v>0.0791</v>
      </c>
      <c r="O1661" s="3" t="n">
        <v>0.0014</v>
      </c>
      <c r="P1661" s="4" t="n">
        <v>0.000294</v>
      </c>
      <c r="Q1661" s="3" t="n">
        <v>0.582</v>
      </c>
      <c r="R1661" s="3" t="n">
        <v>0.289</v>
      </c>
      <c r="S1661" s="3" t="str">
        <f aca="false">IF(R1661 &gt;= 0.5, "Positive", "Negative")</f>
        <v>Negative</v>
      </c>
      <c r="T1661" s="2" t="n">
        <v>182.99</v>
      </c>
      <c r="U1661" s="0" t="s">
        <v>43</v>
      </c>
    </row>
    <row r="1662" customFormat="false" ht="14.25" hidden="false" customHeight="false" outlineLevel="0" collapsed="false">
      <c r="A1662" s="0" t="n">
        <v>194</v>
      </c>
      <c r="B1662" s="0" t="str">
        <f aca="false">_xlfn.xlookup(A1662, artists!A$2:A$836, artists!B$2:B$836)</f>
        <v>Black Eyed Peas</v>
      </c>
      <c r="C1662" s="1" t="s">
        <v>1685</v>
      </c>
      <c r="D1662" s="2" t="n">
        <v>272533</v>
      </c>
      <c r="E1662" s="2" t="n">
        <f aca="false">D1662/1000</f>
        <v>272.533</v>
      </c>
      <c r="F1662" s="10" t="b">
        <f aca="false">FALSE()</f>
        <v>0</v>
      </c>
      <c r="G1662" s="0" t="n">
        <v>6</v>
      </c>
      <c r="H1662" s="0" t="n">
        <f aca="false">_xlfn.xlookup(G1662, years!A$2:A$836, years!B$2:B$836)</f>
        <v>2003</v>
      </c>
      <c r="I1662" s="2" t="n">
        <v>68</v>
      </c>
      <c r="J1662" s="0" t="n">
        <v>0.835</v>
      </c>
      <c r="K1662" s="0" t="n">
        <v>0.687</v>
      </c>
      <c r="L1662" s="3" t="str">
        <f aca="false">IF(K1662&gt;0.66,"High",IF(K1662&gt;0.33&amp;K1662&lt;=0.66,"Medium","Low"))</f>
        <v>High</v>
      </c>
      <c r="M1662" s="0" t="n">
        <v>-3.18</v>
      </c>
      <c r="N1662" s="3" t="n">
        <v>0.184</v>
      </c>
      <c r="O1662" s="3" t="n">
        <v>0.101</v>
      </c>
      <c r="P1662" s="4" t="n">
        <v>0</v>
      </c>
      <c r="Q1662" s="3" t="n">
        <v>0.132</v>
      </c>
      <c r="R1662" s="3" t="n">
        <v>0.828</v>
      </c>
      <c r="S1662" s="3" t="str">
        <f aca="false">IF(R1662 &gt;= 0.5, "Positive", "Negative")</f>
        <v>Positive</v>
      </c>
      <c r="T1662" s="2" t="n">
        <v>94.059</v>
      </c>
      <c r="U1662" s="0" t="s">
        <v>24</v>
      </c>
    </row>
    <row r="1663" customFormat="false" ht="14.25" hidden="false" customHeight="false" outlineLevel="0" collapsed="false">
      <c r="A1663" s="0" t="n">
        <v>745</v>
      </c>
      <c r="B1663" s="0" t="str">
        <f aca="false">_xlfn.xlookup(A1663, artists!A$2:A$836, artists!B$2:B$836)</f>
        <v>Cardi B</v>
      </c>
      <c r="C1663" s="1" t="s">
        <v>1326</v>
      </c>
      <c r="D1663" s="2" t="n">
        <v>223712</v>
      </c>
      <c r="E1663" s="2" t="n">
        <f aca="false">D1663/1000</f>
        <v>223.712</v>
      </c>
      <c r="F1663" s="10" t="b">
        <f aca="false">TRUE()</f>
        <v>1</v>
      </c>
      <c r="G1663" s="0" t="n">
        <v>21</v>
      </c>
      <c r="H1663" s="0" t="n">
        <f aca="false">_xlfn.xlookup(G1663, years!A$2:A$836, years!B$2:B$836)</f>
        <v>2018</v>
      </c>
      <c r="I1663" s="2" t="n">
        <v>72</v>
      </c>
      <c r="J1663" s="0" t="n">
        <v>0.926</v>
      </c>
      <c r="K1663" s="0" t="n">
        <v>0.703</v>
      </c>
      <c r="L1663" s="3" t="str">
        <f aca="false">IF(K1663&gt;0.66,"High",IF(K1663&gt;0.33&amp;K1663&lt;=0.66,"Medium","Low"))</f>
        <v>High</v>
      </c>
      <c r="M1663" s="0" t="n">
        <v>-6.337</v>
      </c>
      <c r="N1663" s="3" t="n">
        <v>0.103</v>
      </c>
      <c r="O1663" s="3" t="n">
        <v>0.0659</v>
      </c>
      <c r="P1663" s="4" t="n">
        <v>0</v>
      </c>
      <c r="Q1663" s="3" t="n">
        <v>0.231</v>
      </c>
      <c r="R1663" s="3" t="n">
        <v>0.485</v>
      </c>
      <c r="S1663" s="3" t="str">
        <f aca="false">IF(R1663 &gt;= 0.5, "Positive", "Negative")</f>
        <v>Negative</v>
      </c>
      <c r="T1663" s="2" t="n">
        <v>125.022</v>
      </c>
      <c r="U1663" s="0" t="s">
        <v>24</v>
      </c>
    </row>
    <row r="1664" customFormat="false" ht="14.25" hidden="false" customHeight="false" outlineLevel="0" collapsed="false">
      <c r="A1664" s="0" t="n">
        <v>159</v>
      </c>
      <c r="B1664" s="0" t="str">
        <f aca="false">_xlfn.xlookup(A1664, artists!A$2:A$836, artists!B$2:B$836)</f>
        <v>Scooter</v>
      </c>
      <c r="C1664" s="1" t="s">
        <v>1686</v>
      </c>
      <c r="D1664" s="2" t="n">
        <v>234116</v>
      </c>
      <c r="E1664" s="2" t="n">
        <f aca="false">D1664/1000</f>
        <v>234.116</v>
      </c>
      <c r="F1664" s="10" t="b">
        <f aca="false">FALSE()</f>
        <v>0</v>
      </c>
      <c r="G1664" s="0" t="n">
        <v>16</v>
      </c>
      <c r="H1664" s="0" t="n">
        <f aca="false">_xlfn.xlookup(G1664, years!A$2:A$836, years!B$2:B$836)</f>
        <v>2013</v>
      </c>
      <c r="I1664" s="2" t="n">
        <v>46</v>
      </c>
      <c r="J1664" s="0" t="n">
        <v>0.527</v>
      </c>
      <c r="K1664" s="0" t="n">
        <v>0.933</v>
      </c>
      <c r="L1664" s="3" t="str">
        <f aca="false">IF(K1664&gt;0.66,"High",IF(K1664&gt;0.33&amp;K1664&lt;=0.66,"Medium","Low"))</f>
        <v>High</v>
      </c>
      <c r="M1664" s="0" t="n">
        <v>-6.277</v>
      </c>
      <c r="N1664" s="3" t="n">
        <v>0.0382</v>
      </c>
      <c r="O1664" s="3" t="n">
        <v>0.00112</v>
      </c>
      <c r="P1664" s="4" t="n">
        <v>0.0362</v>
      </c>
      <c r="Q1664" s="3" t="n">
        <v>0.425</v>
      </c>
      <c r="R1664" s="3" t="n">
        <v>0.493</v>
      </c>
      <c r="S1664" s="3" t="str">
        <f aca="false">IF(R1664 &gt;= 0.5, "Positive", "Negative")</f>
        <v>Negative</v>
      </c>
      <c r="T1664" s="2" t="n">
        <v>144.043</v>
      </c>
      <c r="U1664" s="0" t="s">
        <v>22</v>
      </c>
    </row>
    <row r="1665" customFormat="false" ht="14.25" hidden="false" customHeight="false" outlineLevel="0" collapsed="false">
      <c r="A1665" s="0" t="n">
        <v>811</v>
      </c>
      <c r="B1665" s="0" t="str">
        <f aca="false">_xlfn.xlookup(A1665, artists!A$2:A$836, artists!B$2:B$836)</f>
        <v>Young Thug</v>
      </c>
      <c r="C1665" s="1" t="s">
        <v>1687</v>
      </c>
      <c r="D1665" s="2" t="n">
        <v>200106</v>
      </c>
      <c r="E1665" s="2" t="n">
        <f aca="false">D1665/1000</f>
        <v>200.106</v>
      </c>
      <c r="F1665" s="10" t="b">
        <f aca="false">TRUE()</f>
        <v>1</v>
      </c>
      <c r="G1665" s="0" t="n">
        <v>22</v>
      </c>
      <c r="H1665" s="0" t="n">
        <f aca="false">_xlfn.xlookup(G1665, years!A$2:A$836, years!B$2:B$836)</f>
        <v>2019</v>
      </c>
      <c r="I1665" s="2" t="n">
        <v>69</v>
      </c>
      <c r="J1665" s="0" t="n">
        <v>0.796</v>
      </c>
      <c r="K1665" s="0" t="n">
        <v>0.586</v>
      </c>
      <c r="L1665" s="3" t="str">
        <f aca="false">IF(K1665&gt;0.66,"High",IF(K1665&gt;0.33&amp;K1665&lt;=0.66,"Medium","Low"))</f>
        <v>Low</v>
      </c>
      <c r="M1665" s="0" t="n">
        <v>-6.946</v>
      </c>
      <c r="N1665" s="3" t="n">
        <v>0.147</v>
      </c>
      <c r="O1665" s="3" t="n">
        <v>0.0247</v>
      </c>
      <c r="P1665" s="4" t="n">
        <v>0</v>
      </c>
      <c r="Q1665" s="3" t="n">
        <v>0.132</v>
      </c>
      <c r="R1665" s="3" t="n">
        <v>0.179</v>
      </c>
      <c r="S1665" s="3" t="str">
        <f aca="false">IF(R1665 &gt;= 0.5, "Positive", "Negative")</f>
        <v>Negative</v>
      </c>
      <c r="T1665" s="2" t="n">
        <v>97.981</v>
      </c>
      <c r="U1665" s="0" t="s">
        <v>24</v>
      </c>
    </row>
    <row r="1666" customFormat="false" ht="14.25" hidden="false" customHeight="false" outlineLevel="0" collapsed="false">
      <c r="A1666" s="0" t="n">
        <v>85</v>
      </c>
      <c r="B1666" s="0" t="str">
        <f aca="false">_xlfn.xlookup(A1666, artists!A$2:A$836, artists!B$2:B$836)</f>
        <v>Jimmy Eat World</v>
      </c>
      <c r="C1666" s="1" t="s">
        <v>1688</v>
      </c>
      <c r="D1666" s="2" t="n">
        <v>165853</v>
      </c>
      <c r="E1666" s="2" t="n">
        <f aca="false">D1666/1000</f>
        <v>165.853</v>
      </c>
      <c r="F1666" s="10" t="b">
        <f aca="false">FALSE()</f>
        <v>0</v>
      </c>
      <c r="G1666" s="0" t="n">
        <v>4</v>
      </c>
      <c r="H1666" s="0" t="n">
        <f aca="false">_xlfn.xlookup(G1666, years!A$2:A$836, years!B$2:B$836)</f>
        <v>2001</v>
      </c>
      <c r="I1666" s="2" t="n">
        <v>78</v>
      </c>
      <c r="J1666" s="0" t="n">
        <v>0.643</v>
      </c>
      <c r="K1666" s="0" t="n">
        <v>0.849</v>
      </c>
      <c r="L1666" s="3" t="str">
        <f aca="false">IF(K1666&gt;0.66,"High",IF(K1666&gt;0.33&amp;K1666&lt;=0.66,"Medium","Low"))</f>
        <v>High</v>
      </c>
      <c r="M1666" s="0" t="n">
        <v>-5.428</v>
      </c>
      <c r="N1666" s="3" t="n">
        <v>0.0526</v>
      </c>
      <c r="O1666" s="3" t="n">
        <v>0.0371</v>
      </c>
      <c r="P1666" s="4" t="n">
        <v>0</v>
      </c>
      <c r="Q1666" s="3" t="n">
        <v>0.058</v>
      </c>
      <c r="R1666" s="3" t="n">
        <v>0.903</v>
      </c>
      <c r="S1666" s="3" t="str">
        <f aca="false">IF(R1666 &gt;= 0.5, "Positive", "Negative")</f>
        <v>Positive</v>
      </c>
      <c r="T1666" s="2" t="n">
        <v>162.152</v>
      </c>
      <c r="U1666" s="0" t="s">
        <v>35</v>
      </c>
    </row>
    <row r="1667" customFormat="false" ht="14.25" hidden="false" customHeight="false" outlineLevel="0" collapsed="false">
      <c r="A1667" s="0" t="n">
        <v>594</v>
      </c>
      <c r="B1667" s="0" t="str">
        <f aca="false">_xlfn.xlookup(A1667, artists!A$2:A$836, artists!B$2:B$836)</f>
        <v>Zedd</v>
      </c>
      <c r="C1667" s="1" t="s">
        <v>1688</v>
      </c>
      <c r="D1667" s="2" t="n">
        <v>184732</v>
      </c>
      <c r="E1667" s="2" t="n">
        <f aca="false">D1667/1000</f>
        <v>184.732</v>
      </c>
      <c r="F1667" s="10" t="b">
        <f aca="false">FALSE()</f>
        <v>0</v>
      </c>
      <c r="G1667" s="0" t="n">
        <v>21</v>
      </c>
      <c r="H1667" s="0" t="n">
        <f aca="false">_xlfn.xlookup(G1667, years!A$2:A$836, years!B$2:B$836)</f>
        <v>2018</v>
      </c>
      <c r="I1667" s="2" t="n">
        <v>80</v>
      </c>
      <c r="J1667" s="0" t="n">
        <v>0.753</v>
      </c>
      <c r="K1667" s="0" t="n">
        <v>0.657</v>
      </c>
      <c r="L1667" s="3" t="str">
        <f aca="false">IF(K1667&gt;0.66,"High",IF(K1667&gt;0.33&amp;K1667&lt;=0.66,"Medium","Low"))</f>
        <v>Low</v>
      </c>
      <c r="M1667" s="0" t="n">
        <v>-3.061</v>
      </c>
      <c r="N1667" s="3" t="n">
        <v>0.0449</v>
      </c>
      <c r="O1667" s="3" t="n">
        <v>0.171</v>
      </c>
      <c r="P1667" s="4" t="n">
        <v>0</v>
      </c>
      <c r="Q1667" s="3" t="n">
        <v>0.112</v>
      </c>
      <c r="R1667" s="3" t="n">
        <v>0.437</v>
      </c>
      <c r="S1667" s="3" t="str">
        <f aca="false">IF(R1667 &gt;= 0.5, "Positive", "Negative")</f>
        <v>Negative</v>
      </c>
      <c r="T1667" s="2" t="n">
        <v>107.01</v>
      </c>
      <c r="U1667" s="0" t="s">
        <v>53</v>
      </c>
    </row>
    <row r="1668" customFormat="false" ht="14.25" hidden="false" customHeight="false" outlineLevel="0" collapsed="false">
      <c r="A1668" s="0" t="n">
        <v>7</v>
      </c>
      <c r="B1668" s="0" t="str">
        <f aca="false">_xlfn.xlookup(A1668, artists!A$2:A$836, artists!B$2:B$836)</f>
        <v>Eminem</v>
      </c>
      <c r="C1668" s="1" t="s">
        <v>1689</v>
      </c>
      <c r="D1668" s="2" t="n">
        <v>250188</v>
      </c>
      <c r="E1668" s="2" t="n">
        <f aca="false">D1668/1000</f>
        <v>250.188</v>
      </c>
      <c r="F1668" s="10" t="b">
        <f aca="false">TRUE()</f>
        <v>1</v>
      </c>
      <c r="G1668" s="0" t="n">
        <v>16</v>
      </c>
      <c r="H1668" s="0" t="n">
        <f aca="false">_xlfn.xlookup(G1668, years!A$2:A$836, years!B$2:B$836)</f>
        <v>2013</v>
      </c>
      <c r="I1668" s="2" t="n">
        <v>75</v>
      </c>
      <c r="J1668" s="0" t="n">
        <v>0.781</v>
      </c>
      <c r="K1668" s="0" t="n">
        <v>0.853</v>
      </c>
      <c r="L1668" s="3" t="str">
        <f aca="false">IF(K1668&gt;0.66,"High",IF(K1668&gt;0.33&amp;K1668&lt;=0.66,"Medium","Low"))</f>
        <v>High</v>
      </c>
      <c r="M1668" s="0" t="n">
        <v>-3.68</v>
      </c>
      <c r="N1668" s="3" t="n">
        <v>0.0715</v>
      </c>
      <c r="O1668" s="3" t="n">
        <v>0.0525</v>
      </c>
      <c r="P1668" s="4" t="n">
        <v>0</v>
      </c>
      <c r="Q1668" s="3" t="n">
        <v>0.12</v>
      </c>
      <c r="R1668" s="3" t="n">
        <v>0.624</v>
      </c>
      <c r="S1668" s="3" t="str">
        <f aca="false">IF(R1668 &gt;= 0.5, "Positive", "Negative")</f>
        <v>Positive</v>
      </c>
      <c r="T1668" s="2" t="n">
        <v>110.049</v>
      </c>
      <c r="U1668" s="0" t="s">
        <v>29</v>
      </c>
    </row>
    <row r="1669" customFormat="false" ht="14.25" hidden="false" customHeight="false" outlineLevel="0" collapsed="false">
      <c r="A1669" s="0" t="n">
        <v>455</v>
      </c>
      <c r="B1669" s="0" t="str">
        <f aca="false">_xlfn.xlookup(A1669, artists!A$2:A$836, artists!B$2:B$836)</f>
        <v>Drake</v>
      </c>
      <c r="C1669" s="1" t="s">
        <v>1690</v>
      </c>
      <c r="D1669" s="2" t="n">
        <v>181573</v>
      </c>
      <c r="E1669" s="2" t="n">
        <f aca="false">D1669/1000</f>
        <v>181.573</v>
      </c>
      <c r="F1669" s="10" t="b">
        <f aca="false">TRUE()</f>
        <v>1</v>
      </c>
      <c r="G1669" s="0" t="n">
        <v>14</v>
      </c>
      <c r="H1669" s="0" t="n">
        <f aca="false">_xlfn.xlookup(G1669, years!A$2:A$836, years!B$2:B$836)</f>
        <v>2011</v>
      </c>
      <c r="I1669" s="2" t="n">
        <v>74</v>
      </c>
      <c r="J1669" s="0" t="n">
        <v>0.766</v>
      </c>
      <c r="K1669" s="0" t="n">
        <v>0.442</v>
      </c>
      <c r="L1669" s="3" t="str">
        <f aca="false">IF(K1669&gt;0.66,"High",IF(K1669&gt;0.33&amp;K1669&lt;=0.66,"Medium","Low"))</f>
        <v>Low</v>
      </c>
      <c r="M1669" s="0" t="n">
        <v>-8.558</v>
      </c>
      <c r="N1669" s="3" t="n">
        <v>0.356</v>
      </c>
      <c r="O1669" s="3" t="n">
        <v>0.000107</v>
      </c>
      <c r="P1669" s="4" t="n">
        <v>6.12E-005</v>
      </c>
      <c r="Q1669" s="3" t="n">
        <v>0.111</v>
      </c>
      <c r="R1669" s="3" t="n">
        <v>0.39</v>
      </c>
      <c r="S1669" s="3" t="str">
        <f aca="false">IF(R1669 &gt;= 0.5, "Positive", "Negative")</f>
        <v>Negative</v>
      </c>
      <c r="T1669" s="2" t="n">
        <v>201.8</v>
      </c>
      <c r="U1669" s="0" t="s">
        <v>31</v>
      </c>
    </row>
    <row r="1670" customFormat="false" ht="14.25" hidden="false" customHeight="false" outlineLevel="0" collapsed="false">
      <c r="A1670" s="0" t="n">
        <v>19</v>
      </c>
      <c r="B1670" s="0" t="str">
        <f aca="false">_xlfn.xlookup(A1670, artists!A$2:A$836, artists!B$2:B$836)</f>
        <v>Dr. Dre</v>
      </c>
      <c r="C1670" s="1" t="s">
        <v>1691</v>
      </c>
      <c r="D1670" s="2" t="n">
        <v>161506</v>
      </c>
      <c r="E1670" s="2" t="n">
        <f aca="false">D1670/1000</f>
        <v>161.506</v>
      </c>
      <c r="F1670" s="10" t="b">
        <f aca="false">TRUE()</f>
        <v>1</v>
      </c>
      <c r="G1670" s="0" t="n">
        <v>2</v>
      </c>
      <c r="H1670" s="0" t="n">
        <f aca="false">_xlfn.xlookup(G1670, years!A$2:A$836, years!B$2:B$836)</f>
        <v>1999</v>
      </c>
      <c r="I1670" s="2" t="n">
        <v>82</v>
      </c>
      <c r="J1670" s="0" t="n">
        <v>0.922</v>
      </c>
      <c r="K1670" s="0" t="n">
        <v>0.909</v>
      </c>
      <c r="L1670" s="3" t="str">
        <f aca="false">IF(K1670&gt;0.66,"High",IF(K1670&gt;0.33&amp;K1670&lt;=0.66,"Medium","Low"))</f>
        <v>High</v>
      </c>
      <c r="M1670" s="0" t="n">
        <v>-2.429</v>
      </c>
      <c r="N1670" s="3" t="n">
        <v>0.27</v>
      </c>
      <c r="O1670" s="3" t="n">
        <v>0.0281</v>
      </c>
      <c r="P1670" s="4" t="n">
        <v>0</v>
      </c>
      <c r="Q1670" s="3" t="n">
        <v>0.0856</v>
      </c>
      <c r="R1670" s="3" t="n">
        <v>0.309</v>
      </c>
      <c r="S1670" s="3" t="str">
        <f aca="false">IF(R1670 &gt;= 0.5, "Positive", "Negative")</f>
        <v>Negative</v>
      </c>
      <c r="T1670" s="2" t="n">
        <v>95.295</v>
      </c>
      <c r="U1670" s="0" t="s">
        <v>29</v>
      </c>
    </row>
    <row r="1671" customFormat="false" ht="14.25" hidden="false" customHeight="false" outlineLevel="0" collapsed="false">
      <c r="A1671" s="0" t="n">
        <v>542</v>
      </c>
      <c r="B1671" s="0" t="str">
        <f aca="false">_xlfn.xlookup(A1671, artists!A$2:A$836, artists!B$2:B$836)</f>
        <v>Avicii</v>
      </c>
      <c r="C1671" s="1" t="s">
        <v>1692</v>
      </c>
      <c r="D1671" s="2" t="n">
        <v>176658</v>
      </c>
      <c r="E1671" s="2" t="n">
        <f aca="false">D1671/1000</f>
        <v>176.658</v>
      </c>
      <c r="F1671" s="10" t="b">
        <f aca="false">FALSE()</f>
        <v>0</v>
      </c>
      <c r="G1671" s="0" t="n">
        <v>17</v>
      </c>
      <c r="H1671" s="0" t="n">
        <f aca="false">_xlfn.xlookup(G1671, years!A$2:A$836, years!B$2:B$836)</f>
        <v>2014</v>
      </c>
      <c r="I1671" s="2" t="n">
        <v>85</v>
      </c>
      <c r="J1671" s="0" t="n">
        <v>0.527</v>
      </c>
      <c r="K1671" s="0" t="n">
        <v>0.835</v>
      </c>
      <c r="L1671" s="3" t="str">
        <f aca="false">IF(K1671&gt;0.66,"High",IF(K1671&gt;0.33&amp;K1671&lt;=0.66,"Medium","Low"))</f>
        <v>High</v>
      </c>
      <c r="M1671" s="0" t="n">
        <v>-5.298</v>
      </c>
      <c r="N1671" s="3" t="n">
        <v>0.0433</v>
      </c>
      <c r="O1671" s="3" t="n">
        <v>0.0166</v>
      </c>
      <c r="P1671" s="4" t="n">
        <v>0</v>
      </c>
      <c r="Q1671" s="3" t="n">
        <v>0.249</v>
      </c>
      <c r="R1671" s="3" t="n">
        <v>0.654</v>
      </c>
      <c r="S1671" s="3" t="str">
        <f aca="false">IF(R1671 &gt;= 0.5, "Positive", "Negative")</f>
        <v>Positive</v>
      </c>
      <c r="T1671" s="2" t="n">
        <v>125.983</v>
      </c>
      <c r="U1671" s="0" t="s">
        <v>22</v>
      </c>
    </row>
    <row r="1672" customFormat="false" ht="14.25" hidden="false" customHeight="false" outlineLevel="0" collapsed="false">
      <c r="A1672" s="0" t="n">
        <v>702</v>
      </c>
      <c r="B1672" s="0" t="str">
        <f aca="false">_xlfn.xlookup(A1672, artists!A$2:A$836, artists!B$2:B$836)</f>
        <v>Mike Perry</v>
      </c>
      <c r="C1672" s="1" t="s">
        <v>1693</v>
      </c>
      <c r="D1672" s="2" t="n">
        <v>183414</v>
      </c>
      <c r="E1672" s="2" t="n">
        <f aca="false">D1672/1000</f>
        <v>183.414</v>
      </c>
      <c r="F1672" s="10" t="b">
        <f aca="false">FALSE()</f>
        <v>0</v>
      </c>
      <c r="G1672" s="0" t="n">
        <v>19</v>
      </c>
      <c r="H1672" s="0" t="n">
        <f aca="false">_xlfn.xlookup(G1672, years!A$2:A$836, years!B$2:B$836)</f>
        <v>2016</v>
      </c>
      <c r="I1672" s="2" t="n">
        <v>70</v>
      </c>
      <c r="J1672" s="0" t="n">
        <v>0.632</v>
      </c>
      <c r="K1672" s="0" t="n">
        <v>0.575</v>
      </c>
      <c r="L1672" s="3" t="str">
        <f aca="false">IF(K1672&gt;0.66,"High",IF(K1672&gt;0.33&amp;K1672&lt;=0.66,"Medium","Low"))</f>
        <v>Low</v>
      </c>
      <c r="M1672" s="0" t="n">
        <v>-6.478</v>
      </c>
      <c r="N1672" s="3" t="n">
        <v>0.029</v>
      </c>
      <c r="O1672" s="3" t="n">
        <v>0.0225</v>
      </c>
      <c r="P1672" s="4" t="n">
        <v>1.81E-006</v>
      </c>
      <c r="Q1672" s="3" t="n">
        <v>0.104</v>
      </c>
      <c r="R1672" s="3" t="n">
        <v>0.188</v>
      </c>
      <c r="S1672" s="3" t="str">
        <f aca="false">IF(R1672 &gt;= 0.5, "Positive", "Negative")</f>
        <v>Negative</v>
      </c>
      <c r="T1672" s="2" t="n">
        <v>90.037</v>
      </c>
      <c r="U1672" s="0" t="s">
        <v>22</v>
      </c>
    </row>
    <row r="1673" customFormat="false" ht="14.25" hidden="false" customHeight="false" outlineLevel="0" collapsed="false">
      <c r="A1673" s="0" t="n">
        <v>398</v>
      </c>
      <c r="B1673" s="0" t="str">
        <f aca="false">_xlfn.xlookup(A1673, artists!A$2:A$836, artists!B$2:B$836)</f>
        <v>Katy Perry</v>
      </c>
      <c r="C1673" s="1" t="s">
        <v>1694</v>
      </c>
      <c r="D1673" s="2" t="n">
        <v>227333</v>
      </c>
      <c r="E1673" s="2" t="n">
        <f aca="false">D1673/1000</f>
        <v>227.333</v>
      </c>
      <c r="F1673" s="10" t="b">
        <f aca="false">FALSE()</f>
        <v>0</v>
      </c>
      <c r="G1673" s="0" t="n">
        <v>15</v>
      </c>
      <c r="H1673" s="0" t="n">
        <f aca="false">_xlfn.xlookup(G1673, years!A$2:A$836, years!B$2:B$836)</f>
        <v>2012</v>
      </c>
      <c r="I1673" s="2" t="n">
        <v>72</v>
      </c>
      <c r="J1673" s="0" t="n">
        <v>0.687</v>
      </c>
      <c r="K1673" s="0" t="n">
        <v>0.792</v>
      </c>
      <c r="L1673" s="3" t="str">
        <f aca="false">IF(K1673&gt;0.66,"High",IF(K1673&gt;0.33&amp;K1673&lt;=0.66,"Medium","Low"))</f>
        <v>High</v>
      </c>
      <c r="M1673" s="0" t="n">
        <v>-4.023</v>
      </c>
      <c r="N1673" s="3" t="n">
        <v>0.0353</v>
      </c>
      <c r="O1673" s="3" t="n">
        <v>0.000802</v>
      </c>
      <c r="P1673" s="4" t="n">
        <v>0</v>
      </c>
      <c r="Q1673" s="3" t="n">
        <v>0.2</v>
      </c>
      <c r="R1673" s="3" t="n">
        <v>0.864</v>
      </c>
      <c r="S1673" s="3" t="str">
        <f aca="false">IF(R1673 &gt;= 0.5, "Positive", "Negative")</f>
        <v>Positive</v>
      </c>
      <c r="T1673" s="2" t="n">
        <v>133.962</v>
      </c>
      <c r="U1673" s="0" t="s">
        <v>39</v>
      </c>
    </row>
    <row r="1674" customFormat="false" ht="14.25" hidden="false" customHeight="false" outlineLevel="0" collapsed="false">
      <c r="A1674" s="0" t="n">
        <v>458</v>
      </c>
      <c r="B1674" s="0" t="str">
        <f aca="false">_xlfn.xlookup(A1674, artists!A$2:A$836, artists!B$2:B$836)</f>
        <v>Jason Derulo</v>
      </c>
      <c r="C1674" s="1" t="s">
        <v>1695</v>
      </c>
      <c r="D1674" s="2" t="n">
        <v>226986</v>
      </c>
      <c r="E1674" s="2" t="n">
        <f aca="false">D1674/1000</f>
        <v>226.986</v>
      </c>
      <c r="F1674" s="10" t="b">
        <f aca="false">FALSE()</f>
        <v>0</v>
      </c>
      <c r="G1674" s="0" t="n">
        <v>16</v>
      </c>
      <c r="H1674" s="0" t="n">
        <f aca="false">_xlfn.xlookup(G1674, years!A$2:A$836, years!B$2:B$836)</f>
        <v>2013</v>
      </c>
      <c r="I1674" s="2" t="n">
        <v>50</v>
      </c>
      <c r="J1674" s="0" t="n">
        <v>0.561</v>
      </c>
      <c r="K1674" s="0" t="n">
        <v>0.836</v>
      </c>
      <c r="L1674" s="3" t="str">
        <f aca="false">IF(K1674&gt;0.66,"High",IF(K1674&gt;0.33&amp;K1674&lt;=0.66,"Medium","Low"))</f>
        <v>High</v>
      </c>
      <c r="M1674" s="0" t="n">
        <v>-3.939</v>
      </c>
      <c r="N1674" s="3" t="n">
        <v>0.1</v>
      </c>
      <c r="O1674" s="3" t="n">
        <v>0.0525</v>
      </c>
      <c r="P1674" s="4" t="n">
        <v>0</v>
      </c>
      <c r="Q1674" s="3" t="n">
        <v>0.136</v>
      </c>
      <c r="R1674" s="3" t="n">
        <v>0.517</v>
      </c>
      <c r="S1674" s="3" t="str">
        <f aca="false">IF(R1674 &gt;= 0.5, "Positive", "Negative")</f>
        <v>Positive</v>
      </c>
      <c r="T1674" s="2" t="n">
        <v>127.923</v>
      </c>
      <c r="U1674" s="0" t="s">
        <v>24</v>
      </c>
    </row>
    <row r="1675" customFormat="false" ht="14.25" hidden="false" customHeight="false" outlineLevel="0" collapsed="false">
      <c r="A1675" s="0" t="n">
        <v>316</v>
      </c>
      <c r="B1675" s="0" t="str">
        <f aca="false">_xlfn.xlookup(A1675, artists!A$2:A$836, artists!B$2:B$836)</f>
        <v>Foo Fighters</v>
      </c>
      <c r="C1675" s="1" t="s">
        <v>1696</v>
      </c>
      <c r="D1675" s="2" t="n">
        <v>269373</v>
      </c>
      <c r="E1675" s="2" t="n">
        <f aca="false">D1675/1000</f>
        <v>269.373</v>
      </c>
      <c r="F1675" s="10" t="b">
        <f aca="false">FALSE()</f>
        <v>0</v>
      </c>
      <c r="G1675" s="0" t="n">
        <v>10</v>
      </c>
      <c r="H1675" s="0" t="n">
        <f aca="false">_xlfn.xlookup(G1675, years!A$2:A$836, years!B$2:B$836)</f>
        <v>2007</v>
      </c>
      <c r="I1675" s="2" t="n">
        <v>78</v>
      </c>
      <c r="J1675" s="0" t="n">
        <v>0.433</v>
      </c>
      <c r="K1675" s="0" t="n">
        <v>0.959</v>
      </c>
      <c r="L1675" s="3" t="str">
        <f aca="false">IF(K1675&gt;0.66,"High",IF(K1675&gt;0.33&amp;K1675&lt;=0.66,"Medium","Low"))</f>
        <v>High</v>
      </c>
      <c r="M1675" s="0" t="n">
        <v>-4.04</v>
      </c>
      <c r="N1675" s="3" t="n">
        <v>0.0431</v>
      </c>
      <c r="O1675" s="3" t="n">
        <v>0.000917</v>
      </c>
      <c r="P1675" s="4" t="n">
        <v>0</v>
      </c>
      <c r="Q1675" s="3" t="n">
        <v>0.028</v>
      </c>
      <c r="R1675" s="3" t="n">
        <v>0.365</v>
      </c>
      <c r="S1675" s="3" t="str">
        <f aca="false">IF(R1675 &gt;= 0.5, "Positive", "Negative")</f>
        <v>Negative</v>
      </c>
      <c r="T1675" s="2" t="n">
        <v>172.984</v>
      </c>
      <c r="U1675" s="0" t="s">
        <v>81</v>
      </c>
    </row>
    <row r="1676" customFormat="false" ht="14.25" hidden="false" customHeight="false" outlineLevel="0" collapsed="false">
      <c r="A1676" s="0" t="n">
        <v>7</v>
      </c>
      <c r="B1676" s="0" t="str">
        <f aca="false">_xlfn.xlookup(A1676, artists!A$2:A$836, artists!B$2:B$836)</f>
        <v>Eminem</v>
      </c>
      <c r="C1676" s="1" t="s">
        <v>1697</v>
      </c>
      <c r="D1676" s="2" t="n">
        <v>284200</v>
      </c>
      <c r="E1676" s="2" t="n">
        <f aca="false">D1676/1000</f>
        <v>284.2</v>
      </c>
      <c r="F1676" s="10" t="b">
        <f aca="false">TRUE()</f>
        <v>1</v>
      </c>
      <c r="G1676" s="0" t="n">
        <v>3</v>
      </c>
      <c r="H1676" s="0" t="n">
        <f aca="false">_xlfn.xlookup(G1676, years!A$2:A$836, years!B$2:B$836)</f>
        <v>2000</v>
      </c>
      <c r="I1676" s="2" t="n">
        <v>86</v>
      </c>
      <c r="J1676" s="0" t="n">
        <v>0.949</v>
      </c>
      <c r="K1676" s="0" t="n">
        <v>0.661</v>
      </c>
      <c r="L1676" s="3" t="str">
        <f aca="false">IF(K1676&gt;0.66,"High",IF(K1676&gt;0.33&amp;K1676&lt;=0.66,"Medium","Low"))</f>
        <v>High</v>
      </c>
      <c r="M1676" s="0" t="n">
        <v>-4.244</v>
      </c>
      <c r="N1676" s="3" t="n">
        <v>0.0572</v>
      </c>
      <c r="O1676" s="3" t="n">
        <v>0.0302</v>
      </c>
      <c r="P1676" s="4" t="n">
        <v>0</v>
      </c>
      <c r="Q1676" s="3" t="n">
        <v>0.0454</v>
      </c>
      <c r="R1676" s="3" t="n">
        <v>0.76</v>
      </c>
      <c r="S1676" s="3" t="str">
        <f aca="false">IF(R1676 &gt;= 0.5, "Positive", "Negative")</f>
        <v>Positive</v>
      </c>
      <c r="T1676" s="2" t="n">
        <v>104.504</v>
      </c>
      <c r="U1676" s="0" t="s">
        <v>29</v>
      </c>
    </row>
    <row r="1677" customFormat="false" ht="14.25" hidden="false" customHeight="false" outlineLevel="0" collapsed="false">
      <c r="A1677" s="0" t="n">
        <v>237</v>
      </c>
      <c r="B1677" s="0" t="str">
        <f aca="false">_xlfn.xlookup(A1677, artists!A$2:A$836, artists!B$2:B$836)</f>
        <v>Hoobastank</v>
      </c>
      <c r="C1677" s="1" t="s">
        <v>1698</v>
      </c>
      <c r="D1677" s="2" t="n">
        <v>232800</v>
      </c>
      <c r="E1677" s="2" t="n">
        <f aca="false">D1677/1000</f>
        <v>232.8</v>
      </c>
      <c r="F1677" s="10" t="b">
        <f aca="false">FALSE()</f>
        <v>0</v>
      </c>
      <c r="G1677" s="0" t="n">
        <v>6</v>
      </c>
      <c r="H1677" s="0" t="n">
        <f aca="false">_xlfn.xlookup(G1677, years!A$2:A$836, years!B$2:B$836)</f>
        <v>2003</v>
      </c>
      <c r="I1677" s="2" t="n">
        <v>79</v>
      </c>
      <c r="J1677" s="0" t="n">
        <v>0.472</v>
      </c>
      <c r="K1677" s="0" t="n">
        <v>0.671</v>
      </c>
      <c r="L1677" s="3" t="str">
        <f aca="false">IF(K1677&gt;0.66,"High",IF(K1677&gt;0.33&amp;K1677&lt;=0.66,"Medium","Low"))</f>
        <v>High</v>
      </c>
      <c r="M1677" s="0" t="n">
        <v>-4.649</v>
      </c>
      <c r="N1677" s="3" t="n">
        <v>0.029</v>
      </c>
      <c r="O1677" s="3" t="n">
        <v>0.0129</v>
      </c>
      <c r="P1677" s="4" t="n">
        <v>0</v>
      </c>
      <c r="Q1677" s="3" t="n">
        <v>0.159</v>
      </c>
      <c r="R1677" s="3" t="n">
        <v>0.0681</v>
      </c>
      <c r="S1677" s="3" t="str">
        <f aca="false">IF(R1677 &gt;= 0.5, "Positive", "Negative")</f>
        <v>Negative</v>
      </c>
      <c r="T1677" s="2" t="n">
        <v>82.952</v>
      </c>
      <c r="U1677" s="0" t="s">
        <v>221</v>
      </c>
    </row>
    <row r="1678" customFormat="false" ht="14.25" hidden="false" customHeight="false" outlineLevel="0" collapsed="false">
      <c r="A1678" s="0" t="n">
        <v>11</v>
      </c>
      <c r="B1678" s="0" t="str">
        <f aca="false">_xlfn.xlookup(A1678, artists!A$2:A$836, artists!B$2:B$836)</f>
        <v>Gigi D'Agostino</v>
      </c>
      <c r="C1678" s="1" t="s">
        <v>1699</v>
      </c>
      <c r="D1678" s="2" t="n">
        <v>285426</v>
      </c>
      <c r="E1678" s="2" t="n">
        <f aca="false">D1678/1000</f>
        <v>285.426</v>
      </c>
      <c r="F1678" s="10" t="b">
        <f aca="false">FALSE()</f>
        <v>0</v>
      </c>
      <c r="G1678" s="0" t="n">
        <v>2</v>
      </c>
      <c r="H1678" s="0" t="n">
        <f aca="false">_xlfn.xlookup(G1678, years!A$2:A$836, years!B$2:B$836)</f>
        <v>1999</v>
      </c>
      <c r="I1678" s="2" t="n">
        <v>64</v>
      </c>
      <c r="J1678" s="0" t="n">
        <v>0.74</v>
      </c>
      <c r="K1678" s="0" t="n">
        <v>0.876</v>
      </c>
      <c r="L1678" s="3" t="str">
        <f aca="false">IF(K1678&gt;0.66,"High",IF(K1678&gt;0.33&amp;K1678&lt;=0.66,"Medium","Low"))</f>
        <v>High</v>
      </c>
      <c r="M1678" s="0" t="n">
        <v>-6.87</v>
      </c>
      <c r="N1678" s="3" t="n">
        <v>0.0369</v>
      </c>
      <c r="O1678" s="3" t="n">
        <v>0.0173</v>
      </c>
      <c r="P1678" s="4" t="n">
        <v>0.00152</v>
      </c>
      <c r="Q1678" s="3" t="n">
        <v>0.0785</v>
      </c>
      <c r="R1678" s="3" t="n">
        <v>0.825</v>
      </c>
      <c r="S1678" s="3" t="str">
        <f aca="false">IF(R1678 &gt;= 0.5, "Positive", "Negative")</f>
        <v>Positive</v>
      </c>
      <c r="T1678" s="2" t="n">
        <v>127.002</v>
      </c>
      <c r="U1678" s="0" t="s">
        <v>39</v>
      </c>
    </row>
    <row r="1679" customFormat="false" ht="14.25" hidden="false" customHeight="false" outlineLevel="0" collapsed="false">
      <c r="A1679" s="0" t="n">
        <v>71</v>
      </c>
      <c r="B1679" s="0" t="str">
        <f aca="false">_xlfn.xlookup(A1679, artists!A$2:A$836, artists!B$2:B$836)</f>
        <v>Westlife</v>
      </c>
      <c r="C1679" s="1" t="s">
        <v>1700</v>
      </c>
      <c r="D1679" s="2" t="n">
        <v>219106</v>
      </c>
      <c r="E1679" s="2" t="n">
        <f aca="false">D1679/1000</f>
        <v>219.106</v>
      </c>
      <c r="F1679" s="10" t="b">
        <f aca="false">FALSE()</f>
        <v>0</v>
      </c>
      <c r="G1679" s="0" t="n">
        <v>9</v>
      </c>
      <c r="H1679" s="0" t="n">
        <f aca="false">_xlfn.xlookup(G1679, years!A$2:A$836, years!B$2:B$836)</f>
        <v>2006</v>
      </c>
      <c r="I1679" s="2" t="n">
        <v>0</v>
      </c>
      <c r="J1679" s="0" t="n">
        <v>0.272</v>
      </c>
      <c r="K1679" s="0" t="n">
        <v>0.203</v>
      </c>
      <c r="L1679" s="3" t="str">
        <f aca="false">IF(K1679&gt;0.66,"High",IF(K1679&gt;0.33&amp;K1679&lt;=0.66,"Medium","Low"))</f>
        <v>Low</v>
      </c>
      <c r="M1679" s="0" t="n">
        <v>-9.706</v>
      </c>
      <c r="N1679" s="3" t="n">
        <v>0.0294</v>
      </c>
      <c r="O1679" s="3" t="n">
        <v>0.784</v>
      </c>
      <c r="P1679" s="4" t="n">
        <v>0</v>
      </c>
      <c r="Q1679" s="3" t="n">
        <v>0.0805</v>
      </c>
      <c r="R1679" s="3" t="n">
        <v>0.172</v>
      </c>
      <c r="S1679" s="3" t="str">
        <f aca="false">IF(R1679 &gt;= 0.5, "Positive", "Negative")</f>
        <v>Negative</v>
      </c>
      <c r="T1679" s="2" t="n">
        <v>109.581</v>
      </c>
      <c r="U1679" s="0" t="s">
        <v>39</v>
      </c>
    </row>
    <row r="1680" customFormat="false" ht="14.25" hidden="false" customHeight="false" outlineLevel="0" collapsed="false">
      <c r="A1680" s="0" t="n">
        <v>228</v>
      </c>
      <c r="B1680" s="0" t="str">
        <f aca="false">_xlfn.xlookup(A1680, artists!A$2:A$836, artists!B$2:B$836)</f>
        <v>The Roots</v>
      </c>
      <c r="C1680" s="1" t="s">
        <v>1701</v>
      </c>
      <c r="D1680" s="2" t="n">
        <v>267933</v>
      </c>
      <c r="E1680" s="2" t="n">
        <f aca="false">D1680/1000</f>
        <v>267.933</v>
      </c>
      <c r="F1680" s="10" t="b">
        <f aca="false">TRUE()</f>
        <v>1</v>
      </c>
      <c r="G1680" s="0" t="n">
        <v>5</v>
      </c>
      <c r="H1680" s="0" t="n">
        <f aca="false">_xlfn.xlookup(G1680, years!A$2:A$836, years!B$2:B$836)</f>
        <v>2002</v>
      </c>
      <c r="I1680" s="2" t="n">
        <v>63</v>
      </c>
      <c r="J1680" s="0" t="n">
        <v>0.758</v>
      </c>
      <c r="K1680" s="0" t="n">
        <v>0.957</v>
      </c>
      <c r="L1680" s="3" t="str">
        <f aca="false">IF(K1680&gt;0.66,"High",IF(K1680&gt;0.33&amp;K1680&lt;=0.66,"Medium","Low"))</f>
        <v>High</v>
      </c>
      <c r="M1680" s="0" t="n">
        <v>-2.281</v>
      </c>
      <c r="N1680" s="3" t="n">
        <v>0.0357</v>
      </c>
      <c r="O1680" s="3" t="n">
        <v>0.039</v>
      </c>
      <c r="P1680" s="4" t="n">
        <v>0</v>
      </c>
      <c r="Q1680" s="3" t="n">
        <v>0.133</v>
      </c>
      <c r="R1680" s="3" t="n">
        <v>0.966</v>
      </c>
      <c r="S1680" s="3" t="str">
        <f aca="false">IF(R1680 &gt;= 0.5, "Positive", "Negative")</f>
        <v>Positive</v>
      </c>
      <c r="T1680" s="2" t="n">
        <v>111.121</v>
      </c>
      <c r="U1680" s="0" t="s">
        <v>29</v>
      </c>
    </row>
    <row r="1681" customFormat="false" ht="14.25" hidden="false" customHeight="false" outlineLevel="0" collapsed="false">
      <c r="A1681" s="0" t="n">
        <v>435</v>
      </c>
      <c r="B1681" s="0" t="str">
        <f aca="false">_xlfn.xlookup(A1681, artists!A$2:A$836, artists!B$2:B$836)</f>
        <v>Lupe Fiasco</v>
      </c>
      <c r="C1681" s="1" t="s">
        <v>1702</v>
      </c>
      <c r="D1681" s="2" t="n">
        <v>239613</v>
      </c>
      <c r="E1681" s="2" t="n">
        <f aca="false">D1681/1000</f>
        <v>239.613</v>
      </c>
      <c r="F1681" s="10" t="b">
        <f aca="false">TRUE()</f>
        <v>1</v>
      </c>
      <c r="G1681" s="0" t="n">
        <v>14</v>
      </c>
      <c r="H1681" s="0" t="n">
        <f aca="false">_xlfn.xlookup(G1681, years!A$2:A$836, years!B$2:B$836)</f>
        <v>2011</v>
      </c>
      <c r="I1681" s="2" t="n">
        <v>70</v>
      </c>
      <c r="J1681" s="0" t="n">
        <v>0.591</v>
      </c>
      <c r="K1681" s="0" t="n">
        <v>0.889</v>
      </c>
      <c r="L1681" s="3" t="str">
        <f aca="false">IF(K1681&gt;0.66,"High",IF(K1681&gt;0.33&amp;K1681&lt;=0.66,"Medium","Low"))</f>
        <v>High</v>
      </c>
      <c r="M1681" s="0" t="n">
        <v>-3.839</v>
      </c>
      <c r="N1681" s="3" t="n">
        <v>0.115</v>
      </c>
      <c r="O1681" s="3" t="n">
        <v>0.0189</v>
      </c>
      <c r="P1681" s="4" t="n">
        <v>0</v>
      </c>
      <c r="Q1681" s="3" t="n">
        <v>0.155</v>
      </c>
      <c r="R1681" s="3" t="n">
        <v>0.65</v>
      </c>
      <c r="S1681" s="3" t="str">
        <f aca="false">IF(R1681 &gt;= 0.5, "Positive", "Negative")</f>
        <v>Positive</v>
      </c>
      <c r="T1681" s="2" t="n">
        <v>143.067</v>
      </c>
      <c r="U1681" s="0" t="s">
        <v>24</v>
      </c>
    </row>
    <row r="1682" customFormat="false" ht="14.25" hidden="false" customHeight="false" outlineLevel="0" collapsed="false">
      <c r="A1682" s="0" t="n">
        <v>241</v>
      </c>
      <c r="B1682" s="0" t="str">
        <f aca="false">_xlfn.xlookup(A1682, artists!A$2:A$836, artists!B$2:B$836)</f>
        <v>Gwen Stefani</v>
      </c>
      <c r="C1682" s="1" t="s">
        <v>1703</v>
      </c>
      <c r="D1682" s="2" t="n">
        <v>246466</v>
      </c>
      <c r="E1682" s="2" t="n">
        <f aca="false">D1682/1000</f>
        <v>246.466</v>
      </c>
      <c r="F1682" s="10" t="b">
        <f aca="false">FALSE()</f>
        <v>0</v>
      </c>
      <c r="G1682" s="0" t="n">
        <v>9</v>
      </c>
      <c r="H1682" s="0" t="n">
        <f aca="false">_xlfn.xlookup(G1682, years!A$2:A$836, years!B$2:B$836)</f>
        <v>2006</v>
      </c>
      <c r="I1682" s="2" t="n">
        <v>71</v>
      </c>
      <c r="J1682" s="0" t="n">
        <v>0.756</v>
      </c>
      <c r="K1682" s="0" t="n">
        <v>0.77</v>
      </c>
      <c r="L1682" s="3" t="str">
        <f aca="false">IF(K1682&gt;0.66,"High",IF(K1682&gt;0.33&amp;K1682&lt;=0.66,"Medium","Low"))</f>
        <v>High</v>
      </c>
      <c r="M1682" s="0" t="n">
        <v>-3.502</v>
      </c>
      <c r="N1682" s="3" t="n">
        <v>0.0343</v>
      </c>
      <c r="O1682" s="3" t="n">
        <v>0.191</v>
      </c>
      <c r="P1682" s="4" t="n">
        <v>0</v>
      </c>
      <c r="Q1682" s="3" t="n">
        <v>0.178</v>
      </c>
      <c r="R1682" s="3" t="n">
        <v>0.73</v>
      </c>
      <c r="S1682" s="3" t="str">
        <f aca="false">IF(R1682 &gt;= 0.5, "Positive", "Negative")</f>
        <v>Positive</v>
      </c>
      <c r="T1682" s="2" t="n">
        <v>119.961</v>
      </c>
      <c r="U1682" s="0" t="s">
        <v>33</v>
      </c>
    </row>
    <row r="1683" customFormat="false" ht="14.25" hidden="false" customHeight="false" outlineLevel="0" collapsed="false">
      <c r="A1683" s="0" t="n">
        <v>121</v>
      </c>
      <c r="B1683" s="0" t="str">
        <f aca="false">_xlfn.xlookup(A1683, artists!A$2:A$836, artists!B$2:B$836)</f>
        <v>Atomic Kitten</v>
      </c>
      <c r="C1683" s="1" t="s">
        <v>1704</v>
      </c>
      <c r="D1683" s="2" t="n">
        <v>206093</v>
      </c>
      <c r="E1683" s="2" t="n">
        <f aca="false">D1683/1000</f>
        <v>206.093</v>
      </c>
      <c r="F1683" s="10" t="b">
        <f aca="false">FALSE()</f>
        <v>0</v>
      </c>
      <c r="G1683" s="0" t="n">
        <v>5</v>
      </c>
      <c r="H1683" s="0" t="n">
        <f aca="false">_xlfn.xlookup(G1683, years!A$2:A$836, years!B$2:B$836)</f>
        <v>2002</v>
      </c>
      <c r="I1683" s="2" t="n">
        <v>65</v>
      </c>
      <c r="J1683" s="0" t="n">
        <v>0.783</v>
      </c>
      <c r="K1683" s="0" t="n">
        <v>0.649</v>
      </c>
      <c r="L1683" s="3" t="str">
        <f aca="false">IF(K1683&gt;0.66,"High",IF(K1683&gt;0.33&amp;K1683&lt;=0.66,"Medium","Low"))</f>
        <v>Low</v>
      </c>
      <c r="M1683" s="0" t="n">
        <v>-4.127</v>
      </c>
      <c r="N1683" s="3" t="n">
        <v>0.0322</v>
      </c>
      <c r="O1683" s="3" t="n">
        <v>0.0209</v>
      </c>
      <c r="P1683" s="4" t="n">
        <v>0.00482</v>
      </c>
      <c r="Q1683" s="3" t="n">
        <v>0.067</v>
      </c>
      <c r="R1683" s="3" t="n">
        <v>0.665</v>
      </c>
      <c r="S1683" s="3" t="str">
        <f aca="false">IF(R1683 &gt;= 0.5, "Positive", "Negative")</f>
        <v>Positive</v>
      </c>
      <c r="T1683" s="2" t="n">
        <v>103.997</v>
      </c>
      <c r="U1683" s="0" t="s">
        <v>39</v>
      </c>
    </row>
    <row r="1684" customFormat="false" ht="14.25" hidden="false" customHeight="false" outlineLevel="0" collapsed="false">
      <c r="A1684" s="0" t="n">
        <v>194</v>
      </c>
      <c r="B1684" s="0" t="str">
        <f aca="false">_xlfn.xlookup(A1684, artists!A$2:A$836, artists!B$2:B$836)</f>
        <v>Black Eyed Peas</v>
      </c>
      <c r="C1684" s="1" t="s">
        <v>1705</v>
      </c>
      <c r="D1684" s="2" t="n">
        <v>307640</v>
      </c>
      <c r="E1684" s="2" t="n">
        <f aca="false">D1684/1000</f>
        <v>307.64</v>
      </c>
      <c r="F1684" s="10" t="b">
        <f aca="false">FALSE()</f>
        <v>0</v>
      </c>
      <c r="G1684" s="0" t="n">
        <v>13</v>
      </c>
      <c r="H1684" s="0" t="n">
        <f aca="false">_xlfn.xlookup(G1684, years!A$2:A$836, years!B$2:B$836)</f>
        <v>2010</v>
      </c>
      <c r="I1684" s="2" t="n">
        <v>69</v>
      </c>
      <c r="J1684" s="0" t="n">
        <v>0.816</v>
      </c>
      <c r="K1684" s="0" t="n">
        <v>0.813</v>
      </c>
      <c r="L1684" s="3" t="str">
        <f aca="false">IF(K1684&gt;0.66,"High",IF(K1684&gt;0.33&amp;K1684&lt;=0.66,"Medium","Low"))</f>
        <v>High</v>
      </c>
      <c r="M1684" s="0" t="n">
        <v>-7.798</v>
      </c>
      <c r="N1684" s="3" t="n">
        <v>0.0664</v>
      </c>
      <c r="O1684" s="3" t="n">
        <v>0.0662</v>
      </c>
      <c r="P1684" s="4" t="n">
        <v>2.77E-006</v>
      </c>
      <c r="Q1684" s="3" t="n">
        <v>0.602</v>
      </c>
      <c r="R1684" s="3" t="n">
        <v>0.436</v>
      </c>
      <c r="S1684" s="3" t="str">
        <f aca="false">IF(R1684 &gt;= 0.5, "Positive", "Negative")</f>
        <v>Negative</v>
      </c>
      <c r="T1684" s="2" t="n">
        <v>127.979</v>
      </c>
      <c r="U1684" s="0" t="s">
        <v>24</v>
      </c>
    </row>
    <row r="1685" customFormat="false" ht="14.25" hidden="false" customHeight="false" outlineLevel="0" collapsed="false">
      <c r="A1685" s="0" t="n">
        <v>27</v>
      </c>
      <c r="B1685" s="0" t="str">
        <f aca="false">_xlfn.xlookup(A1685, artists!A$2:A$836, artists!B$2:B$836)</f>
        <v>Moloko</v>
      </c>
      <c r="C1685" s="1" t="s">
        <v>1706</v>
      </c>
      <c r="D1685" s="2" t="n">
        <v>318280</v>
      </c>
      <c r="E1685" s="2" t="n">
        <f aca="false">D1685/1000</f>
        <v>318.28</v>
      </c>
      <c r="F1685" s="10" t="b">
        <f aca="false">FALSE()</f>
        <v>0</v>
      </c>
      <c r="G1685" s="0" t="n">
        <v>3</v>
      </c>
      <c r="H1685" s="0" t="n">
        <f aca="false">_xlfn.xlookup(G1685, years!A$2:A$836, years!B$2:B$836)</f>
        <v>2000</v>
      </c>
      <c r="I1685" s="2" t="n">
        <v>54</v>
      </c>
      <c r="J1685" s="0" t="n">
        <v>0.682</v>
      </c>
      <c r="K1685" s="0" t="n">
        <v>0.743</v>
      </c>
      <c r="L1685" s="3" t="str">
        <f aca="false">IF(K1685&gt;0.66,"High",IF(K1685&gt;0.33&amp;K1685&lt;=0.66,"Medium","Low"))</f>
        <v>High</v>
      </c>
      <c r="M1685" s="0" t="n">
        <v>-10.644</v>
      </c>
      <c r="N1685" s="3" t="n">
        <v>0.165</v>
      </c>
      <c r="O1685" s="3" t="n">
        <v>0.35</v>
      </c>
      <c r="P1685" s="4" t="n">
        <v>0.000129</v>
      </c>
      <c r="Q1685" s="3" t="n">
        <v>0.277</v>
      </c>
      <c r="R1685" s="3" t="n">
        <v>0.546</v>
      </c>
      <c r="S1685" s="3" t="str">
        <f aca="false">IF(R1685 &gt;= 0.5, "Positive", "Negative")</f>
        <v>Positive</v>
      </c>
      <c r="T1685" s="2" t="n">
        <v>127.962</v>
      </c>
      <c r="U1685" s="0" t="s">
        <v>22</v>
      </c>
    </row>
    <row r="1686" customFormat="false" ht="14.25" hidden="false" customHeight="false" outlineLevel="0" collapsed="false">
      <c r="A1686" s="0" t="n">
        <v>600</v>
      </c>
      <c r="B1686" s="0" t="str">
        <f aca="false">_xlfn.xlookup(A1686, artists!A$2:A$836, artists!B$2:B$836)</f>
        <v>Ariana Grande</v>
      </c>
      <c r="C1686" s="1" t="s">
        <v>1707</v>
      </c>
      <c r="D1686" s="2" t="n">
        <v>227026</v>
      </c>
      <c r="E1686" s="2" t="n">
        <f aca="false">D1686/1000</f>
        <v>227.026</v>
      </c>
      <c r="F1686" s="10" t="b">
        <f aca="false">FALSE()</f>
        <v>0</v>
      </c>
      <c r="G1686" s="0" t="n">
        <v>16</v>
      </c>
      <c r="H1686" s="0" t="n">
        <f aca="false">_xlfn.xlookup(G1686, years!A$2:A$836, years!B$2:B$836)</f>
        <v>2013</v>
      </c>
      <c r="I1686" s="2" t="n">
        <v>65</v>
      </c>
      <c r="J1686" s="0" t="n">
        <v>0.645</v>
      </c>
      <c r="K1686" s="0" t="n">
        <v>0.878</v>
      </c>
      <c r="L1686" s="3" t="str">
        <f aca="false">IF(K1686&gt;0.66,"High",IF(K1686&gt;0.33&amp;K1686&lt;=0.66,"Medium","Low"))</f>
        <v>High</v>
      </c>
      <c r="M1686" s="0" t="n">
        <v>-3.208</v>
      </c>
      <c r="N1686" s="3" t="n">
        <v>0.113</v>
      </c>
      <c r="O1686" s="3" t="n">
        <v>0.294</v>
      </c>
      <c r="P1686" s="4" t="n">
        <v>0</v>
      </c>
      <c r="Q1686" s="3" t="n">
        <v>0.076</v>
      </c>
      <c r="R1686" s="3" t="n">
        <v>0.862</v>
      </c>
      <c r="S1686" s="3" t="str">
        <f aca="false">IF(R1686 &gt;= 0.5, "Positive", "Negative")</f>
        <v>Positive</v>
      </c>
      <c r="T1686" s="2" t="n">
        <v>82.324</v>
      </c>
      <c r="U1686" s="0" t="s">
        <v>39</v>
      </c>
    </row>
    <row r="1687" customFormat="false" ht="14.25" hidden="false" customHeight="false" outlineLevel="0" collapsed="false">
      <c r="A1687" s="0" t="n">
        <v>699</v>
      </c>
      <c r="B1687" s="0" t="str">
        <f aca="false">_xlfn.xlookup(A1687, artists!A$2:A$836, artists!B$2:B$836)</f>
        <v>Charlie Puth</v>
      </c>
      <c r="C1687" s="1" t="s">
        <v>1708</v>
      </c>
      <c r="D1687" s="2" t="n">
        <v>186080</v>
      </c>
      <c r="E1687" s="2" t="n">
        <f aca="false">D1687/1000</f>
        <v>186.08</v>
      </c>
      <c r="F1687" s="10" t="b">
        <f aca="false">FALSE()</f>
        <v>0</v>
      </c>
      <c r="G1687" s="0" t="n">
        <v>21</v>
      </c>
      <c r="H1687" s="0" t="n">
        <f aca="false">_xlfn.xlookup(G1687, years!A$2:A$836, years!B$2:B$836)</f>
        <v>2018</v>
      </c>
      <c r="I1687" s="2" t="n">
        <v>64</v>
      </c>
      <c r="J1687" s="0" t="n">
        <v>0.755</v>
      </c>
      <c r="K1687" s="0" t="n">
        <v>0.769</v>
      </c>
      <c r="L1687" s="3" t="str">
        <f aca="false">IF(K1687&gt;0.66,"High",IF(K1687&gt;0.33&amp;K1687&lt;=0.66,"Medium","Low"))</f>
        <v>High</v>
      </c>
      <c r="M1687" s="0" t="n">
        <v>-5.658</v>
      </c>
      <c r="N1687" s="3" t="n">
        <v>0.186</v>
      </c>
      <c r="O1687" s="3" t="n">
        <v>0.314</v>
      </c>
      <c r="P1687" s="4" t="n">
        <v>2.38E-006</v>
      </c>
      <c r="Q1687" s="3" t="n">
        <v>0.0628</v>
      </c>
      <c r="R1687" s="3" t="n">
        <v>0.642</v>
      </c>
      <c r="S1687" s="3" t="str">
        <f aca="false">IF(R1687 &gt;= 0.5, "Positive", "Negative")</f>
        <v>Positive</v>
      </c>
      <c r="T1687" s="2" t="n">
        <v>114.966</v>
      </c>
      <c r="U1687" s="0" t="s">
        <v>39</v>
      </c>
    </row>
    <row r="1688" customFormat="false" ht="14.25" hidden="false" customHeight="false" outlineLevel="0" collapsed="false">
      <c r="A1688" s="0" t="n">
        <v>361</v>
      </c>
      <c r="B1688" s="0" t="str">
        <f aca="false">_xlfn.xlookup(A1688, artists!A$2:A$836, artists!B$2:B$836)</f>
        <v>Timbaland</v>
      </c>
      <c r="C1688" s="1" t="s">
        <v>1709</v>
      </c>
      <c r="D1688" s="2" t="n">
        <v>179120</v>
      </c>
      <c r="E1688" s="2" t="n">
        <f aca="false">D1688/1000</f>
        <v>179.12</v>
      </c>
      <c r="F1688" s="10" t="b">
        <f aca="false">FALSE()</f>
        <v>0</v>
      </c>
      <c r="G1688" s="0" t="n">
        <v>10</v>
      </c>
      <c r="H1688" s="0" t="n">
        <f aca="false">_xlfn.xlookup(G1688, years!A$2:A$836, years!B$2:B$836)</f>
        <v>2007</v>
      </c>
      <c r="I1688" s="2" t="n">
        <v>80</v>
      </c>
      <c r="J1688" s="0" t="n">
        <v>0.731</v>
      </c>
      <c r="K1688" s="0" t="n">
        <v>0.807</v>
      </c>
      <c r="L1688" s="3" t="str">
        <f aca="false">IF(K1688&gt;0.66,"High",IF(K1688&gt;0.33&amp;K1688&lt;=0.66,"Medium","Low"))</f>
        <v>High</v>
      </c>
      <c r="M1688" s="0" t="n">
        <v>-6.492</v>
      </c>
      <c r="N1688" s="3" t="n">
        <v>0.1</v>
      </c>
      <c r="O1688" s="3" t="n">
        <v>0.181</v>
      </c>
      <c r="P1688" s="4" t="n">
        <v>0.751</v>
      </c>
      <c r="Q1688" s="3" t="n">
        <v>0.319</v>
      </c>
      <c r="R1688" s="3" t="n">
        <v>0.765</v>
      </c>
      <c r="S1688" s="3" t="str">
        <f aca="false">IF(R1688 &gt;= 0.5, "Positive", "Negative")</f>
        <v>Positive</v>
      </c>
      <c r="T1688" s="2" t="n">
        <v>114.759</v>
      </c>
      <c r="U1688" s="0" t="s">
        <v>31</v>
      </c>
    </row>
    <row r="1689" customFormat="false" ht="14.25" hidden="false" customHeight="false" outlineLevel="0" collapsed="false">
      <c r="A1689" s="0" t="n">
        <v>194</v>
      </c>
      <c r="B1689" s="0" t="str">
        <f aca="false">_xlfn.xlookup(A1689, artists!A$2:A$836, artists!B$2:B$836)</f>
        <v>Black Eyed Peas</v>
      </c>
      <c r="C1689" s="1" t="s">
        <v>1710</v>
      </c>
      <c r="D1689" s="2" t="n">
        <v>213066</v>
      </c>
      <c r="E1689" s="2" t="n">
        <f aca="false">D1689/1000</f>
        <v>213.066</v>
      </c>
      <c r="F1689" s="10" t="b">
        <f aca="false">FALSE()</f>
        <v>0</v>
      </c>
      <c r="G1689" s="0" t="n">
        <v>8</v>
      </c>
      <c r="H1689" s="0" t="n">
        <f aca="false">_xlfn.xlookup(G1689, years!A$2:A$836, years!B$2:B$836)</f>
        <v>2005</v>
      </c>
      <c r="I1689" s="2" t="n">
        <v>75</v>
      </c>
      <c r="J1689" s="0" t="n">
        <v>0.648</v>
      </c>
      <c r="K1689" s="0" t="n">
        <v>0.931</v>
      </c>
      <c r="L1689" s="3" t="str">
        <f aca="false">IF(K1689&gt;0.66,"High",IF(K1689&gt;0.33&amp;K1689&lt;=0.66,"Medium","Low"))</f>
        <v>High</v>
      </c>
      <c r="M1689" s="0" t="n">
        <v>-3.15</v>
      </c>
      <c r="N1689" s="3" t="n">
        <v>0.181</v>
      </c>
      <c r="O1689" s="3" t="n">
        <v>0.00937</v>
      </c>
      <c r="P1689" s="4" t="n">
        <v>0</v>
      </c>
      <c r="Q1689" s="3" t="n">
        <v>0.752</v>
      </c>
      <c r="R1689" s="3" t="n">
        <v>0.744</v>
      </c>
      <c r="S1689" s="3" t="str">
        <f aca="false">IF(R1689 &gt;= 0.5, "Positive", "Negative")</f>
        <v>Positive</v>
      </c>
      <c r="T1689" s="2" t="n">
        <v>153.649</v>
      </c>
      <c r="U1689" s="0" t="s">
        <v>24</v>
      </c>
    </row>
    <row r="1690" customFormat="false" ht="14.25" hidden="false" customHeight="false" outlineLevel="0" collapsed="false">
      <c r="A1690" s="0" t="n">
        <v>104</v>
      </c>
      <c r="B1690" s="0" t="str">
        <f aca="false">_xlfn.xlookup(A1690, artists!A$2:A$836, artists!B$2:B$836)</f>
        <v>Outkast</v>
      </c>
      <c r="C1690" s="1" t="s">
        <v>1711</v>
      </c>
      <c r="D1690" s="2" t="n">
        <v>234000</v>
      </c>
      <c r="E1690" s="2" t="n">
        <f aca="false">D1690/1000</f>
        <v>234</v>
      </c>
      <c r="F1690" s="10" t="b">
        <f aca="false">TRUE()</f>
        <v>1</v>
      </c>
      <c r="G1690" s="0" t="n">
        <v>6</v>
      </c>
      <c r="H1690" s="0" t="n">
        <f aca="false">_xlfn.xlookup(G1690, years!A$2:A$836, years!B$2:B$836)</f>
        <v>2003</v>
      </c>
      <c r="I1690" s="2" t="n">
        <v>66</v>
      </c>
      <c r="J1690" s="0" t="n">
        <v>0.871</v>
      </c>
      <c r="K1690" s="0" t="n">
        <v>0.597</v>
      </c>
      <c r="L1690" s="3" t="str">
        <f aca="false">IF(K1690&gt;0.66,"High",IF(K1690&gt;0.33&amp;K1690&lt;=0.66,"Medium","Low"))</f>
        <v>Low</v>
      </c>
      <c r="M1690" s="0" t="n">
        <v>-4.932</v>
      </c>
      <c r="N1690" s="3" t="n">
        <v>0.0464</v>
      </c>
      <c r="O1690" s="3" t="n">
        <v>0.126</v>
      </c>
      <c r="P1690" s="4" t="n">
        <v>0.000113</v>
      </c>
      <c r="Q1690" s="3" t="n">
        <v>0.0638</v>
      </c>
      <c r="R1690" s="3" t="n">
        <v>0.635</v>
      </c>
      <c r="S1690" s="3" t="str">
        <f aca="false">IF(R1690 &gt;= 0.5, "Positive", "Negative")</f>
        <v>Positive</v>
      </c>
      <c r="T1690" s="2" t="n">
        <v>125.999</v>
      </c>
      <c r="U1690" s="0" t="s">
        <v>24</v>
      </c>
    </row>
    <row r="1691" customFormat="false" ht="14.25" hidden="false" customHeight="false" outlineLevel="0" collapsed="false">
      <c r="A1691" s="0" t="n">
        <v>104</v>
      </c>
      <c r="B1691" s="0" t="str">
        <f aca="false">_xlfn.xlookup(A1691, artists!A$2:A$836, artists!B$2:B$836)</f>
        <v>Outkast</v>
      </c>
      <c r="C1691" s="1" t="s">
        <v>1712</v>
      </c>
      <c r="D1691" s="2" t="n">
        <v>295346</v>
      </c>
      <c r="E1691" s="2" t="n">
        <f aca="false">D1691/1000</f>
        <v>295.346</v>
      </c>
      <c r="F1691" s="10" t="b">
        <f aca="false">TRUE()</f>
        <v>1</v>
      </c>
      <c r="G1691" s="0" t="n">
        <v>4</v>
      </c>
      <c r="H1691" s="0" t="n">
        <f aca="false">_xlfn.xlookup(G1691, years!A$2:A$836, years!B$2:B$836)</f>
        <v>2001</v>
      </c>
      <c r="I1691" s="2" t="n">
        <v>51</v>
      </c>
      <c r="J1691" s="0" t="n">
        <v>0.814</v>
      </c>
      <c r="K1691" s="0" t="n">
        <v>0.852</v>
      </c>
      <c r="L1691" s="3" t="str">
        <f aca="false">IF(K1691&gt;0.66,"High",IF(K1691&gt;0.33&amp;K1691&lt;=0.66,"Medium","Low"))</f>
        <v>High</v>
      </c>
      <c r="M1691" s="0" t="n">
        <v>-6.176</v>
      </c>
      <c r="N1691" s="3" t="n">
        <v>0.401</v>
      </c>
      <c r="O1691" s="3" t="n">
        <v>0.0958</v>
      </c>
      <c r="P1691" s="4" t="n">
        <v>1.32E-006</v>
      </c>
      <c r="Q1691" s="3" t="n">
        <v>0.0288</v>
      </c>
      <c r="R1691" s="3" t="n">
        <v>0.717</v>
      </c>
      <c r="S1691" s="3" t="str">
        <f aca="false">IF(R1691 &gt;= 0.5, "Positive", "Negative")</f>
        <v>Positive</v>
      </c>
      <c r="T1691" s="2" t="n">
        <v>184.682</v>
      </c>
      <c r="U1691" s="0" t="s">
        <v>24</v>
      </c>
    </row>
    <row r="1692" customFormat="false" ht="14.25" hidden="false" customHeight="false" outlineLevel="0" collapsed="false">
      <c r="A1692" s="0" t="n">
        <v>55</v>
      </c>
      <c r="B1692" s="0" t="str">
        <f aca="false">_xlfn.xlookup(A1692, artists!A$2:A$836, artists!B$2:B$836)</f>
        <v>P!nk</v>
      </c>
      <c r="C1692" s="1" t="s">
        <v>1713</v>
      </c>
      <c r="D1692" s="2" t="n">
        <v>202800</v>
      </c>
      <c r="E1692" s="2" t="n">
        <f aca="false">D1692/1000</f>
        <v>202.8</v>
      </c>
      <c r="F1692" s="10" t="b">
        <f aca="false">FALSE()</f>
        <v>0</v>
      </c>
      <c r="G1692" s="0" t="n">
        <v>3</v>
      </c>
      <c r="H1692" s="0" t="n">
        <f aca="false">_xlfn.xlookup(G1692, years!A$2:A$836, years!B$2:B$836)</f>
        <v>2000</v>
      </c>
      <c r="I1692" s="2" t="n">
        <v>55</v>
      </c>
      <c r="J1692" s="0" t="n">
        <v>0.822</v>
      </c>
      <c r="K1692" s="0" t="n">
        <v>0.847</v>
      </c>
      <c r="L1692" s="3" t="str">
        <f aca="false">IF(K1692&gt;0.66,"High",IF(K1692&gt;0.33&amp;K1692&lt;=0.66,"Medium","Low"))</f>
        <v>High</v>
      </c>
      <c r="M1692" s="0" t="n">
        <v>-6.729</v>
      </c>
      <c r="N1692" s="3" t="n">
        <v>0.0917</v>
      </c>
      <c r="O1692" s="3" t="n">
        <v>0.0854</v>
      </c>
      <c r="P1692" s="4" t="n">
        <v>0</v>
      </c>
      <c r="Q1692" s="3" t="n">
        <v>0.0452</v>
      </c>
      <c r="R1692" s="3" t="n">
        <v>0.668</v>
      </c>
      <c r="S1692" s="3" t="str">
        <f aca="false">IF(R1692 &gt;= 0.5, "Positive", "Negative")</f>
        <v>Positive</v>
      </c>
      <c r="T1692" s="2" t="n">
        <v>107.908</v>
      </c>
      <c r="U1692" s="0" t="s">
        <v>39</v>
      </c>
    </row>
    <row r="1693" customFormat="false" ht="14.25" hidden="false" customHeight="false" outlineLevel="0" collapsed="false">
      <c r="A1693" s="0" t="n">
        <v>3</v>
      </c>
      <c r="B1693" s="0" t="str">
        <f aca="false">_xlfn.xlookup(A1693, artists!A$2:A$836, artists!B$2:B$836)</f>
        <v>Faith Hill</v>
      </c>
      <c r="C1693" s="1" t="s">
        <v>1714</v>
      </c>
      <c r="D1693" s="2" t="n">
        <v>222120</v>
      </c>
      <c r="E1693" s="2" t="n">
        <f aca="false">D1693/1000</f>
        <v>222.12</v>
      </c>
      <c r="F1693" s="10" t="b">
        <f aca="false">FALSE()</f>
        <v>0</v>
      </c>
      <c r="G1693" s="0" t="n">
        <v>4</v>
      </c>
      <c r="H1693" s="0" t="n">
        <f aca="false">_xlfn.xlookup(G1693, years!A$2:A$836, years!B$2:B$836)</f>
        <v>2001</v>
      </c>
      <c r="I1693" s="2" t="n">
        <v>60</v>
      </c>
      <c r="J1693" s="0" t="n">
        <v>0.321</v>
      </c>
      <c r="K1693" s="0" t="n">
        <v>0.511</v>
      </c>
      <c r="L1693" s="3" t="str">
        <f aca="false">IF(K1693&gt;0.66,"High",IF(K1693&gt;0.33&amp;K1693&lt;=0.66,"Medium","Low"))</f>
        <v>Low</v>
      </c>
      <c r="M1693" s="0" t="n">
        <v>-7.77</v>
      </c>
      <c r="N1693" s="3" t="n">
        <v>0.0306</v>
      </c>
      <c r="O1693" s="3" t="n">
        <v>0.513</v>
      </c>
      <c r="P1693" s="4" t="n">
        <v>0</v>
      </c>
      <c r="Q1693" s="3" t="n">
        <v>0.127</v>
      </c>
      <c r="R1693" s="3" t="n">
        <v>0.17</v>
      </c>
      <c r="S1693" s="3" t="str">
        <f aca="false">IF(R1693 &gt;= 0.5, "Positive", "Negative")</f>
        <v>Negative</v>
      </c>
      <c r="T1693" s="2" t="n">
        <v>128.98</v>
      </c>
      <c r="U1693" s="0" t="s">
        <v>204</v>
      </c>
    </row>
    <row r="1694" customFormat="false" ht="14.25" hidden="false" customHeight="false" outlineLevel="0" collapsed="false">
      <c r="A1694" s="0" t="n">
        <v>675</v>
      </c>
      <c r="B1694" s="0" t="str">
        <f aca="false">_xlfn.xlookup(A1694, artists!A$2:A$836, artists!B$2:B$836)</f>
        <v>Shawn Mendes</v>
      </c>
      <c r="C1694" s="1" t="s">
        <v>1715</v>
      </c>
      <c r="D1694" s="2" t="n">
        <v>199440</v>
      </c>
      <c r="E1694" s="2" t="n">
        <f aca="false">D1694/1000</f>
        <v>199.44</v>
      </c>
      <c r="F1694" s="10" t="b">
        <f aca="false">FALSE()</f>
        <v>0</v>
      </c>
      <c r="G1694" s="0" t="n">
        <v>20</v>
      </c>
      <c r="H1694" s="0" t="n">
        <f aca="false">_xlfn.xlookup(G1694, years!A$2:A$836, years!B$2:B$836)</f>
        <v>2017</v>
      </c>
      <c r="I1694" s="2" t="n">
        <v>0</v>
      </c>
      <c r="J1694" s="0" t="n">
        <v>0.857</v>
      </c>
      <c r="K1694" s="0" t="n">
        <v>0.8</v>
      </c>
      <c r="L1694" s="3" t="str">
        <f aca="false">IF(K1694&gt;0.66,"High",IF(K1694&gt;0.33&amp;K1694&lt;=0.66,"Medium","Low"))</f>
        <v>High</v>
      </c>
      <c r="M1694" s="0" t="n">
        <v>-4.035</v>
      </c>
      <c r="N1694" s="3" t="n">
        <v>0.0583</v>
      </c>
      <c r="O1694" s="3" t="n">
        <v>0.381</v>
      </c>
      <c r="P1694" s="4" t="n">
        <v>0</v>
      </c>
      <c r="Q1694" s="3" t="n">
        <v>0.0913</v>
      </c>
      <c r="R1694" s="3" t="n">
        <v>0.966</v>
      </c>
      <c r="S1694" s="3" t="str">
        <f aca="false">IF(R1694 &gt;= 0.5, "Positive", "Negative")</f>
        <v>Positive</v>
      </c>
      <c r="T1694" s="2" t="n">
        <v>121.996</v>
      </c>
      <c r="U1694" s="0" t="s">
        <v>39</v>
      </c>
    </row>
    <row r="1695" customFormat="false" ht="14.25" hidden="false" customHeight="false" outlineLevel="0" collapsed="false">
      <c r="A1695" s="0" t="n">
        <v>372</v>
      </c>
      <c r="B1695" s="0" t="str">
        <f aca="false">_xlfn.xlookup(A1695, artists!A$2:A$836, artists!B$2:B$836)</f>
        <v>Calvin Harris</v>
      </c>
      <c r="C1695" s="1" t="s">
        <v>1716</v>
      </c>
      <c r="D1695" s="2" t="n">
        <v>247933</v>
      </c>
      <c r="E1695" s="2" t="n">
        <f aca="false">D1695/1000</f>
        <v>247.933</v>
      </c>
      <c r="F1695" s="10" t="b">
        <f aca="false">FALSE()</f>
        <v>0</v>
      </c>
      <c r="G1695" s="0" t="n">
        <v>15</v>
      </c>
      <c r="H1695" s="0" t="n">
        <f aca="false">_xlfn.xlookup(G1695, years!A$2:A$836, years!B$2:B$836)</f>
        <v>2012</v>
      </c>
      <c r="I1695" s="2" t="n">
        <v>65</v>
      </c>
      <c r="J1695" s="0" t="n">
        <v>0.725</v>
      </c>
      <c r="K1695" s="0" t="n">
        <v>0.874</v>
      </c>
      <c r="L1695" s="3" t="str">
        <f aca="false">IF(K1695&gt;0.66,"High",IF(K1695&gt;0.33&amp;K1695&lt;=0.66,"Medium","Low"))</f>
        <v>High</v>
      </c>
      <c r="M1695" s="0" t="n">
        <v>-3.715</v>
      </c>
      <c r="N1695" s="3" t="n">
        <v>0.0396</v>
      </c>
      <c r="O1695" s="3" t="n">
        <v>0.00262</v>
      </c>
      <c r="P1695" s="4" t="n">
        <v>0.000412</v>
      </c>
      <c r="Q1695" s="3" t="n">
        <v>0.0958</v>
      </c>
      <c r="R1695" s="3" t="n">
        <v>0.748</v>
      </c>
      <c r="S1695" s="3" t="str">
        <f aca="false">IF(R1695 &gt;= 0.5, "Positive", "Negative")</f>
        <v>Positive</v>
      </c>
      <c r="T1695" s="2" t="n">
        <v>127.985</v>
      </c>
      <c r="U1695" s="0" t="s">
        <v>53</v>
      </c>
    </row>
    <row r="1696" customFormat="false" ht="14.25" hidden="false" customHeight="false" outlineLevel="0" collapsed="false">
      <c r="A1696" s="0" t="n">
        <v>628</v>
      </c>
      <c r="B1696" s="0" t="str">
        <f aca="false">_xlfn.xlookup(A1696, artists!A$2:A$836, artists!B$2:B$836)</f>
        <v>Ed Sheeran</v>
      </c>
      <c r="C1696" s="1" t="s">
        <v>1717</v>
      </c>
      <c r="D1696" s="2" t="n">
        <v>281560</v>
      </c>
      <c r="E1696" s="2" t="n">
        <f aca="false">D1696/1000</f>
        <v>281.56</v>
      </c>
      <c r="F1696" s="10" t="b">
        <f aca="false">FALSE()</f>
        <v>0</v>
      </c>
      <c r="G1696" s="0" t="n">
        <v>17</v>
      </c>
      <c r="H1696" s="0" t="n">
        <f aca="false">_xlfn.xlookup(G1696, years!A$2:A$836, years!B$2:B$836)</f>
        <v>2014</v>
      </c>
      <c r="I1696" s="2" t="n">
        <v>81</v>
      </c>
      <c r="J1696" s="0" t="n">
        <v>0.781</v>
      </c>
      <c r="K1696" s="0" t="n">
        <v>0.445</v>
      </c>
      <c r="L1696" s="3" t="str">
        <f aca="false">IF(K1696&gt;0.66,"High",IF(K1696&gt;0.33&amp;K1696&lt;=0.66,"Medium","Low"))</f>
        <v>Low</v>
      </c>
      <c r="M1696" s="0" t="n">
        <v>-6.061</v>
      </c>
      <c r="N1696" s="3" t="n">
        <v>0.0295</v>
      </c>
      <c r="O1696" s="3" t="n">
        <v>0.474</v>
      </c>
      <c r="P1696" s="4" t="n">
        <v>0</v>
      </c>
      <c r="Q1696" s="3" t="n">
        <v>0.184</v>
      </c>
      <c r="R1696" s="3" t="n">
        <v>0.591</v>
      </c>
      <c r="S1696" s="3" t="str">
        <f aca="false">IF(R1696 &gt;= 0.5, "Positive", "Negative")</f>
        <v>Positive</v>
      </c>
      <c r="T1696" s="2" t="n">
        <v>78.998</v>
      </c>
      <c r="U1696" s="0" t="s">
        <v>39</v>
      </c>
    </row>
    <row r="1697" customFormat="false" ht="14.25" hidden="false" customHeight="false" outlineLevel="0" collapsed="false">
      <c r="A1697" s="0" t="n">
        <v>632</v>
      </c>
      <c r="B1697" s="0" t="str">
        <f aca="false">_xlfn.xlookup(A1697, artists!A$2:A$836, artists!B$2:B$836)</f>
        <v>Tiësto</v>
      </c>
      <c r="C1697" s="1" t="s">
        <v>1718</v>
      </c>
      <c r="D1697" s="2" t="n">
        <v>215759</v>
      </c>
      <c r="E1697" s="2" t="n">
        <f aca="false">D1697/1000</f>
        <v>215.759</v>
      </c>
      <c r="F1697" s="10" t="b">
        <f aca="false">TRUE()</f>
        <v>1</v>
      </c>
      <c r="G1697" s="0" t="n">
        <v>21</v>
      </c>
      <c r="H1697" s="0" t="n">
        <f aca="false">_xlfn.xlookup(G1697, years!A$2:A$836, years!B$2:B$836)</f>
        <v>2018</v>
      </c>
      <c r="I1697" s="2" t="n">
        <v>72</v>
      </c>
      <c r="J1697" s="0" t="n">
        <v>0.747</v>
      </c>
      <c r="K1697" s="0" t="n">
        <v>0.834</v>
      </c>
      <c r="L1697" s="3" t="str">
        <f aca="false">IF(K1697&gt;0.66,"High",IF(K1697&gt;0.33&amp;K1697&lt;=0.66,"Medium","Low"))</f>
        <v>High</v>
      </c>
      <c r="M1697" s="0" t="n">
        <v>-2.867</v>
      </c>
      <c r="N1697" s="3" t="n">
        <v>0.045</v>
      </c>
      <c r="O1697" s="3" t="n">
        <v>0.374</v>
      </c>
      <c r="P1697" s="4" t="n">
        <v>0</v>
      </c>
      <c r="Q1697" s="3" t="n">
        <v>0.0586</v>
      </c>
      <c r="R1697" s="3" t="n">
        <v>0.687</v>
      </c>
      <c r="S1697" s="3" t="str">
        <f aca="false">IF(R1697 &gt;= 0.5, "Positive", "Negative")</f>
        <v>Positive</v>
      </c>
      <c r="T1697" s="2" t="n">
        <v>128.005</v>
      </c>
      <c r="U1697" s="0" t="s">
        <v>22</v>
      </c>
    </row>
    <row r="1698" customFormat="false" ht="14.25" hidden="false" customHeight="false" outlineLevel="0" collapsed="false">
      <c r="A1698" s="0" t="n">
        <v>336</v>
      </c>
      <c r="B1698" s="0" t="str">
        <f aca="false">_xlfn.xlookup(A1698, artists!A$2:A$836, artists!B$2:B$836)</f>
        <v>Fall Out Boy</v>
      </c>
      <c r="C1698" s="1" t="s">
        <v>1719</v>
      </c>
      <c r="D1698" s="2" t="n">
        <v>212040</v>
      </c>
      <c r="E1698" s="2" t="n">
        <f aca="false">D1698/1000</f>
        <v>212.04</v>
      </c>
      <c r="F1698" s="10" t="b">
        <f aca="false">FALSE()</f>
        <v>0</v>
      </c>
      <c r="G1698" s="0" t="n">
        <v>10</v>
      </c>
      <c r="H1698" s="0" t="n">
        <f aca="false">_xlfn.xlookup(G1698, years!A$2:A$836, years!B$2:B$836)</f>
        <v>2007</v>
      </c>
      <c r="I1698" s="2" t="n">
        <v>68</v>
      </c>
      <c r="J1698" s="0" t="n">
        <v>0.435</v>
      </c>
      <c r="K1698" s="0" t="n">
        <v>0.887</v>
      </c>
      <c r="L1698" s="3" t="str">
        <f aca="false">IF(K1698&gt;0.66,"High",IF(K1698&gt;0.33&amp;K1698&lt;=0.66,"Medium","Low"))</f>
        <v>High</v>
      </c>
      <c r="M1698" s="0" t="n">
        <v>-4.07</v>
      </c>
      <c r="N1698" s="3" t="n">
        <v>0.0636</v>
      </c>
      <c r="O1698" s="3" t="n">
        <v>0.000747</v>
      </c>
      <c r="P1698" s="4" t="n">
        <v>0</v>
      </c>
      <c r="Q1698" s="3" t="n">
        <v>0.0327</v>
      </c>
      <c r="R1698" s="3" t="n">
        <v>0.408</v>
      </c>
      <c r="S1698" s="3" t="str">
        <f aca="false">IF(R1698 &gt;= 0.5, "Positive", "Negative")</f>
        <v>Negative</v>
      </c>
      <c r="T1698" s="2" t="n">
        <v>199.935</v>
      </c>
      <c r="U1698" s="0" t="s">
        <v>43</v>
      </c>
    </row>
    <row r="1699" customFormat="false" ht="14.25" hidden="false" customHeight="false" outlineLevel="0" collapsed="false">
      <c r="A1699" s="0" t="n">
        <v>619</v>
      </c>
      <c r="B1699" s="0" t="str">
        <f aca="false">_xlfn.xlookup(A1699, artists!A$2:A$836, artists!B$2:B$836)</f>
        <v>The Chainsmokers</v>
      </c>
      <c r="C1699" s="1" t="s">
        <v>1720</v>
      </c>
      <c r="D1699" s="2" t="n">
        <v>197946</v>
      </c>
      <c r="E1699" s="2" t="n">
        <f aca="false">D1699/1000</f>
        <v>197.946</v>
      </c>
      <c r="F1699" s="10" t="b">
        <f aca="false">FALSE()</f>
        <v>0</v>
      </c>
      <c r="G1699" s="0" t="n">
        <v>21</v>
      </c>
      <c r="H1699" s="0" t="n">
        <f aca="false">_xlfn.xlookup(G1699, years!A$2:A$836, years!B$2:B$836)</f>
        <v>2018</v>
      </c>
      <c r="I1699" s="2" t="n">
        <v>73</v>
      </c>
      <c r="J1699" s="0" t="n">
        <v>0.575</v>
      </c>
      <c r="K1699" s="0" t="n">
        <v>0.571</v>
      </c>
      <c r="L1699" s="3" t="str">
        <f aca="false">IF(K1699&gt;0.66,"High",IF(K1699&gt;0.33&amp;K1699&lt;=0.66,"Medium","Low"))</f>
        <v>Low</v>
      </c>
      <c r="M1699" s="0" t="n">
        <v>-7.906</v>
      </c>
      <c r="N1699" s="3" t="n">
        <v>0.0439</v>
      </c>
      <c r="O1699" s="3" t="n">
        <v>0.0558</v>
      </c>
      <c r="P1699" s="4" t="n">
        <v>0</v>
      </c>
      <c r="Q1699" s="3" t="n">
        <v>0.0912</v>
      </c>
      <c r="R1699" s="3" t="n">
        <v>0.449</v>
      </c>
      <c r="S1699" s="3" t="str">
        <f aca="false">IF(R1699 &gt;= 0.5, "Positive", "Negative")</f>
        <v>Negative</v>
      </c>
      <c r="T1699" s="2" t="n">
        <v>105.049</v>
      </c>
      <c r="U1699" s="0" t="s">
        <v>22</v>
      </c>
    </row>
    <row r="1700" customFormat="false" ht="14.25" hidden="false" customHeight="false" outlineLevel="0" collapsed="false">
      <c r="A1700" s="0" t="n">
        <v>704</v>
      </c>
      <c r="B1700" s="0" t="str">
        <f aca="false">_xlfn.xlookup(A1700, artists!A$2:A$836, artists!B$2:B$836)</f>
        <v>Kungs</v>
      </c>
      <c r="C1700" s="1" t="s">
        <v>1721</v>
      </c>
      <c r="D1700" s="2" t="n">
        <v>195561</v>
      </c>
      <c r="E1700" s="2" t="n">
        <f aca="false">D1700/1000</f>
        <v>195.561</v>
      </c>
      <c r="F1700" s="10" t="b">
        <f aca="false">FALSE()</f>
        <v>0</v>
      </c>
      <c r="G1700" s="0" t="n">
        <v>19</v>
      </c>
      <c r="H1700" s="0" t="n">
        <f aca="false">_xlfn.xlookup(G1700, years!A$2:A$836, years!B$2:B$836)</f>
        <v>2016</v>
      </c>
      <c r="I1700" s="2" t="n">
        <v>0</v>
      </c>
      <c r="J1700" s="0" t="n">
        <v>0.79</v>
      </c>
      <c r="K1700" s="0" t="n">
        <v>0.705</v>
      </c>
      <c r="L1700" s="3" t="str">
        <f aca="false">IF(K1700&gt;0.66,"High",IF(K1700&gt;0.33&amp;K1700&lt;=0.66,"Medium","Low"))</f>
        <v>High</v>
      </c>
      <c r="M1700" s="0" t="n">
        <v>-4.684</v>
      </c>
      <c r="N1700" s="3" t="n">
        <v>0.0383</v>
      </c>
      <c r="O1700" s="3" t="n">
        <v>0.0807</v>
      </c>
      <c r="P1700" s="4" t="n">
        <v>4.81E-005</v>
      </c>
      <c r="Q1700" s="3" t="n">
        <v>0.251</v>
      </c>
      <c r="R1700" s="3" t="n">
        <v>0.501</v>
      </c>
      <c r="S1700" s="3" t="str">
        <f aca="false">IF(R1700 &gt;= 0.5, "Positive", "Negative")</f>
        <v>Positive</v>
      </c>
      <c r="T1700" s="2" t="n">
        <v>121.969</v>
      </c>
      <c r="U1700" s="0" t="s">
        <v>22</v>
      </c>
    </row>
    <row r="1701" customFormat="false" ht="14.25" hidden="false" customHeight="false" outlineLevel="0" collapsed="false">
      <c r="A1701" s="0" t="n">
        <v>398</v>
      </c>
      <c r="B1701" s="0" t="str">
        <f aca="false">_xlfn.xlookup(A1701, artists!A$2:A$836, artists!B$2:B$836)</f>
        <v>Katy Perry</v>
      </c>
      <c r="C1701" s="1" t="s">
        <v>1722</v>
      </c>
      <c r="D1701" s="2" t="n">
        <v>204285</v>
      </c>
      <c r="E1701" s="2" t="n">
        <f aca="false">D1701/1000</f>
        <v>204.285</v>
      </c>
      <c r="F1701" s="10" t="b">
        <f aca="false">FALSE()</f>
        <v>0</v>
      </c>
      <c r="G1701" s="0" t="n">
        <v>16</v>
      </c>
      <c r="H1701" s="0" t="n">
        <f aca="false">_xlfn.xlookup(G1701, years!A$2:A$836, years!B$2:B$836)</f>
        <v>2013</v>
      </c>
      <c r="I1701" s="2" t="n">
        <v>60</v>
      </c>
      <c r="J1701" s="0" t="n">
        <v>0.69</v>
      </c>
      <c r="K1701" s="0" t="n">
        <v>0.636</v>
      </c>
      <c r="L1701" s="3" t="str">
        <f aca="false">IF(K1701&gt;0.66,"High",IF(K1701&gt;0.33&amp;K1701&lt;=0.66,"Medium","Low"))</f>
        <v>Low</v>
      </c>
      <c r="M1701" s="0" t="n">
        <v>-6.028</v>
      </c>
      <c r="N1701" s="3" t="n">
        <v>0.0457</v>
      </c>
      <c r="O1701" s="3" t="n">
        <v>0.0203</v>
      </c>
      <c r="P1701" s="4" t="n">
        <v>0</v>
      </c>
      <c r="Q1701" s="3" t="n">
        <v>0.147</v>
      </c>
      <c r="R1701" s="3" t="n">
        <v>0.8</v>
      </c>
      <c r="S1701" s="3" t="str">
        <f aca="false">IF(R1701 &gt;= 0.5, "Positive", "Negative")</f>
        <v>Positive</v>
      </c>
      <c r="T1701" s="2" t="n">
        <v>96</v>
      </c>
      <c r="U1701" s="0" t="s">
        <v>39</v>
      </c>
    </row>
    <row r="1702" customFormat="false" ht="14.25" hidden="false" customHeight="false" outlineLevel="0" collapsed="false">
      <c r="A1702" s="0" t="n">
        <v>404</v>
      </c>
      <c r="B1702" s="0" t="str">
        <f aca="false">_xlfn.xlookup(A1702, artists!A$2:A$836, artists!B$2:B$836)</f>
        <v>will.i.am</v>
      </c>
      <c r="C1702" s="1" t="s">
        <v>1723</v>
      </c>
      <c r="D1702" s="2" t="n">
        <v>279026</v>
      </c>
      <c r="E1702" s="2" t="n">
        <f aca="false">D1702/1000</f>
        <v>279.026</v>
      </c>
      <c r="F1702" s="10" t="b">
        <f aca="false">FALSE()</f>
        <v>0</v>
      </c>
      <c r="G1702" s="0" t="n">
        <v>16</v>
      </c>
      <c r="H1702" s="0" t="n">
        <f aca="false">_xlfn.xlookup(G1702, years!A$2:A$836, years!B$2:B$836)</f>
        <v>2013</v>
      </c>
      <c r="I1702" s="2" t="n">
        <v>62</v>
      </c>
      <c r="J1702" s="0" t="n">
        <v>0.535</v>
      </c>
      <c r="K1702" s="0" t="n">
        <v>0.796</v>
      </c>
      <c r="L1702" s="3" t="str">
        <f aca="false">IF(K1702&gt;0.66,"High",IF(K1702&gt;0.33&amp;K1702&lt;=0.66,"Medium","Low"))</f>
        <v>High</v>
      </c>
      <c r="M1702" s="0" t="n">
        <v>-3.446</v>
      </c>
      <c r="N1702" s="3" t="n">
        <v>0.0445</v>
      </c>
      <c r="O1702" s="3" t="n">
        <v>0.00473</v>
      </c>
      <c r="P1702" s="4" t="n">
        <v>0</v>
      </c>
      <c r="Q1702" s="3" t="n">
        <v>0.145</v>
      </c>
      <c r="R1702" s="3" t="n">
        <v>0.282</v>
      </c>
      <c r="S1702" s="3" t="str">
        <f aca="false">IF(R1702 &gt;= 0.5, "Positive", "Negative")</f>
        <v>Negative</v>
      </c>
      <c r="T1702" s="2" t="n">
        <v>128.954</v>
      </c>
      <c r="U1702" s="0" t="s">
        <v>24</v>
      </c>
    </row>
    <row r="1703" customFormat="false" ht="14.25" hidden="false" customHeight="false" outlineLevel="0" collapsed="false">
      <c r="A1703" s="0" t="n">
        <v>595</v>
      </c>
      <c r="B1703" s="0" t="str">
        <f aca="false">_xlfn.xlookup(A1703, artists!A$2:A$836, artists!B$2:B$836)</f>
        <v>Armin van Buuren</v>
      </c>
      <c r="C1703" s="1" t="s">
        <v>1724</v>
      </c>
      <c r="D1703" s="2" t="n">
        <v>204360</v>
      </c>
      <c r="E1703" s="2" t="n">
        <f aca="false">D1703/1000</f>
        <v>204.36</v>
      </c>
      <c r="F1703" s="10" t="b">
        <f aca="false">FALSE()</f>
        <v>0</v>
      </c>
      <c r="G1703" s="0" t="n">
        <v>16</v>
      </c>
      <c r="H1703" s="0" t="n">
        <f aca="false">_xlfn.xlookup(G1703, years!A$2:A$836, years!B$2:B$836)</f>
        <v>2013</v>
      </c>
      <c r="I1703" s="2" t="n">
        <v>66</v>
      </c>
      <c r="J1703" s="0" t="n">
        <v>0.551</v>
      </c>
      <c r="K1703" s="0" t="n">
        <v>0.833</v>
      </c>
      <c r="L1703" s="3" t="str">
        <f aca="false">IF(K1703&gt;0.66,"High",IF(K1703&gt;0.33&amp;K1703&lt;=0.66,"Medium","Low"))</f>
        <v>High</v>
      </c>
      <c r="M1703" s="0" t="n">
        <v>-5.217</v>
      </c>
      <c r="N1703" s="3" t="n">
        <v>0.03</v>
      </c>
      <c r="O1703" s="3" t="n">
        <v>0.0391</v>
      </c>
      <c r="P1703" s="4" t="n">
        <v>2.77E-006</v>
      </c>
      <c r="Q1703" s="3" t="n">
        <v>0.0632</v>
      </c>
      <c r="R1703" s="3" t="n">
        <v>0.145</v>
      </c>
      <c r="S1703" s="3" t="str">
        <f aca="false">IF(R1703 &gt;= 0.5, "Positive", "Negative")</f>
        <v>Negative</v>
      </c>
      <c r="T1703" s="2" t="n">
        <v>129.885</v>
      </c>
      <c r="U1703" s="0" t="s">
        <v>22</v>
      </c>
    </row>
    <row r="1704" customFormat="false" ht="14.25" hidden="false" customHeight="false" outlineLevel="0" collapsed="false">
      <c r="A1704" s="0" t="n">
        <v>238</v>
      </c>
      <c r="B1704" s="0" t="str">
        <f aca="false">_xlfn.xlookup(A1704, artists!A$2:A$836, artists!B$2:B$836)</f>
        <v>Daddy Yankee</v>
      </c>
      <c r="C1704" s="1" t="s">
        <v>1725</v>
      </c>
      <c r="D1704" s="2" t="n">
        <v>200480</v>
      </c>
      <c r="E1704" s="2" t="n">
        <f aca="false">D1704/1000</f>
        <v>200.48</v>
      </c>
      <c r="F1704" s="10" t="b">
        <f aca="false">FALSE()</f>
        <v>0</v>
      </c>
      <c r="G1704" s="0" t="n">
        <v>21</v>
      </c>
      <c r="H1704" s="0" t="n">
        <f aca="false">_xlfn.xlookup(G1704, years!A$2:A$836, years!B$2:B$836)</f>
        <v>2018</v>
      </c>
      <c r="I1704" s="2" t="n">
        <v>71</v>
      </c>
      <c r="J1704" s="0" t="n">
        <v>0.783</v>
      </c>
      <c r="K1704" s="0" t="n">
        <v>0.84</v>
      </c>
      <c r="L1704" s="3" t="str">
        <f aca="false">IF(K1704&gt;0.66,"High",IF(K1704&gt;0.33&amp;K1704&lt;=0.66,"Medium","Low"))</f>
        <v>High</v>
      </c>
      <c r="M1704" s="0" t="n">
        <v>-3.416</v>
      </c>
      <c r="N1704" s="3" t="n">
        <v>0.051</v>
      </c>
      <c r="O1704" s="3" t="n">
        <v>0.174</v>
      </c>
      <c r="P1704" s="4" t="n">
        <v>0</v>
      </c>
      <c r="Q1704" s="3" t="n">
        <v>0.412</v>
      </c>
      <c r="R1704" s="3" t="n">
        <v>0.839</v>
      </c>
      <c r="S1704" s="3" t="str">
        <f aca="false">IF(R1704 &gt;= 0.5, "Positive", "Negative")</f>
        <v>Positive</v>
      </c>
      <c r="T1704" s="2" t="n">
        <v>95.001</v>
      </c>
      <c r="U1704" s="0" t="s">
        <v>312</v>
      </c>
    </row>
    <row r="1705" customFormat="false" ht="14.25" hidden="false" customHeight="false" outlineLevel="0" collapsed="false">
      <c r="A1705" s="0" t="n">
        <v>370</v>
      </c>
      <c r="B1705" s="0" t="str">
        <f aca="false">_xlfn.xlookup(A1705, artists!A$2:A$836, artists!B$2:B$836)</f>
        <v>MiMS</v>
      </c>
      <c r="C1705" s="1" t="s">
        <v>1726</v>
      </c>
      <c r="D1705" s="2" t="n">
        <v>253706</v>
      </c>
      <c r="E1705" s="2" t="n">
        <f aca="false">D1705/1000</f>
        <v>253.706</v>
      </c>
      <c r="F1705" s="10" t="b">
        <f aca="false">TRUE()</f>
        <v>1</v>
      </c>
      <c r="G1705" s="0" t="n">
        <v>10</v>
      </c>
      <c r="H1705" s="0" t="n">
        <f aca="false">_xlfn.xlookup(G1705, years!A$2:A$836, years!B$2:B$836)</f>
        <v>2007</v>
      </c>
      <c r="I1705" s="2" t="n">
        <v>59</v>
      </c>
      <c r="J1705" s="0" t="n">
        <v>0.621</v>
      </c>
      <c r="K1705" s="0" t="n">
        <v>0.6</v>
      </c>
      <c r="L1705" s="3" t="str">
        <f aca="false">IF(K1705&gt;0.66,"High",IF(K1705&gt;0.33&amp;K1705&lt;=0.66,"Medium","Low"))</f>
        <v>Low</v>
      </c>
      <c r="M1705" s="0" t="n">
        <v>-6.349</v>
      </c>
      <c r="N1705" s="3" t="n">
        <v>0.576</v>
      </c>
      <c r="O1705" s="3" t="n">
        <v>0.277</v>
      </c>
      <c r="P1705" s="4" t="n">
        <v>0</v>
      </c>
      <c r="Q1705" s="3" t="n">
        <v>0.495</v>
      </c>
      <c r="R1705" s="3" t="n">
        <v>0.485</v>
      </c>
      <c r="S1705" s="3" t="str">
        <f aca="false">IF(R1705 &gt;= 0.5, "Positive", "Negative")</f>
        <v>Negative</v>
      </c>
      <c r="T1705" s="2" t="n">
        <v>80.021</v>
      </c>
      <c r="U1705" s="0" t="s">
        <v>24</v>
      </c>
    </row>
    <row r="1706" customFormat="false" ht="14.25" hidden="false" customHeight="false" outlineLevel="0" collapsed="false">
      <c r="A1706" s="0" t="n">
        <v>236</v>
      </c>
      <c r="B1706" s="0" t="str">
        <f aca="false">_xlfn.xlookup(A1706, artists!A$2:A$836, artists!B$2:B$836)</f>
        <v>Maroon 5</v>
      </c>
      <c r="C1706" s="1" t="s">
        <v>1727</v>
      </c>
      <c r="D1706" s="2" t="n">
        <v>206200</v>
      </c>
      <c r="E1706" s="2" t="n">
        <f aca="false">D1706/1000</f>
        <v>206.2</v>
      </c>
      <c r="F1706" s="10" t="b">
        <f aca="false">FALSE()</f>
        <v>0</v>
      </c>
      <c r="G1706" s="0" t="n">
        <v>5</v>
      </c>
      <c r="H1706" s="0" t="n">
        <f aca="false">_xlfn.xlookup(G1706, years!A$2:A$836, years!B$2:B$836)</f>
        <v>2002</v>
      </c>
      <c r="I1706" s="2" t="n">
        <v>77</v>
      </c>
      <c r="J1706" s="0" t="n">
        <v>0.712</v>
      </c>
      <c r="K1706" s="0" t="n">
        <v>0.862</v>
      </c>
      <c r="L1706" s="3" t="str">
        <f aca="false">IF(K1706&gt;0.66,"High",IF(K1706&gt;0.33&amp;K1706&lt;=0.66,"Medium","Low"))</f>
        <v>High</v>
      </c>
      <c r="M1706" s="0" t="n">
        <v>-4.612</v>
      </c>
      <c r="N1706" s="3" t="n">
        <v>0.0378</v>
      </c>
      <c r="O1706" s="3" t="n">
        <v>0.0525</v>
      </c>
      <c r="P1706" s="4" t="n">
        <v>0</v>
      </c>
      <c r="Q1706" s="3" t="n">
        <v>0.093</v>
      </c>
      <c r="R1706" s="3" t="n">
        <v>0.809</v>
      </c>
      <c r="S1706" s="3" t="str">
        <f aca="false">IF(R1706 &gt;= 0.5, "Positive", "Negative")</f>
        <v>Positive</v>
      </c>
      <c r="T1706" s="2" t="n">
        <v>95.051</v>
      </c>
      <c r="U1706" s="0" t="s">
        <v>39</v>
      </c>
    </row>
    <row r="1707" customFormat="false" ht="14.25" hidden="false" customHeight="false" outlineLevel="0" collapsed="false">
      <c r="A1707" s="0" t="n">
        <v>762</v>
      </c>
      <c r="B1707" s="0" t="str">
        <f aca="false">_xlfn.xlookup(A1707, artists!A$2:A$836, artists!B$2:B$836)</f>
        <v>Jay Rock</v>
      </c>
      <c r="C1707" s="1" t="s">
        <v>1728</v>
      </c>
      <c r="D1707" s="2" t="n">
        <v>229670</v>
      </c>
      <c r="E1707" s="2" t="n">
        <f aca="false">D1707/1000</f>
        <v>229.67</v>
      </c>
      <c r="F1707" s="10" t="b">
        <f aca="false">TRUE()</f>
        <v>1</v>
      </c>
      <c r="G1707" s="0" t="n">
        <v>21</v>
      </c>
      <c r="H1707" s="0" t="n">
        <f aca="false">_xlfn.xlookup(G1707, years!A$2:A$836, years!B$2:B$836)</f>
        <v>2018</v>
      </c>
      <c r="I1707" s="2" t="n">
        <v>71</v>
      </c>
      <c r="J1707" s="0" t="n">
        <v>0.645</v>
      </c>
      <c r="K1707" s="0" t="n">
        <v>0.705</v>
      </c>
      <c r="L1707" s="3" t="str">
        <f aca="false">IF(K1707&gt;0.66,"High",IF(K1707&gt;0.33&amp;K1707&lt;=0.66,"Medium","Low"))</f>
        <v>High</v>
      </c>
      <c r="M1707" s="0" t="n">
        <v>-5.008</v>
      </c>
      <c r="N1707" s="3" t="n">
        <v>0.299</v>
      </c>
      <c r="O1707" s="3" t="n">
        <v>0.000813</v>
      </c>
      <c r="P1707" s="4" t="n">
        <v>0</v>
      </c>
      <c r="Q1707" s="3" t="n">
        <v>0.128</v>
      </c>
      <c r="R1707" s="3" t="n">
        <v>0.376</v>
      </c>
      <c r="S1707" s="3" t="str">
        <f aca="false">IF(R1707 &gt;= 0.5, "Positive", "Negative")</f>
        <v>Negative</v>
      </c>
      <c r="T1707" s="2" t="n">
        <v>137.133</v>
      </c>
      <c r="U1707" s="0" t="s">
        <v>24</v>
      </c>
    </row>
    <row r="1708" customFormat="false" ht="14.25" hidden="false" customHeight="false" outlineLevel="0" collapsed="false">
      <c r="A1708" s="0" t="n">
        <v>336</v>
      </c>
      <c r="B1708" s="0" t="str">
        <f aca="false">_xlfn.xlookup(A1708, artists!A$2:A$836, artists!B$2:B$836)</f>
        <v>Fall Out Boy</v>
      </c>
      <c r="C1708" s="1" t="s">
        <v>1729</v>
      </c>
      <c r="D1708" s="2" t="n">
        <v>203506</v>
      </c>
      <c r="E1708" s="2" t="n">
        <f aca="false">D1708/1000</f>
        <v>203.506</v>
      </c>
      <c r="F1708" s="10" t="b">
        <f aca="false">FALSE()</f>
        <v>0</v>
      </c>
      <c r="G1708" s="0" t="n">
        <v>10</v>
      </c>
      <c r="H1708" s="0" t="n">
        <f aca="false">_xlfn.xlookup(G1708, years!A$2:A$836, years!B$2:B$836)</f>
        <v>2007</v>
      </c>
      <c r="I1708" s="2" t="n">
        <v>76</v>
      </c>
      <c r="J1708" s="0" t="n">
        <v>0.459</v>
      </c>
      <c r="K1708" s="0" t="n">
        <v>0.891</v>
      </c>
      <c r="L1708" s="3" t="str">
        <f aca="false">IF(K1708&gt;0.66,"High",IF(K1708&gt;0.33&amp;K1708&lt;=0.66,"Medium","Low"))</f>
        <v>High</v>
      </c>
      <c r="M1708" s="0" t="n">
        <v>-5.057</v>
      </c>
      <c r="N1708" s="3" t="n">
        <v>0.0623</v>
      </c>
      <c r="O1708" s="3" t="n">
        <v>0.00511</v>
      </c>
      <c r="P1708" s="4" t="n">
        <v>0</v>
      </c>
      <c r="Q1708" s="3" t="n">
        <v>0.106</v>
      </c>
      <c r="R1708" s="3" t="n">
        <v>0.588</v>
      </c>
      <c r="S1708" s="3" t="str">
        <f aca="false">IF(R1708 &gt;= 0.5, "Positive", "Negative")</f>
        <v>Positive</v>
      </c>
      <c r="T1708" s="2" t="n">
        <v>154.837</v>
      </c>
      <c r="U1708" s="0" t="s">
        <v>43</v>
      </c>
    </row>
    <row r="1709" customFormat="false" ht="14.25" hidden="false" customHeight="false" outlineLevel="0" collapsed="false">
      <c r="A1709" s="0" t="n">
        <v>6</v>
      </c>
      <c r="B1709" s="0" t="str">
        <f aca="false">_xlfn.xlookup(A1709, artists!A$2:A$836, artists!B$2:B$836)</f>
        <v>Sisqo</v>
      </c>
      <c r="C1709" s="1" t="s">
        <v>1730</v>
      </c>
      <c r="D1709" s="2" t="n">
        <v>253733</v>
      </c>
      <c r="E1709" s="2" t="n">
        <f aca="false">D1709/1000</f>
        <v>253.733</v>
      </c>
      <c r="F1709" s="10" t="b">
        <f aca="false">TRUE()</f>
        <v>1</v>
      </c>
      <c r="G1709" s="0" t="n">
        <v>2</v>
      </c>
      <c r="H1709" s="0" t="n">
        <f aca="false">_xlfn.xlookup(G1709, years!A$2:A$836, years!B$2:B$836)</f>
        <v>1999</v>
      </c>
      <c r="I1709" s="2" t="n">
        <v>69</v>
      </c>
      <c r="J1709" s="0" t="n">
        <v>0.706</v>
      </c>
      <c r="K1709" s="0" t="n">
        <v>0.888</v>
      </c>
      <c r="L1709" s="3" t="str">
        <f aca="false">IF(K1709&gt;0.66,"High",IF(K1709&gt;0.33&amp;K1709&lt;=0.66,"Medium","Low"))</f>
        <v>High</v>
      </c>
      <c r="M1709" s="0" t="n">
        <v>-6.959</v>
      </c>
      <c r="N1709" s="3" t="n">
        <v>0.0654</v>
      </c>
      <c r="O1709" s="3" t="n">
        <v>0.119</v>
      </c>
      <c r="P1709" s="4" t="n">
        <v>9.64E-005</v>
      </c>
      <c r="Q1709" s="3" t="n">
        <v>0.07</v>
      </c>
      <c r="R1709" s="3" t="n">
        <v>0.714</v>
      </c>
      <c r="S1709" s="3" t="str">
        <f aca="false">IF(R1709 &gt;= 0.5, "Positive", "Negative")</f>
        <v>Positive</v>
      </c>
      <c r="T1709" s="2" t="n">
        <v>121.549</v>
      </c>
      <c r="U1709" s="0" t="s">
        <v>31</v>
      </c>
    </row>
    <row r="1710" customFormat="false" ht="14.25" hidden="false" customHeight="false" outlineLevel="0" collapsed="false">
      <c r="A1710" s="0" t="n">
        <v>821</v>
      </c>
      <c r="B1710" s="0" t="str">
        <f aca="false">_xlfn.xlookup(A1710, artists!A$2:A$836, artists!B$2:B$836)</f>
        <v>Blueface</v>
      </c>
      <c r="C1710" s="1" t="s">
        <v>1731</v>
      </c>
      <c r="D1710" s="2" t="n">
        <v>129264</v>
      </c>
      <c r="E1710" s="2" t="n">
        <f aca="false">D1710/1000</f>
        <v>129.264</v>
      </c>
      <c r="F1710" s="10" t="b">
        <f aca="false">TRUE()</f>
        <v>1</v>
      </c>
      <c r="G1710" s="0" t="n">
        <v>21</v>
      </c>
      <c r="H1710" s="0" t="n">
        <f aca="false">_xlfn.xlookup(G1710, years!A$2:A$836, years!B$2:B$836)</f>
        <v>2018</v>
      </c>
      <c r="I1710" s="2" t="n">
        <v>1</v>
      </c>
      <c r="J1710" s="0" t="n">
        <v>0.906</v>
      </c>
      <c r="K1710" s="0" t="n">
        <v>0.382</v>
      </c>
      <c r="L1710" s="3" t="str">
        <f aca="false">IF(K1710&gt;0.66,"High",IF(K1710&gt;0.33&amp;K1710&lt;=0.66,"Medium","Low"))</f>
        <v>Low</v>
      </c>
      <c r="M1710" s="0" t="n">
        <v>-12.89</v>
      </c>
      <c r="N1710" s="3" t="n">
        <v>0.269</v>
      </c>
      <c r="O1710" s="3" t="n">
        <v>0.18</v>
      </c>
      <c r="P1710" s="4" t="n">
        <v>0</v>
      </c>
      <c r="Q1710" s="3" t="n">
        <v>0.113</v>
      </c>
      <c r="R1710" s="3" t="n">
        <v>0.391</v>
      </c>
      <c r="S1710" s="3" t="str">
        <f aca="false">IF(R1710 &gt;= 0.5, "Positive", "Negative")</f>
        <v>Negative</v>
      </c>
      <c r="T1710" s="2" t="n">
        <v>104.025</v>
      </c>
      <c r="U1710" s="0" t="s">
        <v>29</v>
      </c>
    </row>
    <row r="1711" customFormat="false" ht="14.25" hidden="false" customHeight="false" outlineLevel="0" collapsed="false">
      <c r="A1711" s="0" t="n">
        <v>572</v>
      </c>
      <c r="B1711" s="0" t="str">
        <f aca="false">_xlfn.xlookup(A1711, artists!A$2:A$836, artists!B$2:B$836)</f>
        <v>Macklemore &amp; Ryan Lewis</v>
      </c>
      <c r="C1711" s="1" t="s">
        <v>1732</v>
      </c>
      <c r="D1711" s="2" t="n">
        <v>235613</v>
      </c>
      <c r="E1711" s="2" t="n">
        <f aca="false">D1711/1000</f>
        <v>235.613</v>
      </c>
      <c r="F1711" s="10" t="b">
        <f aca="false">TRUE()</f>
        <v>1</v>
      </c>
      <c r="G1711" s="0" t="n">
        <v>15</v>
      </c>
      <c r="H1711" s="0" t="n">
        <f aca="false">_xlfn.xlookup(G1711, years!A$2:A$836, years!B$2:B$836)</f>
        <v>2012</v>
      </c>
      <c r="I1711" s="2" t="n">
        <v>1</v>
      </c>
      <c r="J1711" s="0" t="n">
        <v>0.781</v>
      </c>
      <c r="K1711" s="0" t="n">
        <v>0.526</v>
      </c>
      <c r="L1711" s="3" t="str">
        <f aca="false">IF(K1711&gt;0.66,"High",IF(K1711&gt;0.33&amp;K1711&lt;=0.66,"Medium","Low"))</f>
        <v>Low</v>
      </c>
      <c r="M1711" s="0" t="n">
        <v>-6.985</v>
      </c>
      <c r="N1711" s="3" t="n">
        <v>0.293</v>
      </c>
      <c r="O1711" s="3" t="n">
        <v>0.0619</v>
      </c>
      <c r="P1711" s="4" t="n">
        <v>0</v>
      </c>
      <c r="Q1711" s="3" t="n">
        <v>0.0457</v>
      </c>
      <c r="R1711" s="3" t="n">
        <v>0.662</v>
      </c>
      <c r="S1711" s="3" t="str">
        <f aca="false">IF(R1711 &gt;= 0.5, "Positive", "Negative")</f>
        <v>Positive</v>
      </c>
      <c r="T1711" s="2" t="n">
        <v>94.992</v>
      </c>
      <c r="U1711" s="0" t="s">
        <v>24</v>
      </c>
    </row>
    <row r="1712" customFormat="false" ht="14.25" hidden="false" customHeight="false" outlineLevel="0" collapsed="false">
      <c r="A1712" s="0" t="n">
        <v>269</v>
      </c>
      <c r="B1712" s="0" t="str">
        <f aca="false">_xlfn.xlookup(A1712, artists!A$2:A$836, artists!B$2:B$836)</f>
        <v>Kanye West</v>
      </c>
      <c r="C1712" s="1" t="s">
        <v>1733</v>
      </c>
      <c r="D1712" s="2" t="n">
        <v>221226</v>
      </c>
      <c r="E1712" s="2" t="n">
        <f aca="false">D1712/1000</f>
        <v>221.226</v>
      </c>
      <c r="F1712" s="10" t="b">
        <f aca="false">TRUE()</f>
        <v>1</v>
      </c>
      <c r="G1712" s="0" t="n">
        <v>7</v>
      </c>
      <c r="H1712" s="0" t="n">
        <f aca="false">_xlfn.xlookup(G1712, years!A$2:A$836, years!B$2:B$836)</f>
        <v>2004</v>
      </c>
      <c r="I1712" s="2" t="n">
        <v>76</v>
      </c>
      <c r="J1712" s="0" t="n">
        <v>0.571</v>
      </c>
      <c r="K1712" s="0" t="n">
        <v>0.739</v>
      </c>
      <c r="L1712" s="3" t="str">
        <f aca="false">IF(K1712&gt;0.66,"High",IF(K1712&gt;0.33&amp;K1712&lt;=0.66,"Medium","Low"))</f>
        <v>High</v>
      </c>
      <c r="M1712" s="0" t="n">
        <v>-6.11</v>
      </c>
      <c r="N1712" s="3" t="n">
        <v>0.247</v>
      </c>
      <c r="O1712" s="3" t="n">
        <v>0.00865</v>
      </c>
      <c r="P1712" s="4" t="n">
        <v>5.21E-006</v>
      </c>
      <c r="Q1712" s="3" t="n">
        <v>0.158</v>
      </c>
      <c r="R1712" s="3" t="n">
        <v>0.66</v>
      </c>
      <c r="S1712" s="3" t="str">
        <f aca="false">IF(R1712 &gt;= 0.5, "Positive", "Negative")</f>
        <v>Positive</v>
      </c>
      <c r="T1712" s="2" t="n">
        <v>83.089</v>
      </c>
      <c r="U1712" s="0" t="s">
        <v>29</v>
      </c>
    </row>
    <row r="1713" customFormat="false" ht="14.25" hidden="false" customHeight="false" outlineLevel="0" collapsed="false">
      <c r="A1713" s="0" t="n">
        <v>229</v>
      </c>
      <c r="B1713" s="0" t="str">
        <f aca="false">_xlfn.xlookup(A1713, artists!A$2:A$836, artists!B$2:B$836)</f>
        <v>Fabolous</v>
      </c>
      <c r="C1713" s="1" t="s">
        <v>1734</v>
      </c>
      <c r="D1713" s="2" t="n">
        <v>231573</v>
      </c>
      <c r="E1713" s="2" t="n">
        <f aca="false">D1713/1000</f>
        <v>231.573</v>
      </c>
      <c r="F1713" s="10" t="b">
        <f aca="false">TRUE()</f>
        <v>1</v>
      </c>
      <c r="G1713" s="0" t="n">
        <v>12</v>
      </c>
      <c r="H1713" s="0" t="n">
        <f aca="false">_xlfn.xlookup(G1713, years!A$2:A$836, years!B$2:B$836)</f>
        <v>2009</v>
      </c>
      <c r="I1713" s="2" t="n">
        <v>59</v>
      </c>
      <c r="J1713" s="0" t="n">
        <v>0.789</v>
      </c>
      <c r="K1713" s="0" t="n">
        <v>0.55</v>
      </c>
      <c r="L1713" s="3" t="str">
        <f aca="false">IF(K1713&gt;0.66,"High",IF(K1713&gt;0.33&amp;K1713&lt;=0.66,"Medium","Low"))</f>
        <v>Low</v>
      </c>
      <c r="M1713" s="0" t="n">
        <v>-7.423</v>
      </c>
      <c r="N1713" s="3" t="n">
        <v>0.0473</v>
      </c>
      <c r="O1713" s="3" t="n">
        <v>0.174</v>
      </c>
      <c r="P1713" s="4" t="n">
        <v>0</v>
      </c>
      <c r="Q1713" s="3" t="n">
        <v>0.0614</v>
      </c>
      <c r="R1713" s="3" t="n">
        <v>0.696</v>
      </c>
      <c r="S1713" s="3" t="str">
        <f aca="false">IF(R1713 &gt;= 0.5, "Positive", "Negative")</f>
        <v>Positive</v>
      </c>
      <c r="T1713" s="2" t="n">
        <v>172.049</v>
      </c>
      <c r="U1713" s="0" t="s">
        <v>31</v>
      </c>
    </row>
    <row r="1714" customFormat="false" ht="14.25" hidden="false" customHeight="false" outlineLevel="0" collapsed="false">
      <c r="A1714" s="0" t="n">
        <v>391</v>
      </c>
      <c r="B1714" s="0" t="str">
        <f aca="false">_xlfn.xlookup(A1714, artists!A$2:A$836, artists!B$2:B$836)</f>
        <v>Rich Boy</v>
      </c>
      <c r="C1714" s="1" t="s">
        <v>1735</v>
      </c>
      <c r="D1714" s="2" t="n">
        <v>263920</v>
      </c>
      <c r="E1714" s="2" t="n">
        <f aca="false">D1714/1000</f>
        <v>263.92</v>
      </c>
      <c r="F1714" s="10" t="b">
        <f aca="false">TRUE()</f>
        <v>1</v>
      </c>
      <c r="G1714" s="0" t="n">
        <v>10</v>
      </c>
      <c r="H1714" s="0" t="n">
        <f aca="false">_xlfn.xlookup(G1714, years!A$2:A$836, years!B$2:B$836)</f>
        <v>2007</v>
      </c>
      <c r="I1714" s="2" t="n">
        <v>57</v>
      </c>
      <c r="J1714" s="0" t="n">
        <v>0.697</v>
      </c>
      <c r="K1714" s="0" t="n">
        <v>0.86</v>
      </c>
      <c r="L1714" s="3" t="str">
        <f aca="false">IF(K1714&gt;0.66,"High",IF(K1714&gt;0.33&amp;K1714&lt;=0.66,"Medium","Low"))</f>
        <v>High</v>
      </c>
      <c r="M1714" s="0" t="n">
        <v>-5.181</v>
      </c>
      <c r="N1714" s="3" t="n">
        <v>0.43</v>
      </c>
      <c r="O1714" s="3" t="n">
        <v>0.0368</v>
      </c>
      <c r="P1714" s="4" t="n">
        <v>0</v>
      </c>
      <c r="Q1714" s="3" t="n">
        <v>0.0721</v>
      </c>
      <c r="R1714" s="3" t="n">
        <v>0.433</v>
      </c>
      <c r="S1714" s="3" t="str">
        <f aca="false">IF(R1714 &gt;= 0.5, "Positive", "Negative")</f>
        <v>Negative</v>
      </c>
      <c r="T1714" s="2" t="n">
        <v>160.895</v>
      </c>
      <c r="U1714" s="0" t="s">
        <v>24</v>
      </c>
    </row>
    <row r="1715" customFormat="false" ht="14.25" hidden="false" customHeight="false" outlineLevel="0" collapsed="false">
      <c r="A1715" s="0" t="n">
        <v>571</v>
      </c>
      <c r="B1715" s="0" t="str">
        <f aca="false">_xlfn.xlookup(A1715, artists!A$2:A$836, artists!B$2:B$836)</f>
        <v>Imagine Dragons</v>
      </c>
      <c r="C1715" s="1" t="s">
        <v>1736</v>
      </c>
      <c r="D1715" s="2" t="n">
        <v>187146</v>
      </c>
      <c r="E1715" s="2" t="n">
        <f aca="false">D1715/1000</f>
        <v>187.146</v>
      </c>
      <c r="F1715" s="10" t="b">
        <f aca="false">FALSE()</f>
        <v>0</v>
      </c>
      <c r="G1715" s="0" t="n">
        <v>20</v>
      </c>
      <c r="H1715" s="0" t="n">
        <f aca="false">_xlfn.xlookup(G1715, years!A$2:A$836, years!B$2:B$836)</f>
        <v>2017</v>
      </c>
      <c r="I1715" s="2" t="n">
        <v>1</v>
      </c>
      <c r="J1715" s="0" t="n">
        <v>0.6</v>
      </c>
      <c r="K1715" s="0" t="n">
        <v>0.81</v>
      </c>
      <c r="L1715" s="3" t="str">
        <f aca="false">IF(K1715&gt;0.66,"High",IF(K1715&gt;0.33&amp;K1715&lt;=0.66,"Medium","Low"))</f>
        <v>High</v>
      </c>
      <c r="M1715" s="0" t="n">
        <v>-4.749</v>
      </c>
      <c r="N1715" s="3" t="n">
        <v>0.0479</v>
      </c>
      <c r="O1715" s="3" t="n">
        <v>0.00683</v>
      </c>
      <c r="P1715" s="4" t="n">
        <v>0.21</v>
      </c>
      <c r="Q1715" s="3" t="n">
        <v>0.155</v>
      </c>
      <c r="R1715" s="3" t="n">
        <v>0.298</v>
      </c>
      <c r="S1715" s="3" t="str">
        <f aca="false">IF(R1715 &gt;= 0.5, "Positive", "Negative")</f>
        <v>Negative</v>
      </c>
      <c r="T1715" s="2" t="n">
        <v>167.88</v>
      </c>
      <c r="U1715" s="0" t="s">
        <v>43</v>
      </c>
    </row>
    <row r="1716" customFormat="false" ht="14.25" hidden="false" customHeight="false" outlineLevel="0" collapsed="false">
      <c r="A1716" s="0" t="n">
        <v>334</v>
      </c>
      <c r="B1716" s="0" t="str">
        <f aca="false">_xlfn.xlookup(A1716, artists!A$2:A$836, artists!B$2:B$836)</f>
        <v>Meck</v>
      </c>
      <c r="C1716" s="1" t="s">
        <v>1737</v>
      </c>
      <c r="D1716" s="2" t="n">
        <v>189800</v>
      </c>
      <c r="E1716" s="2" t="n">
        <f aca="false">D1716/1000</f>
        <v>189.8</v>
      </c>
      <c r="F1716" s="10" t="b">
        <f aca="false">FALSE()</f>
        <v>0</v>
      </c>
      <c r="G1716" s="0" t="n">
        <v>8</v>
      </c>
      <c r="H1716" s="0" t="n">
        <f aca="false">_xlfn.xlookup(G1716, years!A$2:A$836, years!B$2:B$836)</f>
        <v>2005</v>
      </c>
      <c r="I1716" s="2" t="n">
        <v>46</v>
      </c>
      <c r="J1716" s="0" t="n">
        <v>0.679</v>
      </c>
      <c r="K1716" s="0" t="n">
        <v>0.922</v>
      </c>
      <c r="L1716" s="3" t="str">
        <f aca="false">IF(K1716&gt;0.66,"High",IF(K1716&gt;0.33&amp;K1716&lt;=0.66,"Medium","Low"))</f>
        <v>High</v>
      </c>
      <c r="M1716" s="0" t="n">
        <v>-4.67</v>
      </c>
      <c r="N1716" s="3" t="n">
        <v>0.0294</v>
      </c>
      <c r="O1716" s="3" t="n">
        <v>0.000241</v>
      </c>
      <c r="P1716" s="4" t="n">
        <v>0.69</v>
      </c>
      <c r="Q1716" s="3" t="n">
        <v>0.0697</v>
      </c>
      <c r="R1716" s="3" t="n">
        <v>0.806</v>
      </c>
      <c r="S1716" s="3" t="str">
        <f aca="false">IF(R1716 &gt;= 0.5, "Positive", "Negative")</f>
        <v>Positive</v>
      </c>
      <c r="T1716" s="2" t="n">
        <v>129.016</v>
      </c>
      <c r="U1716" s="0" t="s">
        <v>118</v>
      </c>
    </row>
    <row r="1717" customFormat="false" ht="14.25" hidden="false" customHeight="false" outlineLevel="0" collapsed="false">
      <c r="A1717" s="0" t="n">
        <v>764</v>
      </c>
      <c r="B1717" s="0" t="str">
        <f aca="false">_xlfn.xlookup(A1717, artists!A$2:A$836, artists!B$2:B$836)</f>
        <v>Logic</v>
      </c>
      <c r="C1717" s="1" t="s">
        <v>1738</v>
      </c>
      <c r="D1717" s="2" t="n">
        <v>204746</v>
      </c>
      <c r="E1717" s="2" t="n">
        <f aca="false">D1717/1000</f>
        <v>204.746</v>
      </c>
      <c r="F1717" s="10" t="b">
        <f aca="false">TRUE()</f>
        <v>1</v>
      </c>
      <c r="G1717" s="0" t="n">
        <v>21</v>
      </c>
      <c r="H1717" s="0" t="n">
        <f aca="false">_xlfn.xlookup(G1717, years!A$2:A$836, years!B$2:B$836)</f>
        <v>2018</v>
      </c>
      <c r="I1717" s="2" t="n">
        <v>69</v>
      </c>
      <c r="J1717" s="0" t="n">
        <v>0.667</v>
      </c>
      <c r="K1717" s="0" t="n">
        <v>0.741</v>
      </c>
      <c r="L1717" s="3" t="str">
        <f aca="false">IF(K1717&gt;0.66,"High",IF(K1717&gt;0.33&amp;K1717&lt;=0.66,"Medium","Low"))</f>
        <v>High</v>
      </c>
      <c r="M1717" s="0" t="n">
        <v>-4.099</v>
      </c>
      <c r="N1717" s="3" t="n">
        <v>0.0378</v>
      </c>
      <c r="O1717" s="3" t="n">
        <v>0.0425</v>
      </c>
      <c r="P1717" s="4" t="n">
        <v>0</v>
      </c>
      <c r="Q1717" s="3" t="n">
        <v>0.0761</v>
      </c>
      <c r="R1717" s="3" t="n">
        <v>0.422</v>
      </c>
      <c r="S1717" s="3" t="str">
        <f aca="false">IF(R1717 &gt;= 0.5, "Positive", "Negative")</f>
        <v>Negative</v>
      </c>
      <c r="T1717" s="2" t="n">
        <v>149.908</v>
      </c>
      <c r="U1717" s="0" t="s">
        <v>24</v>
      </c>
    </row>
    <row r="1718" customFormat="false" ht="14.25" hidden="false" customHeight="false" outlineLevel="0" collapsed="false">
      <c r="A1718" s="0" t="n">
        <v>471</v>
      </c>
      <c r="B1718" s="0" t="str">
        <f aca="false">_xlfn.xlookup(A1718, artists!A$2:A$836, artists!B$2:B$836)</f>
        <v>Kesha</v>
      </c>
      <c r="C1718" s="1" t="s">
        <v>1739</v>
      </c>
      <c r="D1718" s="2" t="n">
        <v>199693</v>
      </c>
      <c r="E1718" s="2" t="n">
        <f aca="false">D1718/1000</f>
        <v>199.693</v>
      </c>
      <c r="F1718" s="10" t="b">
        <f aca="false">FALSE()</f>
        <v>0</v>
      </c>
      <c r="G1718" s="0" t="n">
        <v>13</v>
      </c>
      <c r="H1718" s="0" t="n">
        <f aca="false">_xlfn.xlookup(G1718, years!A$2:A$836, years!B$2:B$836)</f>
        <v>2010</v>
      </c>
      <c r="I1718" s="2" t="n">
        <v>80</v>
      </c>
      <c r="J1718" s="0" t="n">
        <v>0.755</v>
      </c>
      <c r="K1718" s="0" t="n">
        <v>0.837</v>
      </c>
      <c r="L1718" s="3" t="str">
        <f aca="false">IF(K1718&gt;0.66,"High",IF(K1718&gt;0.33&amp;K1718&lt;=0.66,"Medium","Low"))</f>
        <v>High</v>
      </c>
      <c r="M1718" s="0" t="n">
        <v>-2.718</v>
      </c>
      <c r="N1718" s="3" t="n">
        <v>0.142</v>
      </c>
      <c r="O1718" s="3" t="n">
        <v>0.0991</v>
      </c>
      <c r="P1718" s="4" t="n">
        <v>0</v>
      </c>
      <c r="Q1718" s="3" t="n">
        <v>0.289</v>
      </c>
      <c r="R1718" s="3" t="n">
        <v>0.714</v>
      </c>
      <c r="S1718" s="3" t="str">
        <f aca="false">IF(R1718 &gt;= 0.5, "Positive", "Negative")</f>
        <v>Positive</v>
      </c>
      <c r="T1718" s="2" t="n">
        <v>120.028</v>
      </c>
      <c r="U1718" s="0" t="s">
        <v>22</v>
      </c>
    </row>
    <row r="1719" customFormat="false" ht="14.25" hidden="false" customHeight="false" outlineLevel="0" collapsed="false">
      <c r="A1719" s="0" t="n">
        <v>7</v>
      </c>
      <c r="B1719" s="0" t="str">
        <f aca="false">_xlfn.xlookup(A1719, artists!A$2:A$836, artists!B$2:B$836)</f>
        <v>Eminem</v>
      </c>
      <c r="C1719" s="1" t="s">
        <v>1740</v>
      </c>
      <c r="D1719" s="2" t="n">
        <v>297786</v>
      </c>
      <c r="E1719" s="2" t="n">
        <f aca="false">D1719/1000</f>
        <v>297.786</v>
      </c>
      <c r="F1719" s="10" t="b">
        <f aca="false">TRUE()</f>
        <v>1</v>
      </c>
      <c r="G1719" s="0" t="n">
        <v>5</v>
      </c>
      <c r="H1719" s="0" t="n">
        <f aca="false">_xlfn.xlookup(G1719, years!A$2:A$836, years!B$2:B$836)</f>
        <v>2002</v>
      </c>
      <c r="I1719" s="2" t="n">
        <v>85</v>
      </c>
      <c r="J1719" s="0" t="n">
        <v>0.548</v>
      </c>
      <c r="K1719" s="0" t="n">
        <v>0.847</v>
      </c>
      <c r="L1719" s="3" t="str">
        <f aca="false">IF(K1719&gt;0.66,"High",IF(K1719&gt;0.33&amp;K1719&lt;=0.66,"Medium","Low"))</f>
        <v>High</v>
      </c>
      <c r="M1719" s="0" t="n">
        <v>-3.237</v>
      </c>
      <c r="N1719" s="3" t="n">
        <v>0.186</v>
      </c>
      <c r="O1719" s="3" t="n">
        <v>0.0622</v>
      </c>
      <c r="P1719" s="4" t="n">
        <v>0</v>
      </c>
      <c r="Q1719" s="3" t="n">
        <v>0.0816</v>
      </c>
      <c r="R1719" s="3" t="n">
        <v>0.1</v>
      </c>
      <c r="S1719" s="3" t="str">
        <f aca="false">IF(R1719 &gt;= 0.5, "Positive", "Negative")</f>
        <v>Negative</v>
      </c>
      <c r="T1719" s="2" t="n">
        <v>171.447</v>
      </c>
      <c r="U1719" s="0" t="s">
        <v>29</v>
      </c>
    </row>
    <row r="1720" customFormat="false" ht="14.25" hidden="false" customHeight="false" outlineLevel="0" collapsed="false">
      <c r="A1720" s="0" t="n">
        <v>1</v>
      </c>
      <c r="B1720" s="0" t="str">
        <f aca="false">_xlfn.xlookup(A1720, artists!A$2:A$836, artists!B$2:B$836)</f>
        <v>Britney Spears</v>
      </c>
      <c r="C1720" s="1" t="s">
        <v>1741</v>
      </c>
      <c r="D1720" s="2" t="n">
        <v>237946</v>
      </c>
      <c r="E1720" s="2" t="n">
        <f aca="false">D1720/1000</f>
        <v>237.946</v>
      </c>
      <c r="F1720" s="10" t="b">
        <f aca="false">FALSE()</f>
        <v>0</v>
      </c>
      <c r="G1720" s="0" t="n">
        <v>14</v>
      </c>
      <c r="H1720" s="0" t="n">
        <f aca="false">_xlfn.xlookup(G1720, years!A$2:A$836, years!B$2:B$836)</f>
        <v>2011</v>
      </c>
      <c r="I1720" s="2" t="n">
        <v>65</v>
      </c>
      <c r="J1720" s="0" t="n">
        <v>0.693</v>
      </c>
      <c r="K1720" s="0" t="n">
        <v>0.705</v>
      </c>
      <c r="L1720" s="3" t="str">
        <f aca="false">IF(K1720&gt;0.66,"High",IF(K1720&gt;0.33&amp;K1720&lt;=0.66,"Medium","Low"))</f>
        <v>High</v>
      </c>
      <c r="M1720" s="0" t="n">
        <v>-5.747</v>
      </c>
      <c r="N1720" s="3" t="n">
        <v>0.0665</v>
      </c>
      <c r="O1720" s="3" t="n">
        <v>0.0228</v>
      </c>
      <c r="P1720" s="4" t="n">
        <v>0</v>
      </c>
      <c r="Q1720" s="3" t="n">
        <v>0.202</v>
      </c>
      <c r="R1720" s="3" t="n">
        <v>0.45</v>
      </c>
      <c r="S1720" s="3" t="str">
        <f aca="false">IF(R1720 &gt;= 0.5, "Positive", "Negative")</f>
        <v>Negative</v>
      </c>
      <c r="T1720" s="2" t="n">
        <v>131.951</v>
      </c>
      <c r="U1720" s="0" t="s">
        <v>39</v>
      </c>
    </row>
    <row r="1721" customFormat="false" ht="14.25" hidden="false" customHeight="false" outlineLevel="0" collapsed="false">
      <c r="A1721" s="0" t="n">
        <v>440</v>
      </c>
      <c r="B1721" s="0" t="str">
        <f aca="false">_xlfn.xlookup(A1721, artists!A$2:A$836, artists!B$2:B$836)</f>
        <v>Pitbull</v>
      </c>
      <c r="C1721" s="1" t="s">
        <v>1742</v>
      </c>
      <c r="D1721" s="2" t="n">
        <v>204160</v>
      </c>
      <c r="E1721" s="2" t="n">
        <f aca="false">D1721/1000</f>
        <v>204.16</v>
      </c>
      <c r="F1721" s="10" t="b">
        <f aca="false">FALSE()</f>
        <v>0</v>
      </c>
      <c r="G1721" s="0" t="n">
        <v>15</v>
      </c>
      <c r="H1721" s="0" t="n">
        <f aca="false">_xlfn.xlookup(G1721, years!A$2:A$836, years!B$2:B$836)</f>
        <v>2012</v>
      </c>
      <c r="I1721" s="2" t="n">
        <v>80</v>
      </c>
      <c r="J1721" s="0" t="n">
        <v>0.581</v>
      </c>
      <c r="K1721" s="0" t="n">
        <v>0.963</v>
      </c>
      <c r="L1721" s="3" t="str">
        <f aca="false">IF(K1721&gt;0.66,"High",IF(K1721&gt;0.33&amp;K1721&lt;=0.66,"Medium","Low"))</f>
        <v>High</v>
      </c>
      <c r="M1721" s="0" t="n">
        <v>-4.087</v>
      </c>
      <c r="N1721" s="3" t="n">
        <v>0.0981</v>
      </c>
      <c r="O1721" s="3" t="n">
        <v>0.0295</v>
      </c>
      <c r="P1721" s="4" t="n">
        <v>0</v>
      </c>
      <c r="Q1721" s="3" t="n">
        <v>0.139</v>
      </c>
      <c r="R1721" s="3" t="n">
        <v>0.788</v>
      </c>
      <c r="S1721" s="3" t="str">
        <f aca="false">IF(R1721 &gt;= 0.5, "Positive", "Negative")</f>
        <v>Positive</v>
      </c>
      <c r="T1721" s="2" t="n">
        <v>129.992</v>
      </c>
      <c r="U1721" s="0" t="s">
        <v>483</v>
      </c>
    </row>
    <row r="1722" customFormat="false" ht="14.25" hidden="false" customHeight="false" outlineLevel="0" collapsed="false">
      <c r="A1722" s="0" t="n">
        <v>440</v>
      </c>
      <c r="B1722" s="0" t="str">
        <f aca="false">_xlfn.xlookup(A1722, artists!A$2:A$836, artists!B$2:B$836)</f>
        <v>Pitbull</v>
      </c>
      <c r="C1722" s="1" t="s">
        <v>1743</v>
      </c>
      <c r="D1722" s="2" t="n">
        <v>229360</v>
      </c>
      <c r="E1722" s="2" t="n">
        <f aca="false">D1722/1000</f>
        <v>229.36</v>
      </c>
      <c r="F1722" s="10" t="b">
        <f aca="false">TRUE()</f>
        <v>1</v>
      </c>
      <c r="G1722" s="0" t="n">
        <v>17</v>
      </c>
      <c r="H1722" s="0" t="n">
        <f aca="false">_xlfn.xlookup(G1722, years!A$2:A$836, years!B$2:B$836)</f>
        <v>2014</v>
      </c>
      <c r="I1722" s="2" t="n">
        <v>80</v>
      </c>
      <c r="J1722" s="0" t="n">
        <v>0.721</v>
      </c>
      <c r="K1722" s="0" t="n">
        <v>0.802</v>
      </c>
      <c r="L1722" s="3" t="str">
        <f aca="false">IF(K1722&gt;0.66,"High",IF(K1722&gt;0.33&amp;K1722&lt;=0.66,"Medium","Low"))</f>
        <v>High</v>
      </c>
      <c r="M1722" s="0" t="n">
        <v>-5.797</v>
      </c>
      <c r="N1722" s="3" t="n">
        <v>0.0583</v>
      </c>
      <c r="O1722" s="3" t="n">
        <v>0.0921</v>
      </c>
      <c r="P1722" s="4" t="n">
        <v>0</v>
      </c>
      <c r="Q1722" s="3" t="n">
        <v>0.694</v>
      </c>
      <c r="R1722" s="3" t="n">
        <v>0.724</v>
      </c>
      <c r="S1722" s="3" t="str">
        <f aca="false">IF(R1722 &gt;= 0.5, "Positive", "Negative")</f>
        <v>Positive</v>
      </c>
      <c r="T1722" s="2" t="n">
        <v>124.022</v>
      </c>
      <c r="U1722" s="0" t="s">
        <v>483</v>
      </c>
    </row>
    <row r="1723" customFormat="false" ht="14.25" hidden="false" customHeight="false" outlineLevel="0" collapsed="false">
      <c r="A1723" s="0" t="n">
        <v>458</v>
      </c>
      <c r="B1723" s="0" t="str">
        <f aca="false">_xlfn.xlookup(A1723, artists!A$2:A$836, artists!B$2:B$836)</f>
        <v>Jason Derulo</v>
      </c>
      <c r="C1723" s="1" t="s">
        <v>1744</v>
      </c>
      <c r="D1723" s="2" t="n">
        <v>187521</v>
      </c>
      <c r="E1723" s="2" t="n">
        <f aca="false">D1723/1000</f>
        <v>187.521</v>
      </c>
      <c r="F1723" s="10" t="b">
        <f aca="false">FALSE()</f>
        <v>0</v>
      </c>
      <c r="G1723" s="0" t="n">
        <v>20</v>
      </c>
      <c r="H1723" s="0" t="n">
        <f aca="false">_xlfn.xlookup(G1723, years!A$2:A$836, years!B$2:B$836)</f>
        <v>2017</v>
      </c>
      <c r="I1723" s="2" t="n">
        <v>64</v>
      </c>
      <c r="J1723" s="0" t="n">
        <v>0.845</v>
      </c>
      <c r="K1723" s="0" t="n">
        <v>0.709</v>
      </c>
      <c r="L1723" s="3" t="str">
        <f aca="false">IF(K1723&gt;0.66,"High",IF(K1723&gt;0.33&amp;K1723&lt;=0.66,"Medium","Low"))</f>
        <v>High</v>
      </c>
      <c r="M1723" s="0" t="n">
        <v>-4.547</v>
      </c>
      <c r="N1723" s="3" t="n">
        <v>0.0714</v>
      </c>
      <c r="O1723" s="3" t="n">
        <v>0.0233</v>
      </c>
      <c r="P1723" s="4" t="n">
        <v>0</v>
      </c>
      <c r="Q1723" s="3" t="n">
        <v>0.094</v>
      </c>
      <c r="R1723" s="3" t="n">
        <v>0.62</v>
      </c>
      <c r="S1723" s="3" t="str">
        <f aca="false">IF(R1723 &gt;= 0.5, "Positive", "Negative")</f>
        <v>Positive</v>
      </c>
      <c r="T1723" s="2" t="n">
        <v>98.062</v>
      </c>
      <c r="U1723" s="0" t="s">
        <v>24</v>
      </c>
    </row>
    <row r="1724" customFormat="false" ht="14.25" hidden="false" customHeight="false" outlineLevel="0" collapsed="false">
      <c r="A1724" s="0" t="n">
        <v>266</v>
      </c>
      <c r="B1724" s="0" t="str">
        <f aca="false">_xlfn.xlookup(A1724, artists!A$2:A$836, artists!B$2:B$836)</f>
        <v>J-Kwon</v>
      </c>
      <c r="C1724" s="1" t="s">
        <v>1745</v>
      </c>
      <c r="D1724" s="2" t="n">
        <v>247106</v>
      </c>
      <c r="E1724" s="2" t="n">
        <f aca="false">D1724/1000</f>
        <v>247.106</v>
      </c>
      <c r="F1724" s="10" t="b">
        <f aca="false">TRUE()</f>
        <v>1</v>
      </c>
      <c r="G1724" s="0" t="n">
        <v>4</v>
      </c>
      <c r="H1724" s="0" t="n">
        <f aca="false">_xlfn.xlookup(G1724, years!A$2:A$836, years!B$2:B$836)</f>
        <v>2001</v>
      </c>
      <c r="I1724" s="2" t="n">
        <v>59</v>
      </c>
      <c r="J1724" s="0" t="n">
        <v>0.925</v>
      </c>
      <c r="K1724" s="0" t="n">
        <v>0.741</v>
      </c>
      <c r="L1724" s="3" t="str">
        <f aca="false">IF(K1724&gt;0.66,"High",IF(K1724&gt;0.33&amp;K1724&lt;=0.66,"Medium","Low"))</f>
        <v>High</v>
      </c>
      <c r="M1724" s="0" t="n">
        <v>-5.827</v>
      </c>
      <c r="N1724" s="3" t="n">
        <v>0.315</v>
      </c>
      <c r="O1724" s="3" t="n">
        <v>0.0653</v>
      </c>
      <c r="P1724" s="4" t="n">
        <v>0</v>
      </c>
      <c r="Q1724" s="3" t="n">
        <v>0.044</v>
      </c>
      <c r="R1724" s="3" t="n">
        <v>0.654</v>
      </c>
      <c r="S1724" s="3" t="str">
        <f aca="false">IF(R1724 &gt;= 0.5, "Positive", "Negative")</f>
        <v>Positive</v>
      </c>
      <c r="T1724" s="2" t="n">
        <v>93.04</v>
      </c>
      <c r="U1724" s="0" t="s">
        <v>24</v>
      </c>
    </row>
    <row r="1725" customFormat="false" ht="14.25" hidden="false" customHeight="false" outlineLevel="0" collapsed="false">
      <c r="A1725" s="0" t="n">
        <v>438</v>
      </c>
      <c r="B1725" s="0" t="str">
        <f aca="false">_xlfn.xlookup(A1725, artists!A$2:A$836, artists!B$2:B$836)</f>
        <v>David Guetta</v>
      </c>
      <c r="C1725" s="1" t="s">
        <v>1746</v>
      </c>
      <c r="D1725" s="2" t="n">
        <v>245040</v>
      </c>
      <c r="E1725" s="2" t="n">
        <f aca="false">D1725/1000</f>
        <v>245.04</v>
      </c>
      <c r="F1725" s="10" t="b">
        <f aca="false">FALSE()</f>
        <v>0</v>
      </c>
      <c r="G1725" s="0" t="n">
        <v>15</v>
      </c>
      <c r="H1725" s="0" t="n">
        <f aca="false">_xlfn.xlookup(G1725, years!A$2:A$836, years!B$2:B$836)</f>
        <v>2012</v>
      </c>
      <c r="I1725" s="2" t="n">
        <v>79</v>
      </c>
      <c r="J1725" s="0" t="n">
        <v>0.604</v>
      </c>
      <c r="K1725" s="0" t="n">
        <v>0.787</v>
      </c>
      <c r="L1725" s="3" t="str">
        <f aca="false">IF(K1725&gt;0.66,"High",IF(K1725&gt;0.33&amp;K1725&lt;=0.66,"Medium","Low"))</f>
        <v>High</v>
      </c>
      <c r="M1725" s="0" t="n">
        <v>-3.674</v>
      </c>
      <c r="N1725" s="3" t="n">
        <v>0.103</v>
      </c>
      <c r="O1725" s="3" t="n">
        <v>0.0679</v>
      </c>
      <c r="P1725" s="4" t="n">
        <v>0.15</v>
      </c>
      <c r="Q1725" s="3" t="n">
        <v>0.127</v>
      </c>
      <c r="R1725" s="3" t="n">
        <v>0.301</v>
      </c>
      <c r="S1725" s="3" t="str">
        <f aca="false">IF(R1725 &gt;= 0.5, "Positive", "Negative")</f>
        <v>Negative</v>
      </c>
      <c r="T1725" s="2" t="n">
        <v>126.062</v>
      </c>
      <c r="U1725" s="0" t="s">
        <v>53</v>
      </c>
    </row>
    <row r="1726" customFormat="false" ht="14.25" hidden="false" customHeight="false" outlineLevel="0" collapsed="false">
      <c r="A1726" s="0" t="n">
        <v>532</v>
      </c>
      <c r="B1726" s="0" t="str">
        <f aca="false">_xlfn.xlookup(A1726, artists!A$2:A$836, artists!B$2:B$836)</f>
        <v>Grouplove</v>
      </c>
      <c r="C1726" s="1" t="s">
        <v>1747</v>
      </c>
      <c r="D1726" s="2" t="n">
        <v>218013</v>
      </c>
      <c r="E1726" s="2" t="n">
        <f aca="false">D1726/1000</f>
        <v>218.013</v>
      </c>
      <c r="F1726" s="10" t="b">
        <f aca="false">FALSE()</f>
        <v>0</v>
      </c>
      <c r="G1726" s="0" t="n">
        <v>14</v>
      </c>
      <c r="H1726" s="0" t="n">
        <f aca="false">_xlfn.xlookup(G1726, years!A$2:A$836, years!B$2:B$836)</f>
        <v>2011</v>
      </c>
      <c r="I1726" s="2" t="n">
        <v>79</v>
      </c>
      <c r="J1726" s="0" t="n">
        <v>0.56</v>
      </c>
      <c r="K1726" s="0" t="n">
        <v>0.936</v>
      </c>
      <c r="L1726" s="3" t="str">
        <f aca="false">IF(K1726&gt;0.66,"High",IF(K1726&gt;0.33&amp;K1726&lt;=0.66,"Medium","Low"))</f>
        <v>High</v>
      </c>
      <c r="M1726" s="0" t="n">
        <v>-5.835</v>
      </c>
      <c r="N1726" s="3" t="n">
        <v>0.0439</v>
      </c>
      <c r="O1726" s="3" t="n">
        <v>0.00847</v>
      </c>
      <c r="P1726" s="4" t="n">
        <v>0</v>
      </c>
      <c r="Q1726" s="3" t="n">
        <v>0.161</v>
      </c>
      <c r="R1726" s="3" t="n">
        <v>0.371</v>
      </c>
      <c r="S1726" s="3" t="str">
        <f aca="false">IF(R1726 &gt;= 0.5, "Positive", "Negative")</f>
        <v>Negative</v>
      </c>
      <c r="T1726" s="2" t="n">
        <v>112.96</v>
      </c>
      <c r="U1726" s="0" t="s">
        <v>996</v>
      </c>
    </row>
    <row r="1727" customFormat="false" ht="14.25" hidden="false" customHeight="false" outlineLevel="0" collapsed="false">
      <c r="A1727" s="0" t="n">
        <v>38</v>
      </c>
      <c r="B1727" s="0" t="str">
        <f aca="false">_xlfn.xlookup(A1727, artists!A$2:A$836, artists!B$2:B$836)</f>
        <v>Enrique Iglesias</v>
      </c>
      <c r="C1727" s="1" t="s">
        <v>1748</v>
      </c>
      <c r="D1727" s="2" t="n">
        <v>232213</v>
      </c>
      <c r="E1727" s="2" t="n">
        <f aca="false">D1727/1000</f>
        <v>232.213</v>
      </c>
      <c r="F1727" s="10" t="b">
        <f aca="false">TRUE()</f>
        <v>1</v>
      </c>
      <c r="G1727" s="0" t="n">
        <v>13</v>
      </c>
      <c r="H1727" s="0" t="n">
        <f aca="false">_xlfn.xlookup(G1727, years!A$2:A$836, years!B$2:B$836)</f>
        <v>2010</v>
      </c>
      <c r="I1727" s="2" t="n">
        <v>63</v>
      </c>
      <c r="J1727" s="0" t="n">
        <v>0.648</v>
      </c>
      <c r="K1727" s="0" t="n">
        <v>0.89</v>
      </c>
      <c r="L1727" s="3" t="str">
        <f aca="false">IF(K1727&gt;0.66,"High",IF(K1727&gt;0.33&amp;K1727&lt;=0.66,"Medium","Low"))</f>
        <v>High</v>
      </c>
      <c r="M1727" s="0" t="n">
        <v>-3.982</v>
      </c>
      <c r="N1727" s="3" t="n">
        <v>0.0523</v>
      </c>
      <c r="O1727" s="3" t="n">
        <v>0.0294</v>
      </c>
      <c r="P1727" s="4" t="n">
        <v>3.58E-006</v>
      </c>
      <c r="Q1727" s="3" t="n">
        <v>0.116</v>
      </c>
      <c r="R1727" s="3" t="n">
        <v>0.321</v>
      </c>
      <c r="S1727" s="3" t="str">
        <f aca="false">IF(R1727 &gt;= 0.5, "Positive", "Negative")</f>
        <v>Negative</v>
      </c>
      <c r="T1727" s="2" t="n">
        <v>125.953</v>
      </c>
      <c r="U1727" s="0" t="s">
        <v>75</v>
      </c>
    </row>
    <row r="1728" customFormat="false" ht="14.25" hidden="false" customHeight="false" outlineLevel="0" collapsed="false">
      <c r="A1728" s="0" t="n">
        <v>531</v>
      </c>
      <c r="B1728" s="0" t="str">
        <f aca="false">_xlfn.xlookup(A1728, artists!A$2:A$836, artists!B$2:B$836)</f>
        <v>Hot Chelle Rae</v>
      </c>
      <c r="C1728" s="1" t="s">
        <v>1749</v>
      </c>
      <c r="D1728" s="2" t="n">
        <v>200466</v>
      </c>
      <c r="E1728" s="2" t="n">
        <f aca="false">D1728/1000</f>
        <v>200.466</v>
      </c>
      <c r="F1728" s="10" t="b">
        <f aca="false">FALSE()</f>
        <v>0</v>
      </c>
      <c r="G1728" s="0" t="n">
        <v>14</v>
      </c>
      <c r="H1728" s="0" t="n">
        <f aca="false">_xlfn.xlookup(G1728, years!A$2:A$836, years!B$2:B$836)</f>
        <v>2011</v>
      </c>
      <c r="I1728" s="2" t="n">
        <v>73</v>
      </c>
      <c r="J1728" s="0" t="n">
        <v>0.686</v>
      </c>
      <c r="K1728" s="0" t="n">
        <v>0.783</v>
      </c>
      <c r="L1728" s="3" t="str">
        <f aca="false">IF(K1728&gt;0.66,"High",IF(K1728&gt;0.33&amp;K1728&lt;=0.66,"Medium","Low"))</f>
        <v>High</v>
      </c>
      <c r="M1728" s="0" t="n">
        <v>-4.977</v>
      </c>
      <c r="N1728" s="3" t="n">
        <v>0.119</v>
      </c>
      <c r="O1728" s="3" t="n">
        <v>0.0764</v>
      </c>
      <c r="P1728" s="4" t="n">
        <v>0</v>
      </c>
      <c r="Q1728" s="3" t="n">
        <v>0.163</v>
      </c>
      <c r="R1728" s="3" t="n">
        <v>0.814</v>
      </c>
      <c r="S1728" s="3" t="str">
        <f aca="false">IF(R1728 &gt;= 0.5, "Positive", "Negative")</f>
        <v>Positive</v>
      </c>
      <c r="T1728" s="2" t="n">
        <v>99.978</v>
      </c>
      <c r="U1728" s="0" t="s">
        <v>493</v>
      </c>
    </row>
    <row r="1729" customFormat="false" ht="14.25" hidden="false" customHeight="false" outlineLevel="0" collapsed="false">
      <c r="A1729" s="0" t="n">
        <v>556</v>
      </c>
      <c r="B1729" s="0" t="str">
        <f aca="false">_xlfn.xlookup(A1729, artists!A$2:A$836, artists!B$2:B$836)</f>
        <v>Alex Clare</v>
      </c>
      <c r="C1729" s="1" t="s">
        <v>1750</v>
      </c>
      <c r="D1729" s="2" t="n">
        <v>256613</v>
      </c>
      <c r="E1729" s="2" t="n">
        <f aca="false">D1729/1000</f>
        <v>256.613</v>
      </c>
      <c r="F1729" s="10" t="b">
        <f aca="false">FALSE()</f>
        <v>0</v>
      </c>
      <c r="G1729" s="0" t="n">
        <v>14</v>
      </c>
      <c r="H1729" s="0" t="n">
        <f aca="false">_xlfn.xlookup(G1729, years!A$2:A$836, years!B$2:B$836)</f>
        <v>2011</v>
      </c>
      <c r="I1729" s="2" t="n">
        <v>60</v>
      </c>
      <c r="J1729" s="0" t="n">
        <v>0.588</v>
      </c>
      <c r="K1729" s="0" t="n">
        <v>0.694</v>
      </c>
      <c r="L1729" s="3" t="str">
        <f aca="false">IF(K1729&gt;0.66,"High",IF(K1729&gt;0.33&amp;K1729&lt;=0.66,"Medium","Low"))</f>
        <v>High</v>
      </c>
      <c r="M1729" s="0" t="n">
        <v>-4.278</v>
      </c>
      <c r="N1729" s="3" t="n">
        <v>0.0387</v>
      </c>
      <c r="O1729" s="3" t="n">
        <v>0.00948</v>
      </c>
      <c r="P1729" s="4" t="n">
        <v>0</v>
      </c>
      <c r="Q1729" s="3" t="n">
        <v>0.113</v>
      </c>
      <c r="R1729" s="3" t="n">
        <v>0.271</v>
      </c>
      <c r="S1729" s="3" t="str">
        <f aca="false">IF(R1729 &gt;= 0.5, "Positive", "Negative")</f>
        <v>Negative</v>
      </c>
      <c r="T1729" s="2" t="n">
        <v>126.027</v>
      </c>
      <c r="U1729" s="0" t="s">
        <v>43</v>
      </c>
    </row>
    <row r="1730" customFormat="false" ht="14.25" hidden="false" customHeight="false" outlineLevel="0" collapsed="false">
      <c r="A1730" s="0" t="n">
        <v>455</v>
      </c>
      <c r="B1730" s="0" t="str">
        <f aca="false">_xlfn.xlookup(A1730, artists!A$2:A$836, artists!B$2:B$836)</f>
        <v>Drake</v>
      </c>
      <c r="C1730" s="1" t="s">
        <v>1751</v>
      </c>
      <c r="D1730" s="2" t="n">
        <v>263373</v>
      </c>
      <c r="E1730" s="2" t="n">
        <f aca="false">D1730/1000</f>
        <v>263.373</v>
      </c>
      <c r="F1730" s="10" t="b">
        <f aca="false">TRUE()</f>
        <v>1</v>
      </c>
      <c r="G1730" s="0" t="n">
        <v>19</v>
      </c>
      <c r="H1730" s="0" t="n">
        <f aca="false">_xlfn.xlookup(G1730, years!A$2:A$836, years!B$2:B$836)</f>
        <v>2016</v>
      </c>
      <c r="I1730" s="2" t="n">
        <v>74</v>
      </c>
      <c r="J1730" s="0" t="n">
        <v>0.794</v>
      </c>
      <c r="K1730" s="0" t="n">
        <v>0.653</v>
      </c>
      <c r="L1730" s="3" t="str">
        <f aca="false">IF(K1730&gt;0.66,"High",IF(K1730&gt;0.33&amp;K1730&lt;=0.66,"Medium","Low"))</f>
        <v>Low</v>
      </c>
      <c r="M1730" s="0" t="n">
        <v>-7.839</v>
      </c>
      <c r="N1730" s="3" t="n">
        <v>0.104</v>
      </c>
      <c r="O1730" s="3" t="n">
        <v>0.0489</v>
      </c>
      <c r="P1730" s="4" t="n">
        <v>4.88E-005</v>
      </c>
      <c r="Q1730" s="3" t="n">
        <v>0.1</v>
      </c>
      <c r="R1730" s="3" t="n">
        <v>0.397</v>
      </c>
      <c r="S1730" s="3" t="str">
        <f aca="false">IF(R1730 &gt;= 0.5, "Positive", "Negative")</f>
        <v>Negative</v>
      </c>
      <c r="T1730" s="2" t="n">
        <v>117.996</v>
      </c>
      <c r="U1730" s="0" t="s">
        <v>31</v>
      </c>
    </row>
    <row r="1731" customFormat="false" ht="14.25" hidden="false" customHeight="false" outlineLevel="0" collapsed="false">
      <c r="A1731" s="0" t="n">
        <v>603</v>
      </c>
      <c r="B1731" s="0" t="str">
        <f aca="false">_xlfn.xlookup(A1731, artists!A$2:A$836, artists!B$2:B$836)</f>
        <v>Sam Smith</v>
      </c>
      <c r="C1731" s="1" t="s">
        <v>1752</v>
      </c>
      <c r="D1731" s="2" t="n">
        <v>201000</v>
      </c>
      <c r="E1731" s="2" t="n">
        <f aca="false">D1731/1000</f>
        <v>201</v>
      </c>
      <c r="F1731" s="10" t="b">
        <f aca="false">FALSE()</f>
        <v>0</v>
      </c>
      <c r="G1731" s="0" t="n">
        <v>20</v>
      </c>
      <c r="H1731" s="0" t="n">
        <f aca="false">_xlfn.xlookup(G1731, years!A$2:A$836, years!B$2:B$836)</f>
        <v>2017</v>
      </c>
      <c r="I1731" s="2" t="n">
        <v>79</v>
      </c>
      <c r="J1731" s="0" t="n">
        <v>0.681</v>
      </c>
      <c r="K1731" s="0" t="n">
        <v>0.372</v>
      </c>
      <c r="L1731" s="3" t="str">
        <f aca="false">IF(K1731&gt;0.66,"High",IF(K1731&gt;0.33&amp;K1731&lt;=0.66,"Medium","Low"))</f>
        <v>Low</v>
      </c>
      <c r="M1731" s="0" t="n">
        <v>-8.237</v>
      </c>
      <c r="N1731" s="3" t="n">
        <v>0.0432</v>
      </c>
      <c r="O1731" s="3" t="n">
        <v>0.64</v>
      </c>
      <c r="P1731" s="4" t="n">
        <v>0</v>
      </c>
      <c r="Q1731" s="3" t="n">
        <v>0.169</v>
      </c>
      <c r="R1731" s="3" t="n">
        <v>0.476</v>
      </c>
      <c r="S1731" s="3" t="str">
        <f aca="false">IF(R1731 &gt;= 0.5, "Positive", "Negative")</f>
        <v>Negative</v>
      </c>
      <c r="T1731" s="2" t="n">
        <v>91.873</v>
      </c>
      <c r="U1731" s="0" t="s">
        <v>39</v>
      </c>
    </row>
    <row r="1732" customFormat="false" ht="14.25" hidden="false" customHeight="false" outlineLevel="0" collapsed="false">
      <c r="A1732" s="0" t="n">
        <v>257</v>
      </c>
      <c r="B1732" s="0" t="str">
        <f aca="false">_xlfn.xlookup(A1732, artists!A$2:A$836, artists!B$2:B$836)</f>
        <v>JoJo</v>
      </c>
      <c r="C1732" s="1" t="s">
        <v>1753</v>
      </c>
      <c r="D1732" s="2" t="n">
        <v>223680</v>
      </c>
      <c r="E1732" s="2" t="n">
        <f aca="false">D1732/1000</f>
        <v>223.68</v>
      </c>
      <c r="F1732" s="10" t="b">
        <f aca="false">FALSE()</f>
        <v>0</v>
      </c>
      <c r="G1732" s="0" t="n">
        <v>9</v>
      </c>
      <c r="H1732" s="0" t="n">
        <f aca="false">_xlfn.xlookup(G1732, years!A$2:A$836, years!B$2:B$836)</f>
        <v>2006</v>
      </c>
      <c r="I1732" s="2" t="n">
        <v>48</v>
      </c>
      <c r="J1732" s="0" t="n">
        <v>0.535</v>
      </c>
      <c r="K1732" s="0" t="n">
        <v>0.823</v>
      </c>
      <c r="L1732" s="3" t="str">
        <f aca="false">IF(K1732&gt;0.66,"High",IF(K1732&gt;0.33&amp;K1732&lt;=0.66,"Medium","Low"))</f>
        <v>High</v>
      </c>
      <c r="M1732" s="0" t="n">
        <v>-5.338</v>
      </c>
      <c r="N1732" s="3" t="n">
        <v>0.0431</v>
      </c>
      <c r="O1732" s="3" t="n">
        <v>0.0113</v>
      </c>
      <c r="P1732" s="4" t="n">
        <v>3.88E-006</v>
      </c>
      <c r="Q1732" s="3" t="n">
        <v>0.146</v>
      </c>
      <c r="R1732" s="3" t="n">
        <v>0.685</v>
      </c>
      <c r="S1732" s="3" t="str">
        <f aca="false">IF(R1732 &gt;= 0.5, "Positive", "Negative")</f>
        <v>Positive</v>
      </c>
      <c r="T1732" s="2" t="n">
        <v>83.001</v>
      </c>
      <c r="U1732" s="0" t="s">
        <v>31</v>
      </c>
    </row>
    <row r="1733" customFormat="false" ht="14.25" hidden="false" customHeight="false" outlineLevel="0" collapsed="false">
      <c r="A1733" s="0" t="n">
        <v>156</v>
      </c>
      <c r="B1733" s="0" t="str">
        <f aca="false">_xlfn.xlookup(A1733, artists!A$2:A$836, artists!B$2:B$836)</f>
        <v>Sugababes</v>
      </c>
      <c r="C1733" s="1" t="s">
        <v>1754</v>
      </c>
      <c r="D1733" s="2" t="n">
        <v>237693</v>
      </c>
      <c r="E1733" s="2" t="n">
        <f aca="false">D1733/1000</f>
        <v>237.693</v>
      </c>
      <c r="F1733" s="10" t="b">
        <f aca="false">FALSE()</f>
        <v>0</v>
      </c>
      <c r="G1733" s="0" t="n">
        <v>6</v>
      </c>
      <c r="H1733" s="0" t="n">
        <f aca="false">_xlfn.xlookup(G1733, years!A$2:A$836, years!B$2:B$836)</f>
        <v>2003</v>
      </c>
      <c r="I1733" s="2" t="n">
        <v>58</v>
      </c>
      <c r="J1733" s="0" t="n">
        <v>0.586</v>
      </c>
      <c r="K1733" s="0" t="n">
        <v>0.705</v>
      </c>
      <c r="L1733" s="3" t="str">
        <f aca="false">IF(K1733&gt;0.66,"High",IF(K1733&gt;0.33&amp;K1733&lt;=0.66,"Medium","Low"))</f>
        <v>High</v>
      </c>
      <c r="M1733" s="0" t="n">
        <v>-4.904</v>
      </c>
      <c r="N1733" s="3" t="n">
        <v>0.0287</v>
      </c>
      <c r="O1733" s="3" t="n">
        <v>0.0485</v>
      </c>
      <c r="P1733" s="4" t="n">
        <v>0</v>
      </c>
      <c r="Q1733" s="3" t="n">
        <v>0.15</v>
      </c>
      <c r="R1733" s="3" t="n">
        <v>0.459</v>
      </c>
      <c r="S1733" s="3" t="str">
        <f aca="false">IF(R1733 &gt;= 0.5, "Positive", "Negative")</f>
        <v>Negative</v>
      </c>
      <c r="T1733" s="2" t="n">
        <v>98.014</v>
      </c>
      <c r="U1733" s="0" t="s">
        <v>33</v>
      </c>
    </row>
    <row r="1734" customFormat="false" ht="14.25" hidden="false" customHeight="false" outlineLevel="0" collapsed="false">
      <c r="A1734" s="0" t="n">
        <v>151</v>
      </c>
      <c r="B1734" s="0" t="str">
        <f aca="false">_xlfn.xlookup(A1734, artists!A$2:A$836, artists!B$2:B$836)</f>
        <v>Busta Rhymes</v>
      </c>
      <c r="C1734" s="1" t="s">
        <v>1755</v>
      </c>
      <c r="D1734" s="2" t="n">
        <v>214960</v>
      </c>
      <c r="E1734" s="2" t="n">
        <f aca="false">D1734/1000</f>
        <v>214.96</v>
      </c>
      <c r="F1734" s="10" t="b">
        <f aca="false">TRUE()</f>
        <v>1</v>
      </c>
      <c r="G1734" s="0" t="n">
        <v>9</v>
      </c>
      <c r="H1734" s="0" t="n">
        <f aca="false">_xlfn.xlookup(G1734, years!A$2:A$836, years!B$2:B$836)</f>
        <v>2006</v>
      </c>
      <c r="I1734" s="2" t="n">
        <v>61</v>
      </c>
      <c r="J1734" s="0" t="n">
        <v>0.658</v>
      </c>
      <c r="K1734" s="0" t="n">
        <v>0.551</v>
      </c>
      <c r="L1734" s="3" t="str">
        <f aca="false">IF(K1734&gt;0.66,"High",IF(K1734&gt;0.33&amp;K1734&lt;=0.66,"Medium","Low"))</f>
        <v>Low</v>
      </c>
      <c r="M1734" s="0" t="n">
        <v>-6.62</v>
      </c>
      <c r="N1734" s="3" t="n">
        <v>0.37</v>
      </c>
      <c r="O1734" s="3" t="n">
        <v>0.0043</v>
      </c>
      <c r="P1734" s="4" t="n">
        <v>0.000108</v>
      </c>
      <c r="Q1734" s="3" t="n">
        <v>0.197</v>
      </c>
      <c r="R1734" s="3" t="n">
        <v>0.442</v>
      </c>
      <c r="S1734" s="3" t="str">
        <f aca="false">IF(R1734 &gt;= 0.5, "Positive", "Negative")</f>
        <v>Negative</v>
      </c>
      <c r="T1734" s="2" t="n">
        <v>138.335</v>
      </c>
      <c r="U1734" s="0" t="s">
        <v>24</v>
      </c>
    </row>
    <row r="1735" customFormat="false" ht="14.25" hidden="false" customHeight="false" outlineLevel="0" collapsed="false">
      <c r="A1735" s="0" t="n">
        <v>116</v>
      </c>
      <c r="B1735" s="0" t="str">
        <f aca="false">_xlfn.xlookup(A1735, artists!A$2:A$836, artists!B$2:B$836)</f>
        <v>Rui Da Silva</v>
      </c>
      <c r="C1735" s="1" t="s">
        <v>1756</v>
      </c>
      <c r="D1735" s="2" t="n">
        <v>213133</v>
      </c>
      <c r="E1735" s="2" t="n">
        <f aca="false">D1735/1000</f>
        <v>213.133</v>
      </c>
      <c r="F1735" s="10" t="b">
        <f aca="false">FALSE()</f>
        <v>0</v>
      </c>
      <c r="G1735" s="0" t="n">
        <v>4</v>
      </c>
      <c r="H1735" s="0" t="n">
        <f aca="false">_xlfn.xlookup(G1735, years!A$2:A$836, years!B$2:B$836)</f>
        <v>2001</v>
      </c>
      <c r="I1735" s="2" t="n">
        <v>54</v>
      </c>
      <c r="J1735" s="0" t="n">
        <v>0.464</v>
      </c>
      <c r="K1735" s="0" t="n">
        <v>0.922</v>
      </c>
      <c r="L1735" s="3" t="str">
        <f aca="false">IF(K1735&gt;0.66,"High",IF(K1735&gt;0.33&amp;K1735&lt;=0.66,"Medium","Low"))</f>
        <v>High</v>
      </c>
      <c r="M1735" s="0" t="n">
        <v>-8.399</v>
      </c>
      <c r="N1735" s="3" t="n">
        <v>0.0638</v>
      </c>
      <c r="O1735" s="3" t="n">
        <v>0.124</v>
      </c>
      <c r="P1735" s="4" t="n">
        <v>0.227</v>
      </c>
      <c r="Q1735" s="3" t="n">
        <v>0.0546</v>
      </c>
      <c r="R1735" s="3" t="n">
        <v>0.695</v>
      </c>
      <c r="S1735" s="3" t="str">
        <f aca="false">IF(R1735 &gt;= 0.5, "Positive", "Negative")</f>
        <v>Positive</v>
      </c>
      <c r="T1735" s="2" t="n">
        <v>129.078</v>
      </c>
      <c r="U1735" s="0" t="s">
        <v>48</v>
      </c>
    </row>
    <row r="1736" customFormat="false" ht="14.25" hidden="false" customHeight="false" outlineLevel="0" collapsed="false">
      <c r="A1736" s="0" t="n">
        <v>50</v>
      </c>
      <c r="B1736" s="0" t="str">
        <f aca="false">_xlfn.xlookup(A1736, artists!A$2:A$836, artists!B$2:B$836)</f>
        <v>Mariah Carey</v>
      </c>
      <c r="C1736" s="1" t="s">
        <v>1757</v>
      </c>
      <c r="D1736" s="2" t="n">
        <v>204733</v>
      </c>
      <c r="E1736" s="2" t="n">
        <f aca="false">D1736/1000</f>
        <v>204.733</v>
      </c>
      <c r="F1736" s="10" t="b">
        <f aca="false">FALSE()</f>
        <v>0</v>
      </c>
      <c r="G1736" s="0" t="n">
        <v>11</v>
      </c>
      <c r="H1736" s="0" t="n">
        <f aca="false">_xlfn.xlookup(G1736, years!A$2:A$836, years!B$2:B$836)</f>
        <v>2008</v>
      </c>
      <c r="I1736" s="2" t="n">
        <v>0</v>
      </c>
      <c r="J1736" s="0" t="n">
        <v>0.715</v>
      </c>
      <c r="K1736" s="0" t="n">
        <v>0.665</v>
      </c>
      <c r="L1736" s="3" t="str">
        <f aca="false">IF(K1736&gt;0.66,"High",IF(K1736&gt;0.33&amp;K1736&lt;=0.66,"Medium","Low"))</f>
        <v>High</v>
      </c>
      <c r="M1736" s="0" t="n">
        <v>-7.736</v>
      </c>
      <c r="N1736" s="3" t="n">
        <v>0.0502</v>
      </c>
      <c r="O1736" s="3" t="n">
        <v>0.0996</v>
      </c>
      <c r="P1736" s="4" t="n">
        <v>0</v>
      </c>
      <c r="Q1736" s="3" t="n">
        <v>0.224</v>
      </c>
      <c r="R1736" s="3" t="n">
        <v>0.84</v>
      </c>
      <c r="S1736" s="3" t="str">
        <f aca="false">IF(R1736 &gt;= 0.5, "Positive", "Negative")</f>
        <v>Positive</v>
      </c>
      <c r="T1736" s="2" t="n">
        <v>78.502</v>
      </c>
      <c r="U1736" s="0" t="s">
        <v>33</v>
      </c>
    </row>
    <row r="1737" customFormat="false" ht="14.25" hidden="false" customHeight="false" outlineLevel="0" collapsed="false">
      <c r="A1737" s="0" t="n">
        <v>269</v>
      </c>
      <c r="B1737" s="0" t="str">
        <f aca="false">_xlfn.xlookup(A1737, artists!A$2:A$836, artists!B$2:B$836)</f>
        <v>Kanye West</v>
      </c>
      <c r="C1737" s="1" t="s">
        <v>1758</v>
      </c>
      <c r="D1737" s="2" t="n">
        <v>236600</v>
      </c>
      <c r="E1737" s="2" t="n">
        <f aca="false">D1737/1000</f>
        <v>236.6</v>
      </c>
      <c r="F1737" s="10" t="b">
        <f aca="false">TRUE()</f>
        <v>1</v>
      </c>
      <c r="G1737" s="0" t="n">
        <v>8</v>
      </c>
      <c r="H1737" s="0" t="n">
        <f aca="false">_xlfn.xlookup(G1737, years!A$2:A$836, years!B$2:B$836)</f>
        <v>2005</v>
      </c>
      <c r="I1737" s="2" t="n">
        <v>73</v>
      </c>
      <c r="J1737" s="0" t="n">
        <v>0.552</v>
      </c>
      <c r="K1737" s="0" t="n">
        <v>0.846</v>
      </c>
      <c r="L1737" s="3" t="str">
        <f aca="false">IF(K1737&gt;0.66,"High",IF(K1737&gt;0.33&amp;K1737&lt;=0.66,"Medium","Low"))</f>
        <v>High</v>
      </c>
      <c r="M1737" s="0" t="n">
        <v>-4.912</v>
      </c>
      <c r="N1737" s="3" t="n">
        <v>0.342</v>
      </c>
      <c r="O1737" s="3" t="n">
        <v>0.0114</v>
      </c>
      <c r="P1737" s="4" t="n">
        <v>0</v>
      </c>
      <c r="Q1737" s="3" t="n">
        <v>0.309</v>
      </c>
      <c r="R1737" s="3" t="n">
        <v>0.554</v>
      </c>
      <c r="S1737" s="3" t="str">
        <f aca="false">IF(R1737 &gt;= 0.5, "Positive", "Negative")</f>
        <v>Positive</v>
      </c>
      <c r="T1737" s="2" t="n">
        <v>98.56</v>
      </c>
      <c r="U1737" s="0" t="s">
        <v>29</v>
      </c>
    </row>
    <row r="1738" customFormat="false" ht="14.25" hidden="false" customHeight="false" outlineLevel="0" collapsed="false">
      <c r="A1738" s="0" t="n">
        <v>202</v>
      </c>
      <c r="B1738" s="0" t="str">
        <f aca="false">_xlfn.xlookup(A1738, artists!A$2:A$836, artists!B$2:B$836)</f>
        <v>Baby Bash</v>
      </c>
      <c r="C1738" s="1" t="s">
        <v>1759</v>
      </c>
      <c r="D1738" s="2" t="n">
        <v>239026</v>
      </c>
      <c r="E1738" s="2" t="n">
        <f aca="false">D1738/1000</f>
        <v>239.026</v>
      </c>
      <c r="F1738" s="10" t="b">
        <f aca="false">FALSE()</f>
        <v>0</v>
      </c>
      <c r="G1738" s="0" t="n">
        <v>6</v>
      </c>
      <c r="H1738" s="0" t="n">
        <f aca="false">_xlfn.xlookup(G1738, years!A$2:A$836, years!B$2:B$836)</f>
        <v>2003</v>
      </c>
      <c r="I1738" s="2" t="n">
        <v>73</v>
      </c>
      <c r="J1738" s="0" t="n">
        <v>0.662</v>
      </c>
      <c r="K1738" s="0" t="n">
        <v>0.748</v>
      </c>
      <c r="L1738" s="3" t="str">
        <f aca="false">IF(K1738&gt;0.66,"High",IF(K1738&gt;0.33&amp;K1738&lt;=0.66,"Medium","Low"))</f>
        <v>High</v>
      </c>
      <c r="M1738" s="0" t="n">
        <v>-3.041</v>
      </c>
      <c r="N1738" s="3" t="n">
        <v>0.268</v>
      </c>
      <c r="O1738" s="3" t="n">
        <v>0.688</v>
      </c>
      <c r="P1738" s="4" t="n">
        <v>8.43E-006</v>
      </c>
      <c r="Q1738" s="3" t="n">
        <v>0.0841</v>
      </c>
      <c r="R1738" s="3" t="n">
        <v>0.535</v>
      </c>
      <c r="S1738" s="3" t="str">
        <f aca="false">IF(R1738 &gt;= 0.5, "Positive", "Negative")</f>
        <v>Positive</v>
      </c>
      <c r="T1738" s="2" t="n">
        <v>82.331</v>
      </c>
      <c r="U1738" s="0" t="s">
        <v>822</v>
      </c>
    </row>
    <row r="1739" customFormat="false" ht="14.25" hidden="false" customHeight="false" outlineLevel="0" collapsed="false">
      <c r="A1739" s="0" t="n">
        <v>644</v>
      </c>
      <c r="B1739" s="0" t="str">
        <f aca="false">_xlfn.xlookup(A1739, artists!A$2:A$836, artists!B$2:B$836)</f>
        <v>The Weeknd</v>
      </c>
      <c r="C1739" s="1" t="s">
        <v>1760</v>
      </c>
      <c r="D1739" s="2" t="n">
        <v>211440</v>
      </c>
      <c r="E1739" s="2" t="n">
        <f aca="false">D1739/1000</f>
        <v>211.44</v>
      </c>
      <c r="F1739" s="10" t="b">
        <f aca="false">TRUE()</f>
        <v>1</v>
      </c>
      <c r="G1739" s="0" t="n">
        <v>21</v>
      </c>
      <c r="H1739" s="0" t="n">
        <f aca="false">_xlfn.xlookup(G1739, years!A$2:A$836, years!B$2:B$836)</f>
        <v>2018</v>
      </c>
      <c r="I1739" s="2" t="n">
        <v>69</v>
      </c>
      <c r="J1739" s="0" t="n">
        <v>0.735</v>
      </c>
      <c r="K1739" s="0" t="n">
        <v>0.677</v>
      </c>
      <c r="L1739" s="3" t="str">
        <f aca="false">IF(K1739&gt;0.66,"High",IF(K1739&gt;0.33&amp;K1739&lt;=0.66,"Medium","Low"))</f>
        <v>High</v>
      </c>
      <c r="M1739" s="0" t="n">
        <v>-4.979</v>
      </c>
      <c r="N1739" s="3" t="n">
        <v>0.093</v>
      </c>
      <c r="O1739" s="3" t="n">
        <v>0.0762</v>
      </c>
      <c r="P1739" s="4" t="n">
        <v>2.17E-005</v>
      </c>
      <c r="Q1739" s="3" t="n">
        <v>0.111</v>
      </c>
      <c r="R1739" s="3" t="n">
        <v>0.188</v>
      </c>
      <c r="S1739" s="3" t="str">
        <f aca="false">IF(R1739 &gt;= 0.5, "Positive", "Negative")</f>
        <v>Negative</v>
      </c>
      <c r="T1739" s="2" t="n">
        <v>100.584</v>
      </c>
      <c r="U1739" s="0" t="s">
        <v>33</v>
      </c>
    </row>
    <row r="1740" customFormat="false" ht="14.25" hidden="false" customHeight="false" outlineLevel="0" collapsed="false">
      <c r="A1740" s="0" t="n">
        <v>101</v>
      </c>
      <c r="B1740" s="0" t="str">
        <f aca="false">_xlfn.xlookup(A1740, artists!A$2:A$836, artists!B$2:B$836)</f>
        <v>Brandy</v>
      </c>
      <c r="C1740" s="1" t="s">
        <v>1761</v>
      </c>
      <c r="D1740" s="2" t="n">
        <v>253200</v>
      </c>
      <c r="E1740" s="2" t="n">
        <f aca="false">D1740/1000</f>
        <v>253.2</v>
      </c>
      <c r="F1740" s="10" t="b">
        <f aca="false">FALSE()</f>
        <v>0</v>
      </c>
      <c r="G1740" s="0" t="n">
        <v>5</v>
      </c>
      <c r="H1740" s="0" t="n">
        <f aca="false">_xlfn.xlookup(G1740, years!A$2:A$836, years!B$2:B$836)</f>
        <v>2002</v>
      </c>
      <c r="I1740" s="2" t="n">
        <v>43</v>
      </c>
      <c r="J1740" s="0" t="n">
        <v>0.686</v>
      </c>
      <c r="K1740" s="0" t="n">
        <v>0.698</v>
      </c>
      <c r="L1740" s="3" t="str">
        <f aca="false">IF(K1740&gt;0.66,"High",IF(K1740&gt;0.33&amp;K1740&lt;=0.66,"Medium","Low"))</f>
        <v>High</v>
      </c>
      <c r="M1740" s="0" t="n">
        <v>-2.942</v>
      </c>
      <c r="N1740" s="3" t="n">
        <v>0.223</v>
      </c>
      <c r="O1740" s="3" t="n">
        <v>0.263</v>
      </c>
      <c r="P1740" s="4" t="n">
        <v>0</v>
      </c>
      <c r="Q1740" s="3" t="n">
        <v>0.39</v>
      </c>
      <c r="R1740" s="3" t="n">
        <v>0.748</v>
      </c>
      <c r="S1740" s="3" t="str">
        <f aca="false">IF(R1740 &gt;= 0.5, "Positive", "Negative")</f>
        <v>Positive</v>
      </c>
      <c r="T1740" s="2" t="n">
        <v>93.118</v>
      </c>
      <c r="U1740" s="0" t="s">
        <v>31</v>
      </c>
    </row>
    <row r="1741" customFormat="false" ht="14.25" hidden="false" customHeight="false" outlineLevel="0" collapsed="false">
      <c r="A1741" s="0" t="n">
        <v>675</v>
      </c>
      <c r="B1741" s="0" t="str">
        <f aca="false">_xlfn.xlookup(A1741, artists!A$2:A$836, artists!B$2:B$836)</f>
        <v>Shawn Mendes</v>
      </c>
      <c r="C1741" s="1" t="s">
        <v>1762</v>
      </c>
      <c r="D1741" s="2" t="n">
        <v>187973</v>
      </c>
      <c r="E1741" s="2" t="n">
        <f aca="false">D1741/1000</f>
        <v>187.973</v>
      </c>
      <c r="F1741" s="10" t="b">
        <f aca="false">FALSE()</f>
        <v>0</v>
      </c>
      <c r="G1741" s="0" t="n">
        <v>20</v>
      </c>
      <c r="H1741" s="0" t="n">
        <f aca="false">_xlfn.xlookup(G1741, years!A$2:A$836, years!B$2:B$836)</f>
        <v>2017</v>
      </c>
      <c r="I1741" s="2" t="n">
        <v>82</v>
      </c>
      <c r="J1741" s="0" t="n">
        <v>0.444</v>
      </c>
      <c r="K1741" s="0" t="n">
        <v>0.819</v>
      </c>
      <c r="L1741" s="3" t="str">
        <f aca="false">IF(K1741&gt;0.66,"High",IF(K1741&gt;0.33&amp;K1741&lt;=0.66,"Medium","Low"))</f>
        <v>High</v>
      </c>
      <c r="M1741" s="0" t="n">
        <v>-4.078</v>
      </c>
      <c r="N1741" s="3" t="n">
        <v>0.341</v>
      </c>
      <c r="O1741" s="3" t="n">
        <v>0.106</v>
      </c>
      <c r="P1741" s="4" t="n">
        <v>0</v>
      </c>
      <c r="Q1741" s="3" t="n">
        <v>0.107</v>
      </c>
      <c r="R1741" s="3" t="n">
        <v>0.747</v>
      </c>
      <c r="S1741" s="3" t="str">
        <f aca="false">IF(R1741 &gt;= 0.5, "Positive", "Negative")</f>
        <v>Positive</v>
      </c>
      <c r="T1741" s="2" t="n">
        <v>82.695</v>
      </c>
      <c r="U1741" s="0" t="s">
        <v>39</v>
      </c>
    </row>
    <row r="1742" customFormat="false" ht="14.25" hidden="false" customHeight="false" outlineLevel="0" collapsed="false">
      <c r="A1742" s="0" t="n">
        <v>250</v>
      </c>
      <c r="B1742" s="0" t="str">
        <f aca="false">_xlfn.xlookup(A1742, artists!A$2:A$836, artists!B$2:B$836)</f>
        <v>Kelis</v>
      </c>
      <c r="C1742" s="1" t="s">
        <v>1763</v>
      </c>
      <c r="D1742" s="2" t="n">
        <v>206106</v>
      </c>
      <c r="E1742" s="2" t="n">
        <f aca="false">D1742/1000</f>
        <v>206.106</v>
      </c>
      <c r="F1742" s="10" t="b">
        <f aca="false">TRUE()</f>
        <v>1</v>
      </c>
      <c r="G1742" s="0" t="n">
        <v>6</v>
      </c>
      <c r="H1742" s="0" t="n">
        <f aca="false">_xlfn.xlookup(G1742, years!A$2:A$836, years!B$2:B$836)</f>
        <v>2003</v>
      </c>
      <c r="I1742" s="2" t="n">
        <v>63</v>
      </c>
      <c r="J1742" s="0" t="n">
        <v>0.97</v>
      </c>
      <c r="K1742" s="0" t="n">
        <v>0.72</v>
      </c>
      <c r="L1742" s="3" t="str">
        <f aca="false">IF(K1742&gt;0.66,"High",IF(K1742&gt;0.33&amp;K1742&lt;=0.66,"Medium","Low"))</f>
        <v>High</v>
      </c>
      <c r="M1742" s="0" t="n">
        <v>-3.347</v>
      </c>
      <c r="N1742" s="3" t="n">
        <v>0.149</v>
      </c>
      <c r="O1742" s="3" t="n">
        <v>0.0369</v>
      </c>
      <c r="P1742" s="4" t="n">
        <v>0.000389</v>
      </c>
      <c r="Q1742" s="3" t="n">
        <v>0.326</v>
      </c>
      <c r="R1742" s="3" t="n">
        <v>0.962</v>
      </c>
      <c r="S1742" s="3" t="str">
        <f aca="false">IF(R1742 &gt;= 0.5, "Positive", "Negative")</f>
        <v>Positive</v>
      </c>
      <c r="T1742" s="2" t="n">
        <v>107.17</v>
      </c>
      <c r="U1742" s="0" t="s">
        <v>266</v>
      </c>
    </row>
    <row r="1743" customFormat="false" ht="14.25" hidden="false" customHeight="false" outlineLevel="0" collapsed="false">
      <c r="A1743" s="0" t="n">
        <v>783</v>
      </c>
      <c r="B1743" s="0" t="str">
        <f aca="false">_xlfn.xlookup(A1743, artists!A$2:A$836, artists!B$2:B$836)</f>
        <v>Ella Mai</v>
      </c>
      <c r="C1743" s="1" t="s">
        <v>1764</v>
      </c>
      <c r="D1743" s="2" t="n">
        <v>213993</v>
      </c>
      <c r="E1743" s="2" t="n">
        <f aca="false">D1743/1000</f>
        <v>213.993</v>
      </c>
      <c r="F1743" s="10" t="b">
        <f aca="false">FALSE()</f>
        <v>0</v>
      </c>
      <c r="G1743" s="0" t="n">
        <v>21</v>
      </c>
      <c r="H1743" s="0" t="n">
        <f aca="false">_xlfn.xlookup(G1743, years!A$2:A$836, years!B$2:B$836)</f>
        <v>2018</v>
      </c>
      <c r="I1743" s="2" t="n">
        <v>72</v>
      </c>
      <c r="J1743" s="0" t="n">
        <v>0.477</v>
      </c>
      <c r="K1743" s="0" t="n">
        <v>0.61</v>
      </c>
      <c r="L1743" s="3" t="str">
        <f aca="false">IF(K1743&gt;0.66,"High",IF(K1743&gt;0.33&amp;K1743&lt;=0.66,"Medium","Low"))</f>
        <v>Low</v>
      </c>
      <c r="M1743" s="0" t="n">
        <v>-5.628</v>
      </c>
      <c r="N1743" s="3" t="n">
        <v>0.144</v>
      </c>
      <c r="O1743" s="3" t="n">
        <v>0.225</v>
      </c>
      <c r="P1743" s="4" t="n">
        <v>0</v>
      </c>
      <c r="Q1743" s="3" t="n">
        <v>0.107</v>
      </c>
      <c r="R1743" s="3" t="n">
        <v>0.358</v>
      </c>
      <c r="S1743" s="3" t="str">
        <f aca="false">IF(R1743 &gt;= 0.5, "Positive", "Negative")</f>
        <v>Negative</v>
      </c>
      <c r="T1743" s="2" t="n">
        <v>79.882</v>
      </c>
      <c r="U1743" s="0" t="s">
        <v>31</v>
      </c>
    </row>
    <row r="1744" customFormat="false" ht="14.25" hidden="false" customHeight="false" outlineLevel="0" collapsed="false">
      <c r="A1744" s="0" t="n">
        <v>8</v>
      </c>
      <c r="B1744" s="0" t="str">
        <f aca="false">_xlfn.xlookup(A1744, artists!A$2:A$836, artists!B$2:B$836)</f>
        <v>Robbie Williams</v>
      </c>
      <c r="C1744" s="1" t="s">
        <v>1765</v>
      </c>
      <c r="D1744" s="2" t="n">
        <v>276603</v>
      </c>
      <c r="E1744" s="2" t="n">
        <f aca="false">D1744/1000</f>
        <v>276.603</v>
      </c>
      <c r="F1744" s="10" t="b">
        <f aca="false">FALSE()</f>
        <v>0</v>
      </c>
      <c r="G1744" s="0" t="n">
        <v>8</v>
      </c>
      <c r="H1744" s="0" t="n">
        <f aca="false">_xlfn.xlookup(G1744, years!A$2:A$836, years!B$2:B$836)</f>
        <v>2005</v>
      </c>
      <c r="I1744" s="2" t="n">
        <v>58</v>
      </c>
      <c r="J1744" s="0" t="n">
        <v>0.666</v>
      </c>
      <c r="K1744" s="0" t="n">
        <v>0.922</v>
      </c>
      <c r="L1744" s="3" t="str">
        <f aca="false">IF(K1744&gt;0.66,"High",IF(K1744&gt;0.33&amp;K1744&lt;=0.66,"Medium","Low"))</f>
        <v>High</v>
      </c>
      <c r="M1744" s="0" t="n">
        <v>-4.458</v>
      </c>
      <c r="N1744" s="3" t="n">
        <v>0.0429</v>
      </c>
      <c r="O1744" s="3" t="n">
        <v>0.0381</v>
      </c>
      <c r="P1744" s="4" t="n">
        <v>0.000191</v>
      </c>
      <c r="Q1744" s="3" t="n">
        <v>0.0633</v>
      </c>
      <c r="R1744" s="3" t="n">
        <v>0.828</v>
      </c>
      <c r="S1744" s="3" t="str">
        <f aca="false">IF(R1744 &gt;= 0.5, "Positive", "Negative")</f>
        <v>Positive</v>
      </c>
      <c r="T1744" s="2" t="n">
        <v>118.014</v>
      </c>
      <c r="U1744" s="0" t="s">
        <v>210</v>
      </c>
    </row>
    <row r="1745" customFormat="false" ht="14.25" hidden="false" customHeight="false" outlineLevel="0" collapsed="false">
      <c r="A1745" s="0" t="n">
        <v>514</v>
      </c>
      <c r="B1745" s="0" t="str">
        <f aca="false">_xlfn.xlookup(A1745, artists!A$2:A$836, artists!B$2:B$836)</f>
        <v>Olly Murs</v>
      </c>
      <c r="C1745" s="1" t="s">
        <v>1766</v>
      </c>
      <c r="D1745" s="2" t="n">
        <v>185586</v>
      </c>
      <c r="E1745" s="2" t="n">
        <f aca="false">D1745/1000</f>
        <v>185.586</v>
      </c>
      <c r="F1745" s="10" t="b">
        <f aca="false">FALSE()</f>
        <v>0</v>
      </c>
      <c r="G1745" s="0" t="n">
        <v>15</v>
      </c>
      <c r="H1745" s="0" t="n">
        <f aca="false">_xlfn.xlookup(G1745, years!A$2:A$836, years!B$2:B$836)</f>
        <v>2012</v>
      </c>
      <c r="I1745" s="2" t="n">
        <v>0</v>
      </c>
      <c r="J1745" s="0" t="n">
        <v>0.762</v>
      </c>
      <c r="K1745" s="0" t="n">
        <v>0.863</v>
      </c>
      <c r="L1745" s="3" t="str">
        <f aca="false">IF(K1745&gt;0.66,"High",IF(K1745&gt;0.33&amp;K1745&lt;=0.66,"Medium","Low"))</f>
        <v>High</v>
      </c>
      <c r="M1745" s="0" t="n">
        <v>-3.689</v>
      </c>
      <c r="N1745" s="3" t="n">
        <v>0.0565</v>
      </c>
      <c r="O1745" s="3" t="n">
        <v>0.015</v>
      </c>
      <c r="P1745" s="4" t="n">
        <v>0</v>
      </c>
      <c r="Q1745" s="3" t="n">
        <v>0.125</v>
      </c>
      <c r="R1745" s="3" t="n">
        <v>0.965</v>
      </c>
      <c r="S1745" s="3" t="str">
        <f aca="false">IF(R1745 &gt;= 0.5, "Positive", "Negative")</f>
        <v>Positive</v>
      </c>
      <c r="T1745" s="2" t="n">
        <v>106.008</v>
      </c>
      <c r="U1745" s="0" t="s">
        <v>22</v>
      </c>
    </row>
    <row r="1746" customFormat="false" ht="14.25" hidden="false" customHeight="false" outlineLevel="0" collapsed="false">
      <c r="A1746" s="0" t="n">
        <v>311</v>
      </c>
      <c r="B1746" s="0" t="str">
        <f aca="false">_xlfn.xlookup(A1746, artists!A$2:A$836, artists!B$2:B$836)</f>
        <v>Ryan Cabrera</v>
      </c>
      <c r="C1746" s="1" t="s">
        <v>1767</v>
      </c>
      <c r="D1746" s="2" t="n">
        <v>204173</v>
      </c>
      <c r="E1746" s="2" t="n">
        <f aca="false">D1746/1000</f>
        <v>204.173</v>
      </c>
      <c r="F1746" s="10" t="b">
        <f aca="false">FALSE()</f>
        <v>0</v>
      </c>
      <c r="G1746" s="0" t="n">
        <v>7</v>
      </c>
      <c r="H1746" s="0" t="n">
        <f aca="false">_xlfn.xlookup(G1746, years!A$2:A$836, years!B$2:B$836)</f>
        <v>2004</v>
      </c>
      <c r="I1746" s="2" t="n">
        <v>62</v>
      </c>
      <c r="J1746" s="0" t="n">
        <v>0.598</v>
      </c>
      <c r="K1746" s="0" t="n">
        <v>0.4</v>
      </c>
      <c r="L1746" s="3" t="str">
        <f aca="false">IF(K1746&gt;0.66,"High",IF(K1746&gt;0.33&amp;K1746&lt;=0.66,"Medium","Low"))</f>
        <v>Low</v>
      </c>
      <c r="M1746" s="0" t="n">
        <v>-10.054</v>
      </c>
      <c r="N1746" s="3" t="n">
        <v>0.0241</v>
      </c>
      <c r="O1746" s="3" t="n">
        <v>0.459</v>
      </c>
      <c r="P1746" s="4" t="n">
        <v>0</v>
      </c>
      <c r="Q1746" s="3" t="n">
        <v>0.151</v>
      </c>
      <c r="R1746" s="3" t="n">
        <v>0.369</v>
      </c>
      <c r="S1746" s="3" t="str">
        <f aca="false">IF(R1746 &gt;= 0.5, "Positive", "Negative")</f>
        <v>Negative</v>
      </c>
      <c r="T1746" s="2" t="n">
        <v>96.938</v>
      </c>
      <c r="U1746" s="0" t="s">
        <v>39</v>
      </c>
    </row>
    <row r="1747" customFormat="false" ht="14.25" hidden="false" customHeight="false" outlineLevel="0" collapsed="false">
      <c r="A1747" s="0" t="n">
        <v>55</v>
      </c>
      <c r="B1747" s="0" t="str">
        <f aca="false">_xlfn.xlookup(A1747, artists!A$2:A$836, artists!B$2:B$836)</f>
        <v>P!nk</v>
      </c>
      <c r="C1747" s="1" t="s">
        <v>1768</v>
      </c>
      <c r="D1747" s="2" t="n">
        <v>230733</v>
      </c>
      <c r="E1747" s="2" t="n">
        <f aca="false">D1747/1000</f>
        <v>230.733</v>
      </c>
      <c r="F1747" s="10" t="b">
        <f aca="false">TRUE()</f>
        <v>1</v>
      </c>
      <c r="G1747" s="0" t="n">
        <v>15</v>
      </c>
      <c r="H1747" s="0" t="n">
        <f aca="false">_xlfn.xlookup(G1747, years!A$2:A$836, years!B$2:B$836)</f>
        <v>2012</v>
      </c>
      <c r="I1747" s="2" t="n">
        <v>71</v>
      </c>
      <c r="J1747" s="0" t="n">
        <v>0.457</v>
      </c>
      <c r="K1747" s="0" t="n">
        <v>0.823</v>
      </c>
      <c r="L1747" s="3" t="str">
        <f aca="false">IF(K1747&gt;0.66,"High",IF(K1747&gt;0.33&amp;K1747&lt;=0.66,"Medium","Low"))</f>
        <v>High</v>
      </c>
      <c r="M1747" s="0" t="n">
        <v>-4.76</v>
      </c>
      <c r="N1747" s="3" t="n">
        <v>0.311</v>
      </c>
      <c r="O1747" s="3" t="n">
        <v>0.00144</v>
      </c>
      <c r="P1747" s="4" t="n">
        <v>0</v>
      </c>
      <c r="Q1747" s="3" t="n">
        <v>0.108</v>
      </c>
      <c r="R1747" s="3" t="n">
        <v>0.578</v>
      </c>
      <c r="S1747" s="3" t="str">
        <f aca="false">IF(R1747 &gt;= 0.5, "Positive", "Negative")</f>
        <v>Positive</v>
      </c>
      <c r="T1747" s="2" t="n">
        <v>192.205</v>
      </c>
      <c r="U1747" s="0" t="s">
        <v>39</v>
      </c>
    </row>
    <row r="1748" customFormat="false" ht="14.25" hidden="false" customHeight="false" outlineLevel="0" collapsed="false">
      <c r="A1748" s="0" t="n">
        <v>458</v>
      </c>
      <c r="B1748" s="0" t="str">
        <f aca="false">_xlfn.xlookup(A1748, artists!A$2:A$836, artists!B$2:B$836)</f>
        <v>Jason Derulo</v>
      </c>
      <c r="C1748" s="1" t="s">
        <v>1769</v>
      </c>
      <c r="D1748" s="2" t="n">
        <v>217306</v>
      </c>
      <c r="E1748" s="2" t="n">
        <f aca="false">D1748/1000</f>
        <v>217.306</v>
      </c>
      <c r="F1748" s="10" t="b">
        <f aca="false">FALSE()</f>
        <v>0</v>
      </c>
      <c r="G1748" s="0" t="n">
        <v>16</v>
      </c>
      <c r="H1748" s="0" t="n">
        <f aca="false">_xlfn.xlookup(G1748, years!A$2:A$836, years!B$2:B$836)</f>
        <v>2013</v>
      </c>
      <c r="I1748" s="2" t="n">
        <v>53</v>
      </c>
      <c r="J1748" s="0" t="n">
        <v>0.627</v>
      </c>
      <c r="K1748" s="0" t="n">
        <v>0.703</v>
      </c>
      <c r="L1748" s="3" t="str">
        <f aca="false">IF(K1748&gt;0.66,"High",IF(K1748&gt;0.33&amp;K1748&lt;=0.66,"Medium","Low"))</f>
        <v>High</v>
      </c>
      <c r="M1748" s="0" t="n">
        <v>-4.884</v>
      </c>
      <c r="N1748" s="3" t="n">
        <v>0.236</v>
      </c>
      <c r="O1748" s="3" t="n">
        <v>0.563</v>
      </c>
      <c r="P1748" s="4" t="n">
        <v>0</v>
      </c>
      <c r="Q1748" s="3" t="n">
        <v>0.0962</v>
      </c>
      <c r="R1748" s="3" t="n">
        <v>0.64</v>
      </c>
      <c r="S1748" s="3" t="str">
        <f aca="false">IF(R1748 &gt;= 0.5, "Positive", "Negative")</f>
        <v>Positive</v>
      </c>
      <c r="T1748" s="2" t="n">
        <v>81.897</v>
      </c>
      <c r="U1748" s="0" t="s">
        <v>24</v>
      </c>
    </row>
    <row r="1749" customFormat="false" ht="14.25" hidden="false" customHeight="false" outlineLevel="0" collapsed="false">
      <c r="A1749" s="0" t="n">
        <v>55</v>
      </c>
      <c r="B1749" s="0" t="str">
        <f aca="false">_xlfn.xlookup(A1749, artists!A$2:A$836, artists!B$2:B$836)</f>
        <v>P!nk</v>
      </c>
      <c r="C1749" s="1" t="s">
        <v>1770</v>
      </c>
      <c r="D1749" s="2" t="n">
        <v>247906</v>
      </c>
      <c r="E1749" s="2" t="n">
        <f aca="false">D1749/1000</f>
        <v>247.906</v>
      </c>
      <c r="F1749" s="10" t="b">
        <f aca="false">FALSE()</f>
        <v>0</v>
      </c>
      <c r="G1749" s="0" t="n">
        <v>15</v>
      </c>
      <c r="H1749" s="0" t="n">
        <f aca="false">_xlfn.xlookup(G1749, years!A$2:A$836, years!B$2:B$836)</f>
        <v>2012</v>
      </c>
      <c r="I1749" s="2" t="n">
        <v>76</v>
      </c>
      <c r="J1749" s="0" t="n">
        <v>0.674</v>
      </c>
      <c r="K1749" s="0" t="n">
        <v>0.628</v>
      </c>
      <c r="L1749" s="3" t="str">
        <f aca="false">IF(K1749&gt;0.66,"High",IF(K1749&gt;0.33&amp;K1749&lt;=0.66,"Medium","Low"))</f>
        <v>Low</v>
      </c>
      <c r="M1749" s="0" t="n">
        <v>-7.079</v>
      </c>
      <c r="N1749" s="3" t="n">
        <v>0.03</v>
      </c>
      <c r="O1749" s="3" t="n">
        <v>0.00144</v>
      </c>
      <c r="P1749" s="4" t="n">
        <v>0</v>
      </c>
      <c r="Q1749" s="3" t="n">
        <v>0.0944</v>
      </c>
      <c r="R1749" s="3" t="n">
        <v>0.552</v>
      </c>
      <c r="S1749" s="3" t="str">
        <f aca="false">IF(R1749 &gt;= 0.5, "Positive", "Negative")</f>
        <v>Positive</v>
      </c>
      <c r="T1749" s="2" t="n">
        <v>103.998</v>
      </c>
      <c r="U1749" s="0" t="s">
        <v>39</v>
      </c>
    </row>
    <row r="1750" customFormat="false" ht="14.25" hidden="false" customHeight="false" outlineLevel="0" collapsed="false">
      <c r="A1750" s="0" t="n">
        <v>16</v>
      </c>
      <c r="B1750" s="0" t="str">
        <f aca="false">_xlfn.xlookup(A1750, artists!A$2:A$836, artists!B$2:B$836)</f>
        <v>Aaliyah</v>
      </c>
      <c r="C1750" s="1" t="s">
        <v>1771</v>
      </c>
      <c r="D1750" s="2" t="n">
        <v>284000</v>
      </c>
      <c r="E1750" s="2" t="n">
        <f aca="false">D1750/1000</f>
        <v>284</v>
      </c>
      <c r="F1750" s="10" t="b">
        <f aca="false">FALSE()</f>
        <v>0</v>
      </c>
      <c r="G1750" s="0" t="n">
        <v>5</v>
      </c>
      <c r="H1750" s="0" t="n">
        <f aca="false">_xlfn.xlookup(G1750, years!A$2:A$836, years!B$2:B$836)</f>
        <v>2002</v>
      </c>
      <c r="I1750" s="2" t="n">
        <v>53</v>
      </c>
      <c r="J1750" s="0" t="n">
        <v>0.797</v>
      </c>
      <c r="K1750" s="0" t="n">
        <v>0.622</v>
      </c>
      <c r="L1750" s="3" t="str">
        <f aca="false">IF(K1750&gt;0.66,"High",IF(K1750&gt;0.33&amp;K1750&lt;=0.66,"Medium","Low"))</f>
        <v>Low</v>
      </c>
      <c r="M1750" s="0" t="n">
        <v>-5.642</v>
      </c>
      <c r="N1750" s="3" t="n">
        <v>0.29</v>
      </c>
      <c r="O1750" s="3" t="n">
        <v>0.0807</v>
      </c>
      <c r="P1750" s="4" t="n">
        <v>0</v>
      </c>
      <c r="Q1750" s="3" t="n">
        <v>0.0841</v>
      </c>
      <c r="R1750" s="3" t="n">
        <v>0.731</v>
      </c>
      <c r="S1750" s="3" t="str">
        <f aca="false">IF(R1750 &gt;= 0.5, "Positive", "Negative")</f>
        <v>Positive</v>
      </c>
      <c r="T1750" s="2" t="n">
        <v>93.02</v>
      </c>
      <c r="U1750" s="0" t="s">
        <v>31</v>
      </c>
    </row>
    <row r="1751" customFormat="false" ht="14.25" hidden="false" customHeight="false" outlineLevel="0" collapsed="false">
      <c r="A1751" s="0" t="n">
        <v>633</v>
      </c>
      <c r="B1751" s="0" t="str">
        <f aca="false">_xlfn.xlookup(A1751, artists!A$2:A$836, artists!B$2:B$836)</f>
        <v>5 Seconds of Summer</v>
      </c>
      <c r="C1751" s="1" t="s">
        <v>1772</v>
      </c>
      <c r="D1751" s="2" t="n">
        <v>203417</v>
      </c>
      <c r="E1751" s="2" t="n">
        <f aca="false">D1751/1000</f>
        <v>203.417</v>
      </c>
      <c r="F1751" s="10" t="b">
        <f aca="false">FALSE()</f>
        <v>0</v>
      </c>
      <c r="G1751" s="0" t="n">
        <v>21</v>
      </c>
      <c r="H1751" s="0" t="n">
        <f aca="false">_xlfn.xlookup(G1751, years!A$2:A$836, years!B$2:B$836)</f>
        <v>2018</v>
      </c>
      <c r="I1751" s="2" t="n">
        <v>69</v>
      </c>
      <c r="J1751" s="0" t="n">
        <v>0.596</v>
      </c>
      <c r="K1751" s="0" t="n">
        <v>0.854</v>
      </c>
      <c r="L1751" s="3" t="str">
        <f aca="false">IF(K1751&gt;0.66,"High",IF(K1751&gt;0.33&amp;K1751&lt;=0.66,"Medium","Low"))</f>
        <v>High</v>
      </c>
      <c r="M1751" s="0" t="n">
        <v>-5.114</v>
      </c>
      <c r="N1751" s="3" t="n">
        <v>0.463</v>
      </c>
      <c r="O1751" s="3" t="n">
        <v>0.0169</v>
      </c>
      <c r="P1751" s="4" t="n">
        <v>0</v>
      </c>
      <c r="Q1751" s="3" t="n">
        <v>0.124</v>
      </c>
      <c r="R1751" s="3" t="n">
        <v>0.152</v>
      </c>
      <c r="S1751" s="3" t="str">
        <f aca="false">IF(R1751 &gt;= 0.5, "Positive", "Negative")</f>
        <v>Negative</v>
      </c>
      <c r="T1751" s="2" t="n">
        <v>120.274</v>
      </c>
      <c r="U1751" s="0" t="s">
        <v>39</v>
      </c>
    </row>
    <row r="1752" customFormat="false" ht="14.25" hidden="false" customHeight="false" outlineLevel="0" collapsed="false">
      <c r="A1752" s="0" t="n">
        <v>685</v>
      </c>
      <c r="B1752" s="0" t="str">
        <f aca="false">_xlfn.xlookup(A1752, artists!A$2:A$836, artists!B$2:B$836)</f>
        <v>Burak Yeter</v>
      </c>
      <c r="C1752" s="1" t="s">
        <v>1773</v>
      </c>
      <c r="D1752" s="2" t="n">
        <v>241874</v>
      </c>
      <c r="E1752" s="2" t="n">
        <f aca="false">D1752/1000</f>
        <v>241.874</v>
      </c>
      <c r="F1752" s="10" t="b">
        <f aca="false">FALSE()</f>
        <v>0</v>
      </c>
      <c r="G1752" s="0" t="n">
        <v>19</v>
      </c>
      <c r="H1752" s="0" t="n">
        <f aca="false">_xlfn.xlookup(G1752, years!A$2:A$836, years!B$2:B$836)</f>
        <v>2016</v>
      </c>
      <c r="I1752" s="2" t="n">
        <v>72</v>
      </c>
      <c r="J1752" s="0" t="n">
        <v>0.841</v>
      </c>
      <c r="K1752" s="0" t="n">
        <v>0.639</v>
      </c>
      <c r="L1752" s="3" t="str">
        <f aca="false">IF(K1752&gt;0.66,"High",IF(K1752&gt;0.33&amp;K1752&lt;=0.66,"Medium","Low"))</f>
        <v>Low</v>
      </c>
      <c r="M1752" s="0" t="n">
        <v>-6.052</v>
      </c>
      <c r="N1752" s="3" t="n">
        <v>0.0688</v>
      </c>
      <c r="O1752" s="3" t="n">
        <v>0.0156</v>
      </c>
      <c r="P1752" s="4" t="n">
        <v>0.0654</v>
      </c>
      <c r="Q1752" s="3" t="n">
        <v>0.0545</v>
      </c>
      <c r="R1752" s="3" t="n">
        <v>0.675</v>
      </c>
      <c r="S1752" s="3" t="str">
        <f aca="false">IF(R1752 &gt;= 0.5, "Positive", "Negative")</f>
        <v>Positive</v>
      </c>
      <c r="T1752" s="2" t="n">
        <v>99.002</v>
      </c>
      <c r="U1752" s="0" t="s">
        <v>48</v>
      </c>
    </row>
    <row r="1753" customFormat="false" ht="14.25" hidden="false" customHeight="false" outlineLevel="0" collapsed="false">
      <c r="A1753" s="0" t="n">
        <v>738</v>
      </c>
      <c r="B1753" s="0" t="str">
        <f aca="false">_xlfn.xlookup(A1753, artists!A$2:A$836, artists!B$2:B$836)</f>
        <v>Kodak Black</v>
      </c>
      <c r="C1753" s="1" t="s">
        <v>1774</v>
      </c>
      <c r="D1753" s="2" t="n">
        <v>268186</v>
      </c>
      <c r="E1753" s="2" t="n">
        <f aca="false">D1753/1000</f>
        <v>268.186</v>
      </c>
      <c r="F1753" s="10" t="b">
        <f aca="false">TRUE()</f>
        <v>1</v>
      </c>
      <c r="G1753" s="0" t="n">
        <v>20</v>
      </c>
      <c r="H1753" s="0" t="n">
        <f aca="false">_xlfn.xlookup(G1753, years!A$2:A$836, years!B$2:B$836)</f>
        <v>2017</v>
      </c>
      <c r="I1753" s="2" t="n">
        <v>51</v>
      </c>
      <c r="J1753" s="0" t="n">
        <v>0.497</v>
      </c>
      <c r="K1753" s="0" t="n">
        <v>0.489</v>
      </c>
      <c r="L1753" s="3" t="str">
        <f aca="false">IF(K1753&gt;0.66,"High",IF(K1753&gt;0.33&amp;K1753&lt;=0.66,"Medium","Low"))</f>
        <v>Low</v>
      </c>
      <c r="M1753" s="0" t="n">
        <v>-7.724</v>
      </c>
      <c r="N1753" s="3" t="n">
        <v>0.294</v>
      </c>
      <c r="O1753" s="3" t="n">
        <v>0.0576</v>
      </c>
      <c r="P1753" s="4" t="n">
        <v>9.91E-005</v>
      </c>
      <c r="Q1753" s="3" t="n">
        <v>0.122</v>
      </c>
      <c r="R1753" s="3" t="n">
        <v>0.231</v>
      </c>
      <c r="S1753" s="3" t="str">
        <f aca="false">IF(R1753 &gt;= 0.5, "Positive", "Negative")</f>
        <v>Negative</v>
      </c>
      <c r="T1753" s="2" t="n">
        <v>171.853</v>
      </c>
      <c r="U1753" s="0" t="s">
        <v>29</v>
      </c>
    </row>
    <row r="1754" customFormat="false" ht="14.25" hidden="false" customHeight="false" outlineLevel="0" collapsed="false">
      <c r="A1754" s="0" t="n">
        <v>610</v>
      </c>
      <c r="B1754" s="0" t="str">
        <f aca="false">_xlfn.xlookup(A1754, artists!A$2:A$836, artists!B$2:B$836)</f>
        <v>DJ Snake</v>
      </c>
      <c r="C1754" s="1" t="s">
        <v>1775</v>
      </c>
      <c r="D1754" s="2" t="n">
        <v>213733</v>
      </c>
      <c r="E1754" s="2" t="n">
        <f aca="false">D1754/1000</f>
        <v>213.733</v>
      </c>
      <c r="F1754" s="10" t="b">
        <f aca="false">FALSE()</f>
        <v>0</v>
      </c>
      <c r="G1754" s="0" t="n">
        <v>16</v>
      </c>
      <c r="H1754" s="0" t="n">
        <f aca="false">_xlfn.xlookup(G1754, years!A$2:A$836, years!B$2:B$836)</f>
        <v>2013</v>
      </c>
      <c r="I1754" s="2" t="n">
        <v>70</v>
      </c>
      <c r="J1754" s="0" t="n">
        <v>0.818</v>
      </c>
      <c r="K1754" s="0" t="n">
        <v>0.799</v>
      </c>
      <c r="L1754" s="3" t="str">
        <f aca="false">IF(K1754&gt;0.66,"High",IF(K1754&gt;0.33&amp;K1754&lt;=0.66,"Medium","Low"))</f>
        <v>High</v>
      </c>
      <c r="M1754" s="0" t="n">
        <v>-4.1</v>
      </c>
      <c r="N1754" s="3" t="n">
        <v>0.156</v>
      </c>
      <c r="O1754" s="3" t="n">
        <v>0.00107</v>
      </c>
      <c r="P1754" s="4" t="n">
        <v>0.128</v>
      </c>
      <c r="Q1754" s="3" t="n">
        <v>0.057</v>
      </c>
      <c r="R1754" s="3" t="n">
        <v>0.0815</v>
      </c>
      <c r="S1754" s="3" t="str">
        <f aca="false">IF(R1754 &gt;= 0.5, "Positive", "Negative")</f>
        <v>Negative</v>
      </c>
      <c r="T1754" s="2" t="n">
        <v>100.014</v>
      </c>
      <c r="U1754" s="0" t="s">
        <v>53</v>
      </c>
    </row>
    <row r="1755" customFormat="false" ht="14.25" hidden="false" customHeight="false" outlineLevel="0" collapsed="false">
      <c r="A1755" s="0" t="n">
        <v>259</v>
      </c>
      <c r="B1755" s="0" t="str">
        <f aca="false">_xlfn.xlookup(A1755, artists!A$2:A$836, artists!B$2:B$836)</f>
        <v>Kevin Lyttle</v>
      </c>
      <c r="C1755" s="1" t="s">
        <v>1776</v>
      </c>
      <c r="D1755" s="2" t="n">
        <v>192106</v>
      </c>
      <c r="E1755" s="2" t="n">
        <f aca="false">D1755/1000</f>
        <v>192.106</v>
      </c>
      <c r="F1755" s="10" t="b">
        <f aca="false">FALSE()</f>
        <v>0</v>
      </c>
      <c r="G1755" s="0" t="n">
        <v>7</v>
      </c>
      <c r="H1755" s="0" t="n">
        <f aca="false">_xlfn.xlookup(G1755, years!A$2:A$836, years!B$2:B$836)</f>
        <v>2004</v>
      </c>
      <c r="I1755" s="2" t="n">
        <v>67</v>
      </c>
      <c r="J1755" s="0" t="n">
        <v>0.677</v>
      </c>
      <c r="K1755" s="0" t="n">
        <v>0.682</v>
      </c>
      <c r="L1755" s="3" t="str">
        <f aca="false">IF(K1755&gt;0.66,"High",IF(K1755&gt;0.33&amp;K1755&lt;=0.66,"Medium","Low"))</f>
        <v>High</v>
      </c>
      <c r="M1755" s="0" t="n">
        <v>-6.879</v>
      </c>
      <c r="N1755" s="3" t="n">
        <v>0.0361</v>
      </c>
      <c r="O1755" s="3" t="n">
        <v>0.0405</v>
      </c>
      <c r="P1755" s="4" t="n">
        <v>0</v>
      </c>
      <c r="Q1755" s="3" t="n">
        <v>0.0351</v>
      </c>
      <c r="R1755" s="3" t="n">
        <v>0.875</v>
      </c>
      <c r="S1755" s="3" t="str">
        <f aca="false">IF(R1755 &gt;= 0.5, "Positive", "Negative")</f>
        <v>Positive</v>
      </c>
      <c r="T1755" s="2" t="n">
        <v>106.279</v>
      </c>
      <c r="U1755" s="0" t="s">
        <v>29</v>
      </c>
    </row>
    <row r="1756" customFormat="false" ht="14.25" hidden="false" customHeight="false" outlineLevel="0" collapsed="false">
      <c r="A1756" s="0" t="n">
        <v>438</v>
      </c>
      <c r="B1756" s="0" t="str">
        <f aca="false">_xlfn.xlookup(A1756, artists!A$2:A$836, artists!B$2:B$836)</f>
        <v>David Guetta</v>
      </c>
      <c r="C1756" s="1" t="s">
        <v>1777</v>
      </c>
      <c r="D1756" s="2" t="n">
        <v>199680</v>
      </c>
      <c r="E1756" s="2" t="n">
        <f aca="false">D1756/1000</f>
        <v>199.68</v>
      </c>
      <c r="F1756" s="10" t="b">
        <f aca="false">FALSE()</f>
        <v>0</v>
      </c>
      <c r="G1756" s="0" t="n">
        <v>15</v>
      </c>
      <c r="H1756" s="0" t="n">
        <f aca="false">_xlfn.xlookup(G1756, years!A$2:A$836, years!B$2:B$836)</f>
        <v>2012</v>
      </c>
      <c r="I1756" s="2" t="n">
        <v>65</v>
      </c>
      <c r="J1756" s="0" t="n">
        <v>0.704</v>
      </c>
      <c r="K1756" s="0" t="n">
        <v>0.793</v>
      </c>
      <c r="L1756" s="3" t="str">
        <f aca="false">IF(K1756&gt;0.66,"High",IF(K1756&gt;0.33&amp;K1756&lt;=0.66,"Medium","Low"))</f>
        <v>High</v>
      </c>
      <c r="M1756" s="0" t="n">
        <v>-2.266</v>
      </c>
      <c r="N1756" s="3" t="n">
        <v>0.0591</v>
      </c>
      <c r="O1756" s="3" t="n">
        <v>0.0488</v>
      </c>
      <c r="P1756" s="4" t="n">
        <v>0</v>
      </c>
      <c r="Q1756" s="3" t="n">
        <v>0.575</v>
      </c>
      <c r="R1756" s="3" t="n">
        <v>0.412</v>
      </c>
      <c r="S1756" s="3" t="str">
        <f aca="false">IF(R1756 &gt;= 0.5, "Positive", "Negative")</f>
        <v>Negative</v>
      </c>
      <c r="T1756" s="2" t="n">
        <v>127.96</v>
      </c>
      <c r="U1756" s="0" t="s">
        <v>53</v>
      </c>
    </row>
    <row r="1757" customFormat="false" ht="14.25" hidden="false" customHeight="false" outlineLevel="0" collapsed="false">
      <c r="A1757" s="0" t="n">
        <v>366</v>
      </c>
      <c r="B1757" s="0" t="str">
        <f aca="false">_xlfn.xlookup(A1757, artists!A$2:A$836, artists!B$2:B$836)</f>
        <v>Soulja Boy</v>
      </c>
      <c r="C1757" s="1" t="s">
        <v>1778</v>
      </c>
      <c r="D1757" s="2" t="n">
        <v>206333</v>
      </c>
      <c r="E1757" s="2" t="n">
        <f aca="false">D1757/1000</f>
        <v>206.333</v>
      </c>
      <c r="F1757" s="10" t="b">
        <f aca="false">FALSE()</f>
        <v>0</v>
      </c>
      <c r="G1757" s="0" t="n">
        <v>11</v>
      </c>
      <c r="H1757" s="0" t="n">
        <f aca="false">_xlfn.xlookup(G1757, years!A$2:A$836, years!B$2:B$836)</f>
        <v>2008</v>
      </c>
      <c r="I1757" s="2" t="n">
        <v>59</v>
      </c>
      <c r="J1757" s="0" t="n">
        <v>0.546</v>
      </c>
      <c r="K1757" s="0" t="n">
        <v>0.712</v>
      </c>
      <c r="L1757" s="3" t="str">
        <f aca="false">IF(K1757&gt;0.66,"High",IF(K1757&gt;0.33&amp;K1757&lt;=0.66,"Medium","Low"))</f>
        <v>High</v>
      </c>
      <c r="M1757" s="0" t="n">
        <v>-3.104</v>
      </c>
      <c r="N1757" s="3" t="n">
        <v>0.0269</v>
      </c>
      <c r="O1757" s="3" t="n">
        <v>0.000969</v>
      </c>
      <c r="P1757" s="4" t="n">
        <v>0</v>
      </c>
      <c r="Q1757" s="3" t="n">
        <v>0.406</v>
      </c>
      <c r="R1757" s="3" t="n">
        <v>0.489</v>
      </c>
      <c r="S1757" s="3" t="str">
        <f aca="false">IF(R1757 &gt;= 0.5, "Positive", "Negative")</f>
        <v>Negative</v>
      </c>
      <c r="T1757" s="2" t="n">
        <v>150.154</v>
      </c>
      <c r="U1757" s="0" t="s">
        <v>24</v>
      </c>
    </row>
    <row r="1758" customFormat="false" ht="14.25" hidden="false" customHeight="false" outlineLevel="0" collapsed="false">
      <c r="A1758" s="0" t="n">
        <v>83</v>
      </c>
      <c r="B1758" s="0" t="str">
        <f aca="false">_xlfn.xlookup(A1758, artists!A$2:A$836, artists!B$2:B$836)</f>
        <v>Nelly Furtado</v>
      </c>
      <c r="C1758" s="1" t="s">
        <v>1779</v>
      </c>
      <c r="D1758" s="2" t="n">
        <v>276106</v>
      </c>
      <c r="E1758" s="2" t="n">
        <f aca="false">D1758/1000</f>
        <v>276.106</v>
      </c>
      <c r="F1758" s="10" t="b">
        <f aca="false">FALSE()</f>
        <v>0</v>
      </c>
      <c r="G1758" s="0" t="n">
        <v>3</v>
      </c>
      <c r="H1758" s="0" t="n">
        <f aca="false">_xlfn.xlookup(G1758, years!A$2:A$836, years!B$2:B$836)</f>
        <v>2000</v>
      </c>
      <c r="I1758" s="2" t="n">
        <v>1</v>
      </c>
      <c r="J1758" s="0" t="n">
        <v>0.587</v>
      </c>
      <c r="K1758" s="0" t="n">
        <v>0.679</v>
      </c>
      <c r="L1758" s="3" t="str">
        <f aca="false">IF(K1758&gt;0.66,"High",IF(K1758&gt;0.33&amp;K1758&lt;=0.66,"Medium","Low"))</f>
        <v>High</v>
      </c>
      <c r="M1758" s="0" t="n">
        <v>-6.26</v>
      </c>
      <c r="N1758" s="3" t="n">
        <v>0.0927</v>
      </c>
      <c r="O1758" s="3" t="n">
        <v>0.0839</v>
      </c>
      <c r="P1758" s="4" t="n">
        <v>0.000316</v>
      </c>
      <c r="Q1758" s="3" t="n">
        <v>0.413</v>
      </c>
      <c r="R1758" s="3" t="n">
        <v>0.65</v>
      </c>
      <c r="S1758" s="3" t="str">
        <f aca="false">IF(R1758 &gt;= 0.5, "Positive", "Negative")</f>
        <v>Positive</v>
      </c>
      <c r="T1758" s="2" t="n">
        <v>180.184</v>
      </c>
      <c r="U1758" s="0" t="s">
        <v>483</v>
      </c>
    </row>
    <row r="1759" customFormat="false" ht="14.25" hidden="false" customHeight="false" outlineLevel="0" collapsed="false">
      <c r="A1759" s="0" t="n">
        <v>291</v>
      </c>
      <c r="B1759" s="0" t="str">
        <f aca="false">_xlfn.xlookup(A1759, artists!A$2:A$836, artists!B$2:B$836)</f>
        <v>Chris Brown</v>
      </c>
      <c r="C1759" s="1" t="s">
        <v>1780</v>
      </c>
      <c r="D1759" s="2" t="n">
        <v>227973</v>
      </c>
      <c r="E1759" s="2" t="n">
        <f aca="false">D1759/1000</f>
        <v>227.973</v>
      </c>
      <c r="F1759" s="10" t="b">
        <f aca="false">FALSE()</f>
        <v>0</v>
      </c>
      <c r="G1759" s="0" t="n">
        <v>15</v>
      </c>
      <c r="H1759" s="0" t="n">
        <f aca="false">_xlfn.xlookup(G1759, years!A$2:A$836, years!B$2:B$836)</f>
        <v>2012</v>
      </c>
      <c r="I1759" s="2" t="n">
        <v>64</v>
      </c>
      <c r="J1759" s="0" t="n">
        <v>0.594</v>
      </c>
      <c r="K1759" s="0" t="n">
        <v>0.841</v>
      </c>
      <c r="L1759" s="3" t="str">
        <f aca="false">IF(K1759&gt;0.66,"High",IF(K1759&gt;0.33&amp;K1759&lt;=0.66,"Medium","Low"))</f>
        <v>High</v>
      </c>
      <c r="M1759" s="0" t="n">
        <v>-5.792</v>
      </c>
      <c r="N1759" s="3" t="n">
        <v>0.102</v>
      </c>
      <c r="O1759" s="3" t="n">
        <v>0.000238</v>
      </c>
      <c r="P1759" s="4" t="n">
        <v>2.22E-006</v>
      </c>
      <c r="Q1759" s="3" t="n">
        <v>0.156</v>
      </c>
      <c r="R1759" s="3" t="n">
        <v>0.643</v>
      </c>
      <c r="S1759" s="3" t="str">
        <f aca="false">IF(R1759 &gt;= 0.5, "Positive", "Negative")</f>
        <v>Positive</v>
      </c>
      <c r="T1759" s="2" t="n">
        <v>129.925</v>
      </c>
      <c r="U1759" s="0" t="s">
        <v>31</v>
      </c>
    </row>
    <row r="1760" customFormat="false" ht="14.25" hidden="false" customHeight="false" outlineLevel="0" collapsed="false">
      <c r="A1760" s="0" t="n">
        <v>448</v>
      </c>
      <c r="B1760" s="0" t="str">
        <f aca="false">_xlfn.xlookup(A1760, artists!A$2:A$836, artists!B$2:B$836)</f>
        <v>Keri Hilson</v>
      </c>
      <c r="C1760" s="1" t="s">
        <v>1781</v>
      </c>
      <c r="D1760" s="2" t="n">
        <v>248066</v>
      </c>
      <c r="E1760" s="2" t="n">
        <f aca="false">D1760/1000</f>
        <v>248.066</v>
      </c>
      <c r="F1760" s="10" t="b">
        <f aca="false">TRUE()</f>
        <v>1</v>
      </c>
      <c r="G1760" s="0" t="n">
        <v>11</v>
      </c>
      <c r="H1760" s="0" t="n">
        <f aca="false">_xlfn.xlookup(G1760, years!A$2:A$836, years!B$2:B$836)</f>
        <v>2008</v>
      </c>
      <c r="I1760" s="2" t="n">
        <v>41</v>
      </c>
      <c r="J1760" s="0" t="n">
        <v>0.661</v>
      </c>
      <c r="K1760" s="0" t="n">
        <v>0.584</v>
      </c>
      <c r="L1760" s="3" t="str">
        <f aca="false">IF(K1760&gt;0.66,"High",IF(K1760&gt;0.33&amp;K1760&lt;=0.66,"Medium","Low"))</f>
        <v>Low</v>
      </c>
      <c r="M1760" s="0" t="n">
        <v>-5.09</v>
      </c>
      <c r="N1760" s="3" t="n">
        <v>0.061</v>
      </c>
      <c r="O1760" s="3" t="n">
        <v>0.00293</v>
      </c>
      <c r="P1760" s="4" t="n">
        <v>4.82E-006</v>
      </c>
      <c r="Q1760" s="3" t="n">
        <v>0.134</v>
      </c>
      <c r="R1760" s="3" t="n">
        <v>0.0949</v>
      </c>
      <c r="S1760" s="3" t="str">
        <f aca="false">IF(R1760 &gt;= 0.5, "Positive", "Negative")</f>
        <v>Negative</v>
      </c>
      <c r="T1760" s="2" t="n">
        <v>159.873</v>
      </c>
      <c r="U1760" s="0" t="s">
        <v>33</v>
      </c>
    </row>
    <row r="1761" customFormat="false" ht="14.25" hidden="false" customHeight="false" outlineLevel="0" collapsed="false">
      <c r="A1761" s="0" t="n">
        <v>55</v>
      </c>
      <c r="B1761" s="0" t="str">
        <f aca="false">_xlfn.xlookup(A1761, artists!A$2:A$836, artists!B$2:B$836)</f>
        <v>P!nk</v>
      </c>
      <c r="C1761" s="1" t="s">
        <v>1782</v>
      </c>
      <c r="D1761" s="2" t="n">
        <v>214386</v>
      </c>
      <c r="E1761" s="2" t="n">
        <f aca="false">D1761/1000</f>
        <v>214.386</v>
      </c>
      <c r="F1761" s="10" t="b">
        <f aca="false">TRUE()</f>
        <v>1</v>
      </c>
      <c r="G1761" s="0" t="n">
        <v>9</v>
      </c>
      <c r="H1761" s="0" t="n">
        <f aca="false">_xlfn.xlookup(G1761, years!A$2:A$836, years!B$2:B$836)</f>
        <v>2006</v>
      </c>
      <c r="I1761" s="2" t="n">
        <v>0</v>
      </c>
      <c r="J1761" s="0" t="n">
        <v>0.709</v>
      </c>
      <c r="K1761" s="0" t="n">
        <v>0.891</v>
      </c>
      <c r="L1761" s="3" t="str">
        <f aca="false">IF(K1761&gt;0.66,"High",IF(K1761&gt;0.33&amp;K1761&lt;=0.66,"Medium","Low"))</f>
        <v>High</v>
      </c>
      <c r="M1761" s="0" t="n">
        <v>-3.688</v>
      </c>
      <c r="N1761" s="3" t="n">
        <v>0.0528</v>
      </c>
      <c r="O1761" s="3" t="n">
        <v>0.00144</v>
      </c>
      <c r="P1761" s="4" t="n">
        <v>0</v>
      </c>
      <c r="Q1761" s="3" t="n">
        <v>0.034</v>
      </c>
      <c r="R1761" s="3" t="n">
        <v>0.886</v>
      </c>
      <c r="S1761" s="3" t="str">
        <f aca="false">IF(R1761 &gt;= 0.5, "Positive", "Negative")</f>
        <v>Positive</v>
      </c>
      <c r="T1761" s="2" t="n">
        <v>141.04</v>
      </c>
      <c r="U1761" s="0" t="s">
        <v>39</v>
      </c>
    </row>
    <row r="1762" customFormat="false" ht="14.25" hidden="false" customHeight="false" outlineLevel="0" collapsed="false">
      <c r="A1762" s="0" t="n">
        <v>326</v>
      </c>
      <c r="B1762" s="0" t="str">
        <f aca="false">_xlfn.xlookup(A1762, artists!A$2:A$836, artists!B$2:B$836)</f>
        <v>E-40</v>
      </c>
      <c r="C1762" s="1" t="s">
        <v>1783</v>
      </c>
      <c r="D1762" s="2" t="n">
        <v>202720</v>
      </c>
      <c r="E1762" s="2" t="n">
        <f aca="false">D1762/1000</f>
        <v>202.72</v>
      </c>
      <c r="F1762" s="10" t="b">
        <f aca="false">TRUE()</f>
        <v>1</v>
      </c>
      <c r="G1762" s="0" t="n">
        <v>9</v>
      </c>
      <c r="H1762" s="0" t="n">
        <f aca="false">_xlfn.xlookup(G1762, years!A$2:A$836, years!B$2:B$836)</f>
        <v>2006</v>
      </c>
      <c r="I1762" s="2" t="n">
        <v>63</v>
      </c>
      <c r="J1762" s="0" t="n">
        <v>0.858</v>
      </c>
      <c r="K1762" s="0" t="n">
        <v>0.484</v>
      </c>
      <c r="L1762" s="3" t="str">
        <f aca="false">IF(K1762&gt;0.66,"High",IF(K1762&gt;0.33&amp;K1762&lt;=0.66,"Medium","Low"))</f>
        <v>Low</v>
      </c>
      <c r="M1762" s="0" t="n">
        <v>-7.448</v>
      </c>
      <c r="N1762" s="3" t="n">
        <v>0.277</v>
      </c>
      <c r="O1762" s="3" t="n">
        <v>0.0241</v>
      </c>
      <c r="P1762" s="4" t="n">
        <v>1.8E-006</v>
      </c>
      <c r="Q1762" s="3" t="n">
        <v>0.123</v>
      </c>
      <c r="R1762" s="3" t="n">
        <v>0.329</v>
      </c>
      <c r="S1762" s="3" t="str">
        <f aca="false">IF(R1762 &gt;= 0.5, "Positive", "Negative")</f>
        <v>Negative</v>
      </c>
      <c r="T1762" s="2" t="n">
        <v>99.992</v>
      </c>
      <c r="U1762" s="0" t="s">
        <v>24</v>
      </c>
    </row>
    <row r="1763" customFormat="false" ht="14.25" hidden="false" customHeight="false" outlineLevel="0" collapsed="false">
      <c r="A1763" s="0" t="n">
        <v>120</v>
      </c>
      <c r="B1763" s="0" t="str">
        <f aca="false">_xlfn.xlookup(A1763, artists!A$2:A$836, artists!B$2:B$836)</f>
        <v>Usher</v>
      </c>
      <c r="C1763" s="1" t="s">
        <v>1784</v>
      </c>
      <c r="D1763" s="2" t="n">
        <v>269400</v>
      </c>
      <c r="E1763" s="2" t="n">
        <f aca="false">D1763/1000</f>
        <v>269.4</v>
      </c>
      <c r="F1763" s="10" t="b">
        <f aca="false">TRUE()</f>
        <v>1</v>
      </c>
      <c r="G1763" s="0" t="n">
        <v>4</v>
      </c>
      <c r="H1763" s="0" t="n">
        <f aca="false">_xlfn.xlookup(G1763, years!A$2:A$836, years!B$2:B$836)</f>
        <v>2001</v>
      </c>
      <c r="I1763" s="2" t="n">
        <v>59</v>
      </c>
      <c r="J1763" s="0" t="n">
        <v>0.793</v>
      </c>
      <c r="K1763" s="0" t="n">
        <v>0.568</v>
      </c>
      <c r="L1763" s="3" t="str">
        <f aca="false">IF(K1763&gt;0.66,"High",IF(K1763&gt;0.33&amp;K1763&lt;=0.66,"Medium","Low"))</f>
        <v>Low</v>
      </c>
      <c r="M1763" s="0" t="n">
        <v>-4.958</v>
      </c>
      <c r="N1763" s="3" t="n">
        <v>0.0459</v>
      </c>
      <c r="O1763" s="3" t="n">
        <v>0.0478</v>
      </c>
      <c r="P1763" s="4" t="n">
        <v>3.57E-005</v>
      </c>
      <c r="Q1763" s="3" t="n">
        <v>0.0304</v>
      </c>
      <c r="R1763" s="3" t="n">
        <v>0.806</v>
      </c>
      <c r="S1763" s="3" t="str">
        <f aca="false">IF(R1763 &gt;= 0.5, "Positive", "Negative")</f>
        <v>Positive</v>
      </c>
      <c r="T1763" s="2" t="n">
        <v>100.005</v>
      </c>
      <c r="U1763" s="0" t="s">
        <v>31</v>
      </c>
    </row>
    <row r="1764" customFormat="false" ht="14.25" hidden="false" customHeight="false" outlineLevel="0" collapsed="false">
      <c r="A1764" s="0" t="n">
        <v>52</v>
      </c>
      <c r="B1764" s="0" t="str">
        <f aca="false">_xlfn.xlookup(A1764, artists!A$2:A$836, artists!B$2:B$836)</f>
        <v>Donell Jones</v>
      </c>
      <c r="C1764" s="1" t="s">
        <v>1785</v>
      </c>
      <c r="D1764" s="2" t="n">
        <v>243733</v>
      </c>
      <c r="E1764" s="2" t="n">
        <f aca="false">D1764/1000</f>
        <v>243.733</v>
      </c>
      <c r="F1764" s="10" t="b">
        <f aca="false">TRUE()</f>
        <v>1</v>
      </c>
      <c r="G1764" s="0" t="n">
        <v>2</v>
      </c>
      <c r="H1764" s="0" t="n">
        <f aca="false">_xlfn.xlookup(G1764, years!A$2:A$836, years!B$2:B$836)</f>
        <v>1999</v>
      </c>
      <c r="I1764" s="2" t="n">
        <v>63</v>
      </c>
      <c r="J1764" s="0" t="n">
        <v>0.854</v>
      </c>
      <c r="K1764" s="0" t="n">
        <v>0.543</v>
      </c>
      <c r="L1764" s="3" t="str">
        <f aca="false">IF(K1764&gt;0.66,"High",IF(K1764&gt;0.33&amp;K1764&lt;=0.66,"Medium","Low"))</f>
        <v>Low</v>
      </c>
      <c r="M1764" s="0" t="n">
        <v>-6.166</v>
      </c>
      <c r="N1764" s="3" t="n">
        <v>0.0844</v>
      </c>
      <c r="O1764" s="3" t="n">
        <v>0.0402</v>
      </c>
      <c r="P1764" s="4" t="n">
        <v>5.73E-005</v>
      </c>
      <c r="Q1764" s="3" t="n">
        <v>0.0419</v>
      </c>
      <c r="R1764" s="3" t="n">
        <v>0.868</v>
      </c>
      <c r="S1764" s="3" t="str">
        <f aca="false">IF(R1764 &gt;= 0.5, "Positive", "Negative")</f>
        <v>Positive</v>
      </c>
      <c r="T1764" s="2" t="n">
        <v>103.032</v>
      </c>
      <c r="U1764" s="0" t="s">
        <v>33</v>
      </c>
    </row>
    <row r="1765" customFormat="false" ht="14.25" hidden="false" customHeight="false" outlineLevel="0" collapsed="false">
      <c r="A1765" s="0" t="n">
        <v>194</v>
      </c>
      <c r="B1765" s="0" t="str">
        <f aca="false">_xlfn.xlookup(A1765, artists!A$2:A$836, artists!B$2:B$836)</f>
        <v>Black Eyed Peas</v>
      </c>
      <c r="C1765" s="1" t="s">
        <v>1786</v>
      </c>
      <c r="D1765" s="2" t="n">
        <v>239773</v>
      </c>
      <c r="E1765" s="2" t="n">
        <f aca="false">D1765/1000</f>
        <v>239.773</v>
      </c>
      <c r="F1765" s="10" t="b">
        <f aca="false">FALSE()</f>
        <v>0</v>
      </c>
      <c r="G1765" s="0" t="n">
        <v>8</v>
      </c>
      <c r="H1765" s="0" t="n">
        <f aca="false">_xlfn.xlookup(G1765, years!A$2:A$836, years!B$2:B$836)</f>
        <v>2005</v>
      </c>
      <c r="I1765" s="2" t="n">
        <v>62</v>
      </c>
      <c r="J1765" s="0" t="n">
        <v>0.69</v>
      </c>
      <c r="K1765" s="0" t="n">
        <v>0.928</v>
      </c>
      <c r="L1765" s="3" t="str">
        <f aca="false">IF(K1765&gt;0.66,"High",IF(K1765&gt;0.33&amp;K1765&lt;=0.66,"Medium","Low"))</f>
        <v>High</v>
      </c>
      <c r="M1765" s="0" t="n">
        <v>-2.76</v>
      </c>
      <c r="N1765" s="3" t="n">
        <v>0.061</v>
      </c>
      <c r="O1765" s="3" t="n">
        <v>0.00937</v>
      </c>
      <c r="P1765" s="4" t="n">
        <v>0</v>
      </c>
      <c r="Q1765" s="3" t="n">
        <v>0.547</v>
      </c>
      <c r="R1765" s="3" t="n">
        <v>0.604</v>
      </c>
      <c r="S1765" s="3" t="str">
        <f aca="false">IF(R1765 &gt;= 0.5, "Positive", "Negative")</f>
        <v>Positive</v>
      </c>
      <c r="T1765" s="2" t="n">
        <v>130.889</v>
      </c>
      <c r="U1765" s="0" t="s">
        <v>24</v>
      </c>
    </row>
    <row r="1766" customFormat="false" ht="14.25" hidden="false" customHeight="false" outlineLevel="0" collapsed="false">
      <c r="A1766" s="0" t="n">
        <v>634</v>
      </c>
      <c r="B1766" s="0" t="str">
        <f aca="false">_xlfn.xlookup(A1766, artists!A$2:A$836, artists!B$2:B$836)</f>
        <v>G.R.L.</v>
      </c>
      <c r="C1766" s="1" t="s">
        <v>1787</v>
      </c>
      <c r="D1766" s="2" t="n">
        <v>198306</v>
      </c>
      <c r="E1766" s="2" t="n">
        <f aca="false">D1766/1000</f>
        <v>198.306</v>
      </c>
      <c r="F1766" s="10" t="b">
        <f aca="false">FALSE()</f>
        <v>0</v>
      </c>
      <c r="G1766" s="0" t="n">
        <v>17</v>
      </c>
      <c r="H1766" s="0" t="n">
        <f aca="false">_xlfn.xlookup(G1766, years!A$2:A$836, years!B$2:B$836)</f>
        <v>2014</v>
      </c>
      <c r="I1766" s="2" t="n">
        <v>64</v>
      </c>
      <c r="J1766" s="0" t="n">
        <v>0.65</v>
      </c>
      <c r="K1766" s="0" t="n">
        <v>0.786</v>
      </c>
      <c r="L1766" s="3" t="str">
        <f aca="false">IF(K1766&gt;0.66,"High",IF(K1766&gt;0.33&amp;K1766&lt;=0.66,"Medium","Low"))</f>
        <v>High</v>
      </c>
      <c r="M1766" s="0" t="n">
        <v>-5.488</v>
      </c>
      <c r="N1766" s="3" t="n">
        <v>0.0463</v>
      </c>
      <c r="O1766" s="3" t="n">
        <v>0.019</v>
      </c>
      <c r="P1766" s="4" t="n">
        <v>0</v>
      </c>
      <c r="Q1766" s="3" t="n">
        <v>0.323</v>
      </c>
      <c r="R1766" s="3" t="n">
        <v>0.446</v>
      </c>
      <c r="S1766" s="3" t="str">
        <f aca="false">IF(R1766 &gt;= 0.5, "Positive", "Negative")</f>
        <v>Negative</v>
      </c>
      <c r="T1766" s="2" t="n">
        <v>124.96</v>
      </c>
      <c r="U1766" s="0" t="s">
        <v>39</v>
      </c>
    </row>
    <row r="1767" customFormat="false" ht="14.25" hidden="false" customHeight="false" outlineLevel="0" collapsed="false">
      <c r="A1767" s="0" t="n">
        <v>95</v>
      </c>
      <c r="B1767" s="0" t="str">
        <f aca="false">_xlfn.xlookup(A1767, artists!A$2:A$836, artists!B$2:B$836)</f>
        <v>Blue</v>
      </c>
      <c r="C1767" s="1" t="s">
        <v>1788</v>
      </c>
      <c r="D1767" s="2" t="n">
        <v>223546</v>
      </c>
      <c r="E1767" s="2" t="n">
        <f aca="false">D1767/1000</f>
        <v>223.546</v>
      </c>
      <c r="F1767" s="10" t="b">
        <f aca="false">FALSE()</f>
        <v>0</v>
      </c>
      <c r="G1767" s="0" t="n">
        <v>4</v>
      </c>
      <c r="H1767" s="0" t="n">
        <f aca="false">_xlfn.xlookup(G1767, years!A$2:A$836, years!B$2:B$836)</f>
        <v>2001</v>
      </c>
      <c r="I1767" s="2" t="n">
        <v>63</v>
      </c>
      <c r="J1767" s="0" t="n">
        <v>0.721</v>
      </c>
      <c r="K1767" s="0" t="n">
        <v>0.737</v>
      </c>
      <c r="L1767" s="3" t="str">
        <f aca="false">IF(K1767&gt;0.66,"High",IF(K1767&gt;0.33&amp;K1767&lt;=0.66,"Medium","Low"))</f>
        <v>High</v>
      </c>
      <c r="M1767" s="0" t="n">
        <v>-2.734</v>
      </c>
      <c r="N1767" s="3" t="n">
        <v>0.0324</v>
      </c>
      <c r="O1767" s="3" t="n">
        <v>0.121</v>
      </c>
      <c r="P1767" s="4" t="n">
        <v>0</v>
      </c>
      <c r="Q1767" s="3" t="n">
        <v>0.165</v>
      </c>
      <c r="R1767" s="3" t="n">
        <v>0.931</v>
      </c>
      <c r="S1767" s="3" t="str">
        <f aca="false">IF(R1767 &gt;= 0.5, "Positive", "Negative")</f>
        <v>Positive</v>
      </c>
      <c r="T1767" s="2" t="n">
        <v>97.996</v>
      </c>
      <c r="U1767" s="0" t="s">
        <v>39</v>
      </c>
    </row>
    <row r="1768" customFormat="false" ht="14.25" hidden="false" customHeight="false" outlineLevel="0" collapsed="false">
      <c r="A1768" s="0" t="n">
        <v>283</v>
      </c>
      <c r="B1768" s="0" t="str">
        <f aca="false">_xlfn.xlookup(A1768, artists!A$2:A$836, artists!B$2:B$836)</f>
        <v>Rihanna</v>
      </c>
      <c r="C1768" s="1" t="s">
        <v>1789</v>
      </c>
      <c r="D1768" s="2" t="n">
        <v>275986</v>
      </c>
      <c r="E1768" s="2" t="n">
        <f aca="false">D1768/1000</f>
        <v>275.986</v>
      </c>
      <c r="F1768" s="10" t="b">
        <f aca="false">FALSE()</f>
        <v>0</v>
      </c>
      <c r="G1768" s="0" t="n">
        <v>11</v>
      </c>
      <c r="H1768" s="0" t="n">
        <f aca="false">_xlfn.xlookup(G1768, years!A$2:A$836, years!B$2:B$836)</f>
        <v>2008</v>
      </c>
      <c r="I1768" s="2" t="n">
        <v>81</v>
      </c>
      <c r="J1768" s="0" t="n">
        <v>0.583</v>
      </c>
      <c r="K1768" s="0" t="n">
        <v>0.829</v>
      </c>
      <c r="L1768" s="3" t="str">
        <f aca="false">IF(K1768&gt;0.66,"High",IF(K1768&gt;0.33&amp;K1768&lt;=0.66,"Medium","Low"))</f>
        <v>High</v>
      </c>
      <c r="M1768" s="0" t="n">
        <v>-4.603</v>
      </c>
      <c r="N1768" s="3" t="n">
        <v>0.134</v>
      </c>
      <c r="O1768" s="3" t="n">
        <v>0.00864</v>
      </c>
      <c r="P1768" s="4" t="n">
        <v>0</v>
      </c>
      <c r="Q1768" s="3" t="n">
        <v>0.0426</v>
      </c>
      <c r="R1768" s="3" t="n">
        <v>0.575</v>
      </c>
      <c r="S1768" s="3" t="str">
        <f aca="false">IF(R1768 &gt;= 0.5, "Positive", "Negative")</f>
        <v>Positive</v>
      </c>
      <c r="T1768" s="2" t="n">
        <v>174.028</v>
      </c>
      <c r="U1768" s="0" t="s">
        <v>31</v>
      </c>
    </row>
    <row r="1769" customFormat="false" ht="14.25" hidden="false" customHeight="false" outlineLevel="0" collapsed="false">
      <c r="A1769" s="0" t="n">
        <v>163</v>
      </c>
      <c r="B1769" s="0" t="str">
        <f aca="false">_xlfn.xlookup(A1769, artists!A$2:A$836, artists!B$2:B$836)</f>
        <v>Gareth Gates</v>
      </c>
      <c r="C1769" s="1" t="s">
        <v>1790</v>
      </c>
      <c r="D1769" s="2" t="n">
        <v>233666</v>
      </c>
      <c r="E1769" s="2" t="n">
        <f aca="false">D1769/1000</f>
        <v>233.666</v>
      </c>
      <c r="F1769" s="10" t="b">
        <f aca="false">FALSE()</f>
        <v>0</v>
      </c>
      <c r="G1769" s="0" t="n">
        <v>6</v>
      </c>
      <c r="H1769" s="0" t="n">
        <f aca="false">_xlfn.xlookup(G1769, years!A$2:A$836, years!B$2:B$836)</f>
        <v>2003</v>
      </c>
      <c r="I1769" s="2" t="n">
        <v>35</v>
      </c>
      <c r="J1769" s="0" t="n">
        <v>0.368</v>
      </c>
      <c r="K1769" s="0" t="n">
        <v>0.426</v>
      </c>
      <c r="L1769" s="3" t="str">
        <f aca="false">IF(K1769&gt;0.66,"High",IF(K1769&gt;0.33&amp;K1769&lt;=0.66,"Medium","Low"))</f>
        <v>Low</v>
      </c>
      <c r="M1769" s="0" t="n">
        <v>-8.049</v>
      </c>
      <c r="N1769" s="3" t="n">
        <v>0.0277</v>
      </c>
      <c r="O1769" s="3" t="n">
        <v>0.255</v>
      </c>
      <c r="P1769" s="4" t="n">
        <v>5.39E-006</v>
      </c>
      <c r="Q1769" s="3" t="n">
        <v>0.108</v>
      </c>
      <c r="R1769" s="3" t="n">
        <v>0.208</v>
      </c>
      <c r="S1769" s="3" t="str">
        <f aca="false">IF(R1769 &gt;= 0.5, "Positive", "Negative")</f>
        <v>Negative</v>
      </c>
      <c r="T1769" s="2" t="n">
        <v>106.52</v>
      </c>
      <c r="U1769" s="0" t="s">
        <v>39</v>
      </c>
    </row>
    <row r="1770" customFormat="false" ht="14.25" hidden="false" customHeight="false" outlineLevel="0" collapsed="false">
      <c r="A1770" s="0" t="n">
        <v>398</v>
      </c>
      <c r="B1770" s="0" t="str">
        <f aca="false">_xlfn.xlookup(A1770, artists!A$2:A$836, artists!B$2:B$836)</f>
        <v>Katy Perry</v>
      </c>
      <c r="C1770" s="1" t="s">
        <v>1791</v>
      </c>
      <c r="D1770" s="2" t="n">
        <v>228878</v>
      </c>
      <c r="E1770" s="2" t="n">
        <f aca="false">D1770/1000</f>
        <v>228.878</v>
      </c>
      <c r="F1770" s="10" t="b">
        <f aca="false">FALSE()</f>
        <v>0</v>
      </c>
      <c r="G1770" s="0" t="n">
        <v>16</v>
      </c>
      <c r="H1770" s="0" t="n">
        <f aca="false">_xlfn.xlookup(G1770, years!A$2:A$836, years!B$2:B$836)</f>
        <v>2013</v>
      </c>
      <c r="I1770" s="2" t="n">
        <v>0</v>
      </c>
      <c r="J1770" s="0" t="n">
        <v>0.555</v>
      </c>
      <c r="K1770" s="0" t="n">
        <v>0.729</v>
      </c>
      <c r="L1770" s="3" t="str">
        <f aca="false">IF(K1770&gt;0.66,"High",IF(K1770&gt;0.33&amp;K1770&lt;=0.66,"Medium","Low"))</f>
        <v>High</v>
      </c>
      <c r="M1770" s="0" t="n">
        <v>-4.813</v>
      </c>
      <c r="N1770" s="3" t="n">
        <v>0.0387</v>
      </c>
      <c r="O1770" s="3" t="n">
        <v>0.00357</v>
      </c>
      <c r="P1770" s="4" t="n">
        <v>0</v>
      </c>
      <c r="Q1770" s="3" t="n">
        <v>0.209</v>
      </c>
      <c r="R1770" s="3" t="n">
        <v>0.369</v>
      </c>
      <c r="S1770" s="3" t="str">
        <f aca="false">IF(R1770 &gt;= 0.5, "Positive", "Negative")</f>
        <v>Negative</v>
      </c>
      <c r="T1770" s="2" t="n">
        <v>129.003</v>
      </c>
      <c r="U1770" s="0" t="s">
        <v>39</v>
      </c>
    </row>
    <row r="1771" customFormat="false" ht="14.25" hidden="false" customHeight="false" outlineLevel="0" collapsed="false">
      <c r="A1771" s="0" t="n">
        <v>372</v>
      </c>
      <c r="B1771" s="0" t="str">
        <f aca="false">_xlfn.xlookup(A1771, artists!A$2:A$836, artists!B$2:B$836)</f>
        <v>Calvin Harris</v>
      </c>
      <c r="C1771" s="1" t="s">
        <v>1792</v>
      </c>
      <c r="D1771" s="2" t="n">
        <v>184280</v>
      </c>
      <c r="E1771" s="2" t="n">
        <f aca="false">D1771/1000</f>
        <v>184.28</v>
      </c>
      <c r="F1771" s="10" t="b">
        <f aca="false">FALSE()</f>
        <v>0</v>
      </c>
      <c r="G1771" s="0" t="n">
        <v>17</v>
      </c>
      <c r="H1771" s="0" t="n">
        <f aca="false">_xlfn.xlookup(G1771, years!A$2:A$836, years!B$2:B$836)</f>
        <v>2014</v>
      </c>
      <c r="I1771" s="2" t="n">
        <v>72</v>
      </c>
      <c r="J1771" s="0" t="n">
        <v>0.544</v>
      </c>
      <c r="K1771" s="0" t="n">
        <v>0.915</v>
      </c>
      <c r="L1771" s="3" t="str">
        <f aca="false">IF(K1771&gt;0.66,"High",IF(K1771&gt;0.33&amp;K1771&lt;=0.66,"Medium","Low"))</f>
        <v>High</v>
      </c>
      <c r="M1771" s="0" t="n">
        <v>-3.405</v>
      </c>
      <c r="N1771" s="3" t="n">
        <v>0.0841</v>
      </c>
      <c r="O1771" s="3" t="n">
        <v>0.129</v>
      </c>
      <c r="P1771" s="4" t="n">
        <v>0.000914</v>
      </c>
      <c r="Q1771" s="3" t="n">
        <v>0.115</v>
      </c>
      <c r="R1771" s="3" t="n">
        <v>0.51</v>
      </c>
      <c r="S1771" s="3" t="str">
        <f aca="false">IF(R1771 &gt;= 0.5, "Positive", "Negative")</f>
        <v>Positive</v>
      </c>
      <c r="T1771" s="2" t="n">
        <v>126.094</v>
      </c>
      <c r="U1771" s="0" t="s">
        <v>53</v>
      </c>
    </row>
    <row r="1772" customFormat="false" ht="14.25" hidden="false" customHeight="false" outlineLevel="0" collapsed="false">
      <c r="A1772" s="0" t="n">
        <v>149</v>
      </c>
      <c r="B1772" s="0" t="str">
        <f aca="false">_xlfn.xlookup(A1772, artists!A$2:A$836, artists!B$2:B$836)</f>
        <v>No Doubt</v>
      </c>
      <c r="C1772" s="1" t="s">
        <v>1793</v>
      </c>
      <c r="D1772" s="2" t="n">
        <v>302720</v>
      </c>
      <c r="E1772" s="2" t="n">
        <f aca="false">D1772/1000</f>
        <v>302.72</v>
      </c>
      <c r="F1772" s="10" t="b">
        <f aca="false">FALSE()</f>
        <v>0</v>
      </c>
      <c r="G1772" s="0" t="n">
        <v>4</v>
      </c>
      <c r="H1772" s="0" t="n">
        <f aca="false">_xlfn.xlookup(G1772, years!A$2:A$836, years!B$2:B$836)</f>
        <v>2001</v>
      </c>
      <c r="I1772" s="2" t="n">
        <v>27</v>
      </c>
      <c r="J1772" s="0" t="n">
        <v>0.729</v>
      </c>
      <c r="K1772" s="0" t="n">
        <v>0.731</v>
      </c>
      <c r="L1772" s="3" t="str">
        <f aca="false">IF(K1772&gt;0.66,"High",IF(K1772&gt;0.33&amp;K1772&lt;=0.66,"Medium","Low"))</f>
        <v>High</v>
      </c>
      <c r="M1772" s="0" t="n">
        <v>-4.822</v>
      </c>
      <c r="N1772" s="3" t="n">
        <v>0.0684</v>
      </c>
      <c r="O1772" s="3" t="n">
        <v>0.232</v>
      </c>
      <c r="P1772" s="4" t="n">
        <v>1.57E-006</v>
      </c>
      <c r="Q1772" s="3" t="n">
        <v>0.391</v>
      </c>
      <c r="R1772" s="3" t="n">
        <v>0.839</v>
      </c>
      <c r="S1772" s="3" t="str">
        <f aca="false">IF(R1772 &gt;= 0.5, "Positive", "Negative")</f>
        <v>Positive</v>
      </c>
      <c r="T1772" s="2" t="n">
        <v>138.202</v>
      </c>
      <c r="U1772" s="0" t="s">
        <v>35</v>
      </c>
    </row>
    <row r="1773" customFormat="false" ht="14.25" hidden="false" customHeight="false" outlineLevel="0" collapsed="false">
      <c r="A1773" s="0" t="n">
        <v>84</v>
      </c>
      <c r="B1773" s="0" t="str">
        <f aca="false">_xlfn.xlookup(A1773, artists!A$2:A$836, artists!B$2:B$836)</f>
        <v>Shakira</v>
      </c>
      <c r="C1773" s="1" t="s">
        <v>1794</v>
      </c>
      <c r="D1773" s="2" t="n">
        <v>224066</v>
      </c>
      <c r="E1773" s="2" t="n">
        <f aca="false">D1773/1000</f>
        <v>224.066</v>
      </c>
      <c r="F1773" s="10" t="b">
        <f aca="false">FALSE()</f>
        <v>0</v>
      </c>
      <c r="G1773" s="0" t="n">
        <v>4</v>
      </c>
      <c r="H1773" s="0" t="n">
        <f aca="false">_xlfn.xlookup(G1773, years!A$2:A$836, years!B$2:B$836)</f>
        <v>2001</v>
      </c>
      <c r="I1773" s="2" t="n">
        <v>64</v>
      </c>
      <c r="J1773" s="0" t="n">
        <v>0.616</v>
      </c>
      <c r="K1773" s="0" t="n">
        <v>0.597</v>
      </c>
      <c r="L1773" s="3" t="str">
        <f aca="false">IF(K1773&gt;0.66,"High",IF(K1773&gt;0.33&amp;K1773&lt;=0.66,"Medium","Low"))</f>
        <v>Low</v>
      </c>
      <c r="M1773" s="0" t="n">
        <v>-5.328</v>
      </c>
      <c r="N1773" s="3" t="n">
        <v>0.0415</v>
      </c>
      <c r="O1773" s="3" t="n">
        <v>0.691</v>
      </c>
      <c r="P1773" s="4" t="n">
        <v>0</v>
      </c>
      <c r="Q1773" s="3" t="n">
        <v>0.104</v>
      </c>
      <c r="R1773" s="3" t="n">
        <v>0.362</v>
      </c>
      <c r="S1773" s="3" t="str">
        <f aca="false">IF(R1773 &gt;= 0.5, "Positive", "Negative")</f>
        <v>Negative</v>
      </c>
      <c r="T1773" s="2" t="n">
        <v>165.508</v>
      </c>
      <c r="U1773" s="0" t="s">
        <v>75</v>
      </c>
    </row>
    <row r="1774" customFormat="false" ht="14.25" hidden="false" customHeight="false" outlineLevel="0" collapsed="false">
      <c r="A1774" s="0" t="n">
        <v>283</v>
      </c>
      <c r="B1774" s="0" t="str">
        <f aca="false">_xlfn.xlookup(A1774, artists!A$2:A$836, artists!B$2:B$836)</f>
        <v>Rihanna</v>
      </c>
      <c r="C1774" s="1" t="s">
        <v>1795</v>
      </c>
      <c r="D1774" s="2" t="n">
        <v>226973</v>
      </c>
      <c r="E1774" s="2" t="n">
        <f aca="false">D1774/1000</f>
        <v>226.973</v>
      </c>
      <c r="F1774" s="10" t="b">
        <f aca="false">FALSE()</f>
        <v>0</v>
      </c>
      <c r="G1774" s="0" t="n">
        <v>9</v>
      </c>
      <c r="H1774" s="0" t="n">
        <f aca="false">_xlfn.xlookup(G1774, years!A$2:A$836, years!B$2:B$836)</f>
        <v>2006</v>
      </c>
      <c r="I1774" s="2" t="n">
        <v>70</v>
      </c>
      <c r="J1774" s="0" t="n">
        <v>0.588</v>
      </c>
      <c r="K1774" s="0" t="n">
        <v>0.391</v>
      </c>
      <c r="L1774" s="3" t="str">
        <f aca="false">IF(K1774&gt;0.66,"High",IF(K1774&gt;0.33&amp;K1774&lt;=0.66,"Medium","Low"))</f>
        <v>Low</v>
      </c>
      <c r="M1774" s="0" t="n">
        <v>-8.607</v>
      </c>
      <c r="N1774" s="3" t="n">
        <v>0.0334</v>
      </c>
      <c r="O1774" s="3" t="n">
        <v>0.839</v>
      </c>
      <c r="P1774" s="4" t="n">
        <v>0</v>
      </c>
      <c r="Q1774" s="3" t="n">
        <v>0.227</v>
      </c>
      <c r="R1774" s="3" t="n">
        <v>0.349</v>
      </c>
      <c r="S1774" s="3" t="str">
        <f aca="false">IF(R1774 &gt;= 0.5, "Positive", "Negative")</f>
        <v>Negative</v>
      </c>
      <c r="T1774" s="2" t="n">
        <v>144.069</v>
      </c>
      <c r="U1774" s="0" t="s">
        <v>31</v>
      </c>
    </row>
    <row r="1775" customFormat="false" ht="14.25" hidden="false" customHeight="false" outlineLevel="0" collapsed="false">
      <c r="A1775" s="0" t="n">
        <v>490</v>
      </c>
      <c r="B1775" s="0" t="str">
        <f aca="false">_xlfn.xlookup(A1775, artists!A$2:A$836, artists!B$2:B$836)</f>
        <v>DJ Khaled</v>
      </c>
      <c r="C1775" s="1" t="s">
        <v>1796</v>
      </c>
      <c r="D1775" s="2" t="n">
        <v>260000</v>
      </c>
      <c r="E1775" s="2" t="n">
        <f aca="false">D1775/1000</f>
        <v>260</v>
      </c>
      <c r="F1775" s="10" t="b">
        <f aca="false">TRUE()</f>
        <v>1</v>
      </c>
      <c r="G1775" s="0" t="n">
        <v>21</v>
      </c>
      <c r="H1775" s="0" t="n">
        <f aca="false">_xlfn.xlookup(G1775, years!A$2:A$836, years!B$2:B$836)</f>
        <v>2018</v>
      </c>
      <c r="I1775" s="2" t="n">
        <v>67</v>
      </c>
      <c r="J1775" s="0" t="n">
        <v>0.552</v>
      </c>
      <c r="K1775" s="0" t="n">
        <v>0.76</v>
      </c>
      <c r="L1775" s="3" t="str">
        <f aca="false">IF(K1775&gt;0.66,"High",IF(K1775&gt;0.33&amp;K1775&lt;=0.66,"Medium","Low"))</f>
        <v>High</v>
      </c>
      <c r="M1775" s="0" t="n">
        <v>-4.706</v>
      </c>
      <c r="N1775" s="3" t="n">
        <v>0.342</v>
      </c>
      <c r="O1775" s="3" t="n">
        <v>0.0733</v>
      </c>
      <c r="P1775" s="4" t="n">
        <v>0</v>
      </c>
      <c r="Q1775" s="3" t="n">
        <v>0.0865</v>
      </c>
      <c r="R1775" s="3" t="n">
        <v>0.639</v>
      </c>
      <c r="S1775" s="3" t="str">
        <f aca="false">IF(R1775 &gt;= 0.5, "Positive", "Negative")</f>
        <v>Positive</v>
      </c>
      <c r="T1775" s="2" t="n">
        <v>135.702</v>
      </c>
      <c r="U1775" s="0" t="s">
        <v>24</v>
      </c>
    </row>
    <row r="1776" customFormat="false" ht="14.25" hidden="false" customHeight="false" outlineLevel="0" collapsed="false">
      <c r="A1776" s="0" t="n">
        <v>111</v>
      </c>
      <c r="B1776" s="0" t="str">
        <f aca="false">_xlfn.xlookup(A1776, artists!A$2:A$836, artists!B$2:B$836)</f>
        <v>2Pac</v>
      </c>
      <c r="C1776" s="1" t="s">
        <v>1797</v>
      </c>
      <c r="D1776" s="2" t="n">
        <v>266506</v>
      </c>
      <c r="E1776" s="2" t="n">
        <f aca="false">D1776/1000</f>
        <v>266.506</v>
      </c>
      <c r="F1776" s="10" t="b">
        <f aca="false">TRUE()</f>
        <v>1</v>
      </c>
      <c r="G1776" s="0" t="n">
        <v>4</v>
      </c>
      <c r="H1776" s="0" t="n">
        <f aca="false">_xlfn.xlookup(G1776, years!A$2:A$836, years!B$2:B$836)</f>
        <v>2001</v>
      </c>
      <c r="I1776" s="2" t="n">
        <v>57</v>
      </c>
      <c r="J1776" s="0" t="n">
        <v>0.757</v>
      </c>
      <c r="K1776" s="0" t="n">
        <v>0.706</v>
      </c>
      <c r="L1776" s="3" t="str">
        <f aca="false">IF(K1776&gt;0.66,"High",IF(K1776&gt;0.33&amp;K1776&lt;=0.66,"Medium","Low"))</f>
        <v>High</v>
      </c>
      <c r="M1776" s="0" t="n">
        <v>-6.665</v>
      </c>
      <c r="N1776" s="3" t="n">
        <v>0.203</v>
      </c>
      <c r="O1776" s="3" t="n">
        <v>0.0267</v>
      </c>
      <c r="P1776" s="4" t="n">
        <v>0</v>
      </c>
      <c r="Q1776" s="3" t="n">
        <v>0.197</v>
      </c>
      <c r="R1776" s="3" t="n">
        <v>0.375</v>
      </c>
      <c r="S1776" s="3" t="str">
        <f aca="false">IF(R1776 &gt;= 0.5, "Positive", "Negative")</f>
        <v>Negative</v>
      </c>
      <c r="T1776" s="2" t="n">
        <v>96.976</v>
      </c>
      <c r="U1776" s="0" t="s">
        <v>29</v>
      </c>
    </row>
    <row r="1777" customFormat="false" ht="14.25" hidden="false" customHeight="false" outlineLevel="0" collapsed="false">
      <c r="A1777" s="0" t="n">
        <v>457</v>
      </c>
      <c r="B1777" s="0" t="str">
        <f aca="false">_xlfn.xlookup(A1777, artists!A$2:A$836, artists!B$2:B$836)</f>
        <v>The Veronicas</v>
      </c>
      <c r="C1777" s="1" t="s">
        <v>1798</v>
      </c>
      <c r="D1777" s="2" t="n">
        <v>255360</v>
      </c>
      <c r="E1777" s="2" t="n">
        <f aca="false">D1777/1000</f>
        <v>255.36</v>
      </c>
      <c r="F1777" s="10" t="b">
        <f aca="false">FALSE()</f>
        <v>0</v>
      </c>
      <c r="G1777" s="0" t="n">
        <v>8</v>
      </c>
      <c r="H1777" s="0" t="n">
        <f aca="false">_xlfn.xlookup(G1777, years!A$2:A$836, years!B$2:B$836)</f>
        <v>2005</v>
      </c>
      <c r="I1777" s="2" t="n">
        <v>58</v>
      </c>
      <c r="J1777" s="0" t="n">
        <v>0.557</v>
      </c>
      <c r="K1777" s="0" t="n">
        <v>0.783</v>
      </c>
      <c r="L1777" s="3" t="str">
        <f aca="false">IF(K1777&gt;0.66,"High",IF(K1777&gt;0.33&amp;K1777&lt;=0.66,"Medium","Low"))</f>
        <v>High</v>
      </c>
      <c r="M1777" s="0" t="n">
        <v>-4.893</v>
      </c>
      <c r="N1777" s="3" t="n">
        <v>0.234</v>
      </c>
      <c r="O1777" s="3" t="n">
        <v>0.0171</v>
      </c>
      <c r="P1777" s="4" t="n">
        <v>0.0172</v>
      </c>
      <c r="Q1777" s="3" t="n">
        <v>0.151</v>
      </c>
      <c r="R1777" s="3" t="n">
        <v>0.442</v>
      </c>
      <c r="S1777" s="3" t="str">
        <f aca="false">IF(R1777 &gt;= 0.5, "Positive", "Negative")</f>
        <v>Negative</v>
      </c>
      <c r="T1777" s="2" t="n">
        <v>177.008</v>
      </c>
      <c r="U1777" s="0" t="s">
        <v>22</v>
      </c>
    </row>
    <row r="1778" customFormat="false" ht="14.25" hidden="false" customHeight="false" outlineLevel="0" collapsed="false">
      <c r="A1778" s="0" t="n">
        <v>75</v>
      </c>
      <c r="B1778" s="0" t="str">
        <f aca="false">_xlfn.xlookup(A1778, artists!A$2:A$836, artists!B$2:B$836)</f>
        <v>Matchbox Twenty</v>
      </c>
      <c r="C1778" s="1" t="s">
        <v>1799</v>
      </c>
      <c r="D1778" s="2" t="n">
        <v>228706</v>
      </c>
      <c r="E1778" s="2" t="n">
        <f aca="false">D1778/1000</f>
        <v>228.706</v>
      </c>
      <c r="F1778" s="10" t="b">
        <f aca="false">FALSE()</f>
        <v>0</v>
      </c>
      <c r="G1778" s="0" t="n">
        <v>5</v>
      </c>
      <c r="H1778" s="0" t="n">
        <f aca="false">_xlfn.xlookup(G1778, years!A$2:A$836, years!B$2:B$836)</f>
        <v>2002</v>
      </c>
      <c r="I1778" s="2" t="n">
        <v>63</v>
      </c>
      <c r="J1778" s="0" t="n">
        <v>0.256</v>
      </c>
      <c r="K1778" s="0" t="n">
        <v>0.788</v>
      </c>
      <c r="L1778" s="3" t="str">
        <f aca="false">IF(K1778&gt;0.66,"High",IF(K1778&gt;0.33&amp;K1778&lt;=0.66,"Medium","Low"))</f>
        <v>High</v>
      </c>
      <c r="M1778" s="0" t="n">
        <v>-5.263</v>
      </c>
      <c r="N1778" s="3" t="n">
        <v>0.0403</v>
      </c>
      <c r="O1778" s="3" t="n">
        <v>0.0298</v>
      </c>
      <c r="P1778" s="4" t="n">
        <v>0</v>
      </c>
      <c r="Q1778" s="3" t="n">
        <v>0.707</v>
      </c>
      <c r="R1778" s="3" t="n">
        <v>0.429</v>
      </c>
      <c r="S1778" s="3" t="str">
        <f aca="false">IF(R1778 &gt;= 0.5, "Positive", "Negative")</f>
        <v>Negative</v>
      </c>
      <c r="T1778" s="2" t="n">
        <v>80.718</v>
      </c>
      <c r="U1778" s="0" t="s">
        <v>210</v>
      </c>
    </row>
    <row r="1779" customFormat="false" ht="14.25" hidden="false" customHeight="false" outlineLevel="0" collapsed="false">
      <c r="A1779" s="0" t="n">
        <v>351</v>
      </c>
      <c r="B1779" s="0" t="str">
        <f aca="false">_xlfn.xlookup(A1779, artists!A$2:A$836, artists!B$2:B$836)</f>
        <v>Natasha Bedingfield</v>
      </c>
      <c r="C1779" s="1" t="s">
        <v>1800</v>
      </c>
      <c r="D1779" s="2" t="n">
        <v>259333</v>
      </c>
      <c r="E1779" s="2" t="n">
        <f aca="false">D1779/1000</f>
        <v>259.333</v>
      </c>
      <c r="F1779" s="10" t="b">
        <f aca="false">FALSE()</f>
        <v>0</v>
      </c>
      <c r="G1779" s="0" t="n">
        <v>7</v>
      </c>
      <c r="H1779" s="0" t="n">
        <f aca="false">_xlfn.xlookup(G1779, years!A$2:A$836, years!B$2:B$836)</f>
        <v>2004</v>
      </c>
      <c r="I1779" s="2" t="n">
        <v>2</v>
      </c>
      <c r="J1779" s="0" t="n">
        <v>0.706</v>
      </c>
      <c r="K1779" s="0" t="n">
        <v>0.8</v>
      </c>
      <c r="L1779" s="3" t="str">
        <f aca="false">IF(K1779&gt;0.66,"High",IF(K1779&gt;0.33&amp;K1779&lt;=0.66,"Medium","Low"))</f>
        <v>High</v>
      </c>
      <c r="M1779" s="0" t="n">
        <v>-6.333</v>
      </c>
      <c r="N1779" s="3" t="n">
        <v>0.0399</v>
      </c>
      <c r="O1779" s="3" t="n">
        <v>0.00584</v>
      </c>
      <c r="P1779" s="4" t="n">
        <v>0</v>
      </c>
      <c r="Q1779" s="3" t="n">
        <v>0.0822</v>
      </c>
      <c r="R1779" s="3" t="n">
        <v>0.629</v>
      </c>
      <c r="S1779" s="3" t="str">
        <f aca="false">IF(R1779 &gt;= 0.5, "Positive", "Negative")</f>
        <v>Positive</v>
      </c>
      <c r="T1779" s="2" t="n">
        <v>100.011</v>
      </c>
      <c r="U1779" s="0" t="s">
        <v>39</v>
      </c>
    </row>
    <row r="1780" customFormat="false" ht="14.25" hidden="false" customHeight="false" outlineLevel="0" collapsed="false">
      <c r="A1780" s="0" t="n">
        <v>514</v>
      </c>
      <c r="B1780" s="0" t="str">
        <f aca="false">_xlfn.xlookup(A1780, artists!A$2:A$836, artists!B$2:B$836)</f>
        <v>Olly Murs</v>
      </c>
      <c r="C1780" s="1" t="s">
        <v>1801</v>
      </c>
      <c r="D1780" s="2" t="n">
        <v>224293</v>
      </c>
      <c r="E1780" s="2" t="n">
        <f aca="false">D1780/1000</f>
        <v>224.293</v>
      </c>
      <c r="F1780" s="10" t="b">
        <f aca="false">FALSE()</f>
        <v>0</v>
      </c>
      <c r="G1780" s="0" t="n">
        <v>17</v>
      </c>
      <c r="H1780" s="0" t="n">
        <f aca="false">_xlfn.xlookup(G1780, years!A$2:A$836, years!B$2:B$836)</f>
        <v>2014</v>
      </c>
      <c r="I1780" s="2" t="n">
        <v>0</v>
      </c>
      <c r="J1780" s="0" t="n">
        <v>0.69</v>
      </c>
      <c r="K1780" s="0" t="n">
        <v>0.845</v>
      </c>
      <c r="L1780" s="3" t="str">
        <f aca="false">IF(K1780&gt;0.66,"High",IF(K1780&gt;0.33&amp;K1780&lt;=0.66,"Medium","Low"))</f>
        <v>High</v>
      </c>
      <c r="M1780" s="0" t="n">
        <v>-4.676</v>
      </c>
      <c r="N1780" s="3" t="n">
        <v>0.0339</v>
      </c>
      <c r="O1780" s="3" t="n">
        <v>0.0193</v>
      </c>
      <c r="P1780" s="4" t="n">
        <v>0</v>
      </c>
      <c r="Q1780" s="3" t="n">
        <v>0.101</v>
      </c>
      <c r="R1780" s="3" t="n">
        <v>0.638</v>
      </c>
      <c r="S1780" s="3" t="str">
        <f aca="false">IF(R1780 &gt;= 0.5, "Positive", "Negative")</f>
        <v>Positive</v>
      </c>
      <c r="T1780" s="2" t="n">
        <v>114.948</v>
      </c>
      <c r="U1780" s="0" t="s">
        <v>22</v>
      </c>
    </row>
    <row r="1781" customFormat="false" ht="14.25" hidden="false" customHeight="false" outlineLevel="0" collapsed="false">
      <c r="A1781" s="0" t="n">
        <v>323</v>
      </c>
      <c r="B1781" s="0" t="str">
        <f aca="false">_xlfn.xlookup(A1781, artists!A$2:A$836, artists!B$2:B$836)</f>
        <v>Muse</v>
      </c>
      <c r="C1781" s="1" t="s">
        <v>1802</v>
      </c>
      <c r="D1781" s="2" t="n">
        <v>304840</v>
      </c>
      <c r="E1781" s="2" t="n">
        <f aca="false">D1781/1000</f>
        <v>304.84</v>
      </c>
      <c r="F1781" s="10" t="b">
        <f aca="false">FALSE()</f>
        <v>0</v>
      </c>
      <c r="G1781" s="0" t="n">
        <v>12</v>
      </c>
      <c r="H1781" s="0" t="n">
        <f aca="false">_xlfn.xlookup(G1781, years!A$2:A$836, years!B$2:B$836)</f>
        <v>2009</v>
      </c>
      <c r="I1781" s="2" t="n">
        <v>75</v>
      </c>
      <c r="J1781" s="0" t="n">
        <v>0.602</v>
      </c>
      <c r="K1781" s="0" t="n">
        <v>0.905</v>
      </c>
      <c r="L1781" s="3" t="str">
        <f aca="false">IF(K1781&gt;0.66,"High",IF(K1781&gt;0.33&amp;K1781&lt;=0.66,"Medium","Low"))</f>
        <v>High</v>
      </c>
      <c r="M1781" s="0" t="n">
        <v>-4.046</v>
      </c>
      <c r="N1781" s="3" t="n">
        <v>0.0775</v>
      </c>
      <c r="O1781" s="3" t="n">
        <v>0.000202</v>
      </c>
      <c r="P1781" s="4" t="n">
        <v>0.064</v>
      </c>
      <c r="Q1781" s="3" t="n">
        <v>0.117</v>
      </c>
      <c r="R1781" s="3" t="n">
        <v>0.411</v>
      </c>
      <c r="S1781" s="3" t="str">
        <f aca="false">IF(R1781 &gt;= 0.5, "Positive", "Negative")</f>
        <v>Negative</v>
      </c>
      <c r="T1781" s="2" t="n">
        <v>128.019</v>
      </c>
      <c r="U1781" s="0" t="s">
        <v>43</v>
      </c>
    </row>
    <row r="1782" customFormat="false" ht="14.25" hidden="false" customHeight="false" outlineLevel="0" collapsed="false">
      <c r="A1782" s="0" t="n">
        <v>359</v>
      </c>
      <c r="B1782" s="0" t="str">
        <f aca="false">_xlfn.xlookup(A1782, artists!A$2:A$836, artists!B$2:B$836)</f>
        <v>Mark Ronson</v>
      </c>
      <c r="C1782" s="1" t="s">
        <v>1803</v>
      </c>
      <c r="D1782" s="2" t="n">
        <v>269666</v>
      </c>
      <c r="E1782" s="2" t="n">
        <f aca="false">D1782/1000</f>
        <v>269.666</v>
      </c>
      <c r="F1782" s="10" t="b">
        <f aca="false">TRUE()</f>
        <v>1</v>
      </c>
      <c r="G1782" s="0" t="n">
        <v>18</v>
      </c>
      <c r="H1782" s="0" t="n">
        <f aca="false">_xlfn.xlookup(G1782, years!A$2:A$836, years!B$2:B$836)</f>
        <v>2015</v>
      </c>
      <c r="I1782" s="2" t="n">
        <v>82</v>
      </c>
      <c r="J1782" s="0" t="n">
        <v>0.856</v>
      </c>
      <c r="K1782" s="0" t="n">
        <v>0.609</v>
      </c>
      <c r="L1782" s="3" t="str">
        <f aca="false">IF(K1782&gt;0.66,"High",IF(K1782&gt;0.33&amp;K1782&lt;=0.66,"Medium","Low"))</f>
        <v>Low</v>
      </c>
      <c r="M1782" s="0" t="n">
        <v>-7.223</v>
      </c>
      <c r="N1782" s="3" t="n">
        <v>0.0824</v>
      </c>
      <c r="O1782" s="3" t="n">
        <v>0.00801</v>
      </c>
      <c r="P1782" s="4" t="n">
        <v>8.15E-005</v>
      </c>
      <c r="Q1782" s="3" t="n">
        <v>0.0344</v>
      </c>
      <c r="R1782" s="3" t="n">
        <v>0.928</v>
      </c>
      <c r="S1782" s="3" t="str">
        <f aca="false">IF(R1782 &gt;= 0.5, "Positive", "Negative")</f>
        <v>Positive</v>
      </c>
      <c r="T1782" s="2" t="n">
        <v>114.988</v>
      </c>
      <c r="U1782" s="0" t="s">
        <v>39</v>
      </c>
    </row>
    <row r="1783" customFormat="false" ht="14.25" hidden="false" customHeight="false" outlineLevel="0" collapsed="false">
      <c r="A1783" s="0" t="n">
        <v>774</v>
      </c>
      <c r="B1783" s="0" t="str">
        <f aca="false">_xlfn.xlookup(A1783, artists!A$2:A$836, artists!B$2:B$836)</f>
        <v>Ozuna</v>
      </c>
      <c r="C1783" s="1" t="s">
        <v>1804</v>
      </c>
      <c r="D1783" s="2" t="n">
        <v>176133</v>
      </c>
      <c r="E1783" s="2" t="n">
        <f aca="false">D1783/1000</f>
        <v>176.133</v>
      </c>
      <c r="F1783" s="10" t="b">
        <f aca="false">FALSE()</f>
        <v>0</v>
      </c>
      <c r="G1783" s="0" t="n">
        <v>21</v>
      </c>
      <c r="H1783" s="0" t="n">
        <f aca="false">_xlfn.xlookup(G1783, years!A$2:A$836, years!B$2:B$836)</f>
        <v>2018</v>
      </c>
      <c r="I1783" s="2" t="n">
        <v>72</v>
      </c>
      <c r="J1783" s="0" t="n">
        <v>0.754</v>
      </c>
      <c r="K1783" s="0" t="n">
        <v>0.805</v>
      </c>
      <c r="L1783" s="3" t="str">
        <f aca="false">IF(K1783&gt;0.66,"High",IF(K1783&gt;0.33&amp;K1783&lt;=0.66,"Medium","Low"))</f>
        <v>High</v>
      </c>
      <c r="M1783" s="0" t="n">
        <v>-4.249</v>
      </c>
      <c r="N1783" s="3" t="n">
        <v>0.0752</v>
      </c>
      <c r="O1783" s="3" t="n">
        <v>0.315</v>
      </c>
      <c r="P1783" s="4" t="n">
        <v>0</v>
      </c>
      <c r="Q1783" s="3" t="n">
        <v>0.203</v>
      </c>
      <c r="R1783" s="3" t="n">
        <v>0.555</v>
      </c>
      <c r="S1783" s="3" t="str">
        <f aca="false">IF(R1783 &gt;= 0.5, "Positive", "Negative")</f>
        <v>Positive</v>
      </c>
      <c r="T1783" s="2" t="n">
        <v>93.982</v>
      </c>
      <c r="U1783" s="0" t="s">
        <v>312</v>
      </c>
    </row>
    <row r="1784" customFormat="false" ht="14.25" hidden="false" customHeight="false" outlineLevel="0" collapsed="false">
      <c r="A1784" s="0" t="n">
        <v>359</v>
      </c>
      <c r="B1784" s="0" t="str">
        <f aca="false">_xlfn.xlookup(A1784, artists!A$2:A$836, artists!B$2:B$836)</f>
        <v>Mark Ronson</v>
      </c>
      <c r="C1784" s="1" t="s">
        <v>1805</v>
      </c>
      <c r="D1784" s="2" t="n">
        <v>219413</v>
      </c>
      <c r="E1784" s="2" t="n">
        <f aca="false">D1784/1000</f>
        <v>219.413</v>
      </c>
      <c r="F1784" s="10" t="b">
        <f aca="false">FALSE()</f>
        <v>0</v>
      </c>
      <c r="G1784" s="0" t="n">
        <v>10</v>
      </c>
      <c r="H1784" s="0" t="n">
        <f aca="false">_xlfn.xlookup(G1784, years!A$2:A$836, years!B$2:B$836)</f>
        <v>2007</v>
      </c>
      <c r="I1784" s="2" t="n">
        <v>0</v>
      </c>
      <c r="J1784" s="0" t="n">
        <v>0.698</v>
      </c>
      <c r="K1784" s="0" t="n">
        <v>0.844</v>
      </c>
      <c r="L1784" s="3" t="str">
        <f aca="false">IF(K1784&gt;0.66,"High",IF(K1784&gt;0.33&amp;K1784&lt;=0.66,"Medium","Low"))</f>
        <v>High</v>
      </c>
      <c r="M1784" s="0" t="n">
        <v>-4.789</v>
      </c>
      <c r="N1784" s="3" t="n">
        <v>0.0544</v>
      </c>
      <c r="O1784" s="3" t="n">
        <v>0.00253</v>
      </c>
      <c r="P1784" s="4" t="n">
        <v>0.000426</v>
      </c>
      <c r="Q1784" s="3" t="n">
        <v>0.124</v>
      </c>
      <c r="R1784" s="3" t="n">
        <v>0.896</v>
      </c>
      <c r="S1784" s="3" t="str">
        <f aca="false">IF(R1784 &gt;= 0.5, "Positive", "Negative")</f>
        <v>Positive</v>
      </c>
      <c r="T1784" s="2" t="n">
        <v>105.828</v>
      </c>
      <c r="U1784" s="0" t="s">
        <v>39</v>
      </c>
    </row>
    <row r="1785" customFormat="false" ht="14.25" hidden="false" customHeight="false" outlineLevel="0" collapsed="false">
      <c r="A1785" s="0" t="n">
        <v>264</v>
      </c>
      <c r="B1785" s="0" t="str">
        <f aca="false">_xlfn.xlookup(A1785, artists!A$2:A$836, artists!B$2:B$836)</f>
        <v>U2</v>
      </c>
      <c r="C1785" s="1" t="s">
        <v>1806</v>
      </c>
      <c r="D1785" s="2" t="n">
        <v>193520</v>
      </c>
      <c r="E1785" s="2" t="n">
        <f aca="false">D1785/1000</f>
        <v>193.52</v>
      </c>
      <c r="F1785" s="10" t="b">
        <f aca="false">FALSE()</f>
        <v>0</v>
      </c>
      <c r="G1785" s="0" t="n">
        <v>7</v>
      </c>
      <c r="H1785" s="0" t="n">
        <f aca="false">_xlfn.xlookup(G1785, years!A$2:A$836, years!B$2:B$836)</f>
        <v>2004</v>
      </c>
      <c r="I1785" s="2" t="n">
        <v>64</v>
      </c>
      <c r="J1785" s="0" t="n">
        <v>0.416</v>
      </c>
      <c r="K1785" s="0" t="n">
        <v>0.819</v>
      </c>
      <c r="L1785" s="3" t="str">
        <f aca="false">IF(K1785&gt;0.66,"High",IF(K1785&gt;0.33&amp;K1785&lt;=0.66,"Medium","Low"))</f>
        <v>High</v>
      </c>
      <c r="M1785" s="0" t="n">
        <v>-3.974</v>
      </c>
      <c r="N1785" s="3" t="n">
        <v>0.0613</v>
      </c>
      <c r="O1785" s="3" t="n">
        <v>0.000138</v>
      </c>
      <c r="P1785" s="4" t="n">
        <v>0.00108</v>
      </c>
      <c r="Q1785" s="3" t="n">
        <v>0.147</v>
      </c>
      <c r="R1785" s="3" t="n">
        <v>0.632</v>
      </c>
      <c r="S1785" s="3" t="str">
        <f aca="false">IF(R1785 &gt;= 0.5, "Positive", "Negative")</f>
        <v>Positive</v>
      </c>
      <c r="T1785" s="2" t="n">
        <v>140.083</v>
      </c>
      <c r="U1785" s="0" t="s">
        <v>1539</v>
      </c>
    </row>
    <row r="1786" customFormat="false" ht="14.25" hidden="false" customHeight="false" outlineLevel="0" collapsed="false">
      <c r="A1786" s="0" t="n">
        <v>180</v>
      </c>
      <c r="B1786" s="0" t="str">
        <f aca="false">_xlfn.xlookup(A1786, artists!A$2:A$836, artists!B$2:B$836)</f>
        <v>Coldplay</v>
      </c>
      <c r="C1786" s="1" t="s">
        <v>1807</v>
      </c>
      <c r="D1786" s="2" t="n">
        <v>222653</v>
      </c>
      <c r="E1786" s="2" t="n">
        <f aca="false">D1786/1000</f>
        <v>222.653</v>
      </c>
      <c r="F1786" s="10" t="b">
        <f aca="false">FALSE()</f>
        <v>0</v>
      </c>
      <c r="G1786" s="0" t="n">
        <v>11</v>
      </c>
      <c r="H1786" s="0" t="n">
        <f aca="false">_xlfn.xlookup(G1786, years!A$2:A$836, years!B$2:B$836)</f>
        <v>2008</v>
      </c>
      <c r="I1786" s="2" t="n">
        <v>63</v>
      </c>
      <c r="J1786" s="0" t="n">
        <v>0.33</v>
      </c>
      <c r="K1786" s="0" t="n">
        <v>0.58</v>
      </c>
      <c r="L1786" s="3" t="str">
        <f aca="false">IF(K1786&gt;0.66,"High",IF(K1786&gt;0.33&amp;K1786&lt;=0.66,"Medium","Low"))</f>
        <v>Low</v>
      </c>
      <c r="M1786" s="0" t="n">
        <v>-7.875</v>
      </c>
      <c r="N1786" s="3" t="n">
        <v>0.0374</v>
      </c>
      <c r="O1786" s="3" t="n">
        <v>0.0614</v>
      </c>
      <c r="P1786" s="4" t="n">
        <v>0.00129</v>
      </c>
      <c r="Q1786" s="3" t="n">
        <v>0.115</v>
      </c>
      <c r="R1786" s="3" t="n">
        <v>0.11</v>
      </c>
      <c r="S1786" s="3" t="str">
        <f aca="false">IF(R1786 &gt;= 0.5, "Positive", "Negative")</f>
        <v>Negative</v>
      </c>
      <c r="T1786" s="2" t="n">
        <v>76.093</v>
      </c>
      <c r="U1786" s="0" t="s">
        <v>35</v>
      </c>
    </row>
    <row r="1787" customFormat="false" ht="14.25" hidden="false" customHeight="false" outlineLevel="0" collapsed="false">
      <c r="A1787" s="0" t="n">
        <v>180</v>
      </c>
      <c r="B1787" s="0" t="str">
        <f aca="false">_xlfn.xlookup(A1787, artists!A$2:A$836, artists!B$2:B$836)</f>
        <v>Coldplay</v>
      </c>
      <c r="C1787" s="1" t="s">
        <v>1808</v>
      </c>
      <c r="D1787" s="2" t="n">
        <v>242373</v>
      </c>
      <c r="E1787" s="2" t="n">
        <f aca="false">D1787/1000</f>
        <v>242.373</v>
      </c>
      <c r="F1787" s="10" t="b">
        <f aca="false">FALSE()</f>
        <v>0</v>
      </c>
      <c r="G1787" s="0" t="n">
        <v>11</v>
      </c>
      <c r="H1787" s="0" t="n">
        <f aca="false">_xlfn.xlookup(G1787, years!A$2:A$836, years!B$2:B$836)</f>
        <v>2008</v>
      </c>
      <c r="I1787" s="2" t="n">
        <v>80</v>
      </c>
      <c r="J1787" s="0" t="n">
        <v>0.486</v>
      </c>
      <c r="K1787" s="0" t="n">
        <v>0.617</v>
      </c>
      <c r="L1787" s="3" t="str">
        <f aca="false">IF(K1787&gt;0.66,"High",IF(K1787&gt;0.33&amp;K1787&lt;=0.66,"Medium","Low"))</f>
        <v>Low</v>
      </c>
      <c r="M1787" s="0" t="n">
        <v>-7.115</v>
      </c>
      <c r="N1787" s="3" t="n">
        <v>0.0287</v>
      </c>
      <c r="O1787" s="3" t="n">
        <v>0.0954</v>
      </c>
      <c r="P1787" s="4" t="n">
        <v>3.23E-006</v>
      </c>
      <c r="Q1787" s="3" t="n">
        <v>0.109</v>
      </c>
      <c r="R1787" s="3" t="n">
        <v>0.417</v>
      </c>
      <c r="S1787" s="3" t="str">
        <f aca="false">IF(R1787 &gt;= 0.5, "Positive", "Negative")</f>
        <v>Negative</v>
      </c>
      <c r="T1787" s="2" t="n">
        <v>138.015</v>
      </c>
      <c r="U1787" s="0" t="s">
        <v>35</v>
      </c>
    </row>
    <row r="1788" customFormat="false" ht="14.25" hidden="false" customHeight="false" outlineLevel="0" collapsed="false">
      <c r="A1788" s="0" t="n">
        <v>817</v>
      </c>
      <c r="B1788" s="0" t="str">
        <f aca="false">_xlfn.xlookup(A1788, artists!A$2:A$836, artists!B$2:B$836)</f>
        <v>Stormzy</v>
      </c>
      <c r="C1788" s="1" t="s">
        <v>1809</v>
      </c>
      <c r="D1788" s="2" t="n">
        <v>196266</v>
      </c>
      <c r="E1788" s="2" t="n">
        <f aca="false">D1788/1000</f>
        <v>196.266</v>
      </c>
      <c r="F1788" s="10" t="b">
        <f aca="false">TRUE()</f>
        <v>1</v>
      </c>
      <c r="G1788" s="0" t="n">
        <v>22</v>
      </c>
      <c r="H1788" s="0" t="n">
        <f aca="false">_xlfn.xlookup(G1788, years!A$2:A$836, years!B$2:B$836)</f>
        <v>2019</v>
      </c>
      <c r="I1788" s="2" t="n">
        <v>64</v>
      </c>
      <c r="J1788" s="0" t="n">
        <v>0.682</v>
      </c>
      <c r="K1788" s="0" t="n">
        <v>0.653</v>
      </c>
      <c r="L1788" s="3" t="str">
        <f aca="false">IF(K1788&gt;0.66,"High",IF(K1788&gt;0.33&amp;K1788&lt;=0.66,"Medium","Low"))</f>
        <v>Low</v>
      </c>
      <c r="M1788" s="0" t="n">
        <v>-6.062</v>
      </c>
      <c r="N1788" s="3" t="n">
        <v>0.339</v>
      </c>
      <c r="O1788" s="3" t="n">
        <v>0.13</v>
      </c>
      <c r="P1788" s="4" t="n">
        <v>0.00116</v>
      </c>
      <c r="Q1788" s="3" t="n">
        <v>0.129</v>
      </c>
      <c r="R1788" s="3" t="n">
        <v>0.428</v>
      </c>
      <c r="S1788" s="3" t="str">
        <f aca="false">IF(R1788 &gt;= 0.5, "Positive", "Negative")</f>
        <v>Negative</v>
      </c>
      <c r="T1788" s="2" t="n">
        <v>188.115</v>
      </c>
      <c r="U1788" s="0" t="s">
        <v>143</v>
      </c>
    </row>
    <row r="1789" customFormat="false" ht="14.25" hidden="false" customHeight="false" outlineLevel="0" collapsed="false">
      <c r="A1789" s="0" t="n">
        <v>256</v>
      </c>
      <c r="B1789" s="0" t="str">
        <f aca="false">_xlfn.xlookup(A1789, artists!A$2:A$836, artists!B$2:B$836)</f>
        <v>Ying Yang Twins</v>
      </c>
      <c r="C1789" s="1" t="s">
        <v>1810</v>
      </c>
      <c r="D1789" s="2" t="n">
        <v>179160</v>
      </c>
      <c r="E1789" s="2" t="n">
        <f aca="false">D1789/1000</f>
        <v>179.16</v>
      </c>
      <c r="F1789" s="10" t="b">
        <f aca="false">TRUE()</f>
        <v>1</v>
      </c>
      <c r="G1789" s="0" t="n">
        <v>8</v>
      </c>
      <c r="H1789" s="0" t="n">
        <f aca="false">_xlfn.xlookup(G1789, years!A$2:A$836, years!B$2:B$836)</f>
        <v>2005</v>
      </c>
      <c r="I1789" s="2" t="n">
        <v>57</v>
      </c>
      <c r="J1789" s="0" t="n">
        <v>0.933</v>
      </c>
      <c r="K1789" s="0" t="n">
        <v>0.513</v>
      </c>
      <c r="L1789" s="3" t="str">
        <f aca="false">IF(K1789&gt;0.66,"High",IF(K1789&gt;0.33&amp;K1789&lt;=0.66,"Medium","Low"))</f>
        <v>Low</v>
      </c>
      <c r="M1789" s="0" t="n">
        <v>-13.203</v>
      </c>
      <c r="N1789" s="3" t="n">
        <v>0.347</v>
      </c>
      <c r="O1789" s="3" t="n">
        <v>0.00112</v>
      </c>
      <c r="P1789" s="4" t="n">
        <v>0.00248</v>
      </c>
      <c r="Q1789" s="3" t="n">
        <v>0.107</v>
      </c>
      <c r="R1789" s="3" t="n">
        <v>0.595</v>
      </c>
      <c r="S1789" s="3" t="str">
        <f aca="false">IF(R1789 &gt;= 0.5, "Positive", "Negative")</f>
        <v>Positive</v>
      </c>
      <c r="T1789" s="2" t="n">
        <v>102.017</v>
      </c>
      <c r="U1789" s="0" t="s">
        <v>24</v>
      </c>
    </row>
    <row r="1790" customFormat="false" ht="14.25" hidden="false" customHeight="false" outlineLevel="0" collapsed="false">
      <c r="A1790" s="0" t="n">
        <v>686</v>
      </c>
      <c r="B1790" s="0" t="str">
        <f aca="false">_xlfn.xlookup(A1790, artists!A$2:A$836, artists!B$2:B$836)</f>
        <v>WILLOW</v>
      </c>
      <c r="C1790" s="1" t="s">
        <v>1811</v>
      </c>
      <c r="D1790" s="2" t="n">
        <v>196520</v>
      </c>
      <c r="E1790" s="2" t="n">
        <f aca="false">D1790/1000</f>
        <v>196.52</v>
      </c>
      <c r="F1790" s="10" t="b">
        <f aca="false">FALSE()</f>
        <v>0</v>
      </c>
      <c r="G1790" s="0" t="n">
        <v>18</v>
      </c>
      <c r="H1790" s="0" t="n">
        <f aca="false">_xlfn.xlookup(G1790, years!A$2:A$836, years!B$2:B$836)</f>
        <v>2015</v>
      </c>
      <c r="I1790" s="2" t="n">
        <v>86</v>
      </c>
      <c r="J1790" s="0" t="n">
        <v>0.764</v>
      </c>
      <c r="K1790" s="0" t="n">
        <v>0.705</v>
      </c>
      <c r="L1790" s="3" t="str">
        <f aca="false">IF(K1790&gt;0.66,"High",IF(K1790&gt;0.33&amp;K1790&lt;=0.66,"Medium","Low"))</f>
        <v>High</v>
      </c>
      <c r="M1790" s="0" t="n">
        <v>-5.279</v>
      </c>
      <c r="N1790" s="3" t="n">
        <v>0.0278</v>
      </c>
      <c r="O1790" s="3" t="n">
        <v>0.0371</v>
      </c>
      <c r="P1790" s="4" t="n">
        <v>1.94E-005</v>
      </c>
      <c r="Q1790" s="3" t="n">
        <v>0.0943</v>
      </c>
      <c r="R1790" s="3" t="n">
        <v>0.672</v>
      </c>
      <c r="S1790" s="3" t="str">
        <f aca="false">IF(R1790 &gt;= 0.5, "Positive", "Negative")</f>
        <v>Positive</v>
      </c>
      <c r="T1790" s="2" t="n">
        <v>101.003</v>
      </c>
      <c r="U1790" s="0" t="s">
        <v>266</v>
      </c>
    </row>
    <row r="1791" customFormat="false" ht="14.25" hidden="false" customHeight="false" outlineLevel="0" collapsed="false">
      <c r="A1791" s="0" t="n">
        <v>393</v>
      </c>
      <c r="B1791" s="0" t="str">
        <f aca="false">_xlfn.xlookup(A1791, artists!A$2:A$836, artists!B$2:B$836)</f>
        <v>Elliott Yamin</v>
      </c>
      <c r="C1791" s="1" t="s">
        <v>1812</v>
      </c>
      <c r="D1791" s="2" t="n">
        <v>261320</v>
      </c>
      <c r="E1791" s="2" t="n">
        <f aca="false">D1791/1000</f>
        <v>261.32</v>
      </c>
      <c r="F1791" s="10" t="b">
        <f aca="false">FALSE()</f>
        <v>0</v>
      </c>
      <c r="G1791" s="0" t="n">
        <v>10</v>
      </c>
      <c r="H1791" s="0" t="n">
        <f aca="false">_xlfn.xlookup(G1791, years!A$2:A$836, years!B$2:B$836)</f>
        <v>2007</v>
      </c>
      <c r="I1791" s="2" t="n">
        <v>58</v>
      </c>
      <c r="J1791" s="0" t="n">
        <v>0.764</v>
      </c>
      <c r="K1791" s="0" t="n">
        <v>0.487</v>
      </c>
      <c r="L1791" s="3" t="str">
        <f aca="false">IF(K1791&gt;0.66,"High",IF(K1791&gt;0.33&amp;K1791&lt;=0.66,"Medium","Low"))</f>
        <v>Low</v>
      </c>
      <c r="M1791" s="0" t="n">
        <v>-6.734</v>
      </c>
      <c r="N1791" s="3" t="n">
        <v>0.0281</v>
      </c>
      <c r="O1791" s="3" t="n">
        <v>0.25</v>
      </c>
      <c r="P1791" s="4" t="n">
        <v>0</v>
      </c>
      <c r="Q1791" s="3" t="n">
        <v>0.184</v>
      </c>
      <c r="R1791" s="3" t="n">
        <v>0.352</v>
      </c>
      <c r="S1791" s="3" t="str">
        <f aca="false">IF(R1791 &gt;= 0.5, "Positive", "Negative")</f>
        <v>Negative</v>
      </c>
      <c r="T1791" s="2" t="n">
        <v>116.027</v>
      </c>
      <c r="U1791" s="0" t="s">
        <v>118</v>
      </c>
    </row>
    <row r="1792" customFormat="false" ht="14.25" hidden="false" customHeight="false" outlineLevel="0" collapsed="false">
      <c r="A1792" s="0" t="n">
        <v>565</v>
      </c>
      <c r="B1792" s="0" t="str">
        <f aca="false">_xlfn.xlookup(A1792, artists!A$2:A$836, artists!B$2:B$836)</f>
        <v>Rudimental</v>
      </c>
      <c r="C1792" s="1" t="s">
        <v>1813</v>
      </c>
      <c r="D1792" s="2" t="n">
        <v>292586</v>
      </c>
      <c r="E1792" s="2" t="n">
        <f aca="false">D1792/1000</f>
        <v>292.586</v>
      </c>
      <c r="F1792" s="10" t="b">
        <f aca="false">FALSE()</f>
        <v>0</v>
      </c>
      <c r="G1792" s="0" t="n">
        <v>16</v>
      </c>
      <c r="H1792" s="0" t="n">
        <f aca="false">_xlfn.xlookup(G1792, years!A$2:A$836, years!B$2:B$836)</f>
        <v>2013</v>
      </c>
      <c r="I1792" s="2" t="n">
        <v>66</v>
      </c>
      <c r="J1792" s="0" t="n">
        <v>0.544</v>
      </c>
      <c r="K1792" s="0" t="n">
        <v>0.728</v>
      </c>
      <c r="L1792" s="3" t="str">
        <f aca="false">IF(K1792&gt;0.66,"High",IF(K1792&gt;0.33&amp;K1792&lt;=0.66,"Medium","Low"))</f>
        <v>High</v>
      </c>
      <c r="M1792" s="0" t="n">
        <v>-5.358</v>
      </c>
      <c r="N1792" s="3" t="n">
        <v>0.05</v>
      </c>
      <c r="O1792" s="3" t="n">
        <v>0.00264</v>
      </c>
      <c r="P1792" s="4" t="n">
        <v>0.00959</v>
      </c>
      <c r="Q1792" s="3" t="n">
        <v>0.427</v>
      </c>
      <c r="R1792" s="3" t="n">
        <v>0.281</v>
      </c>
      <c r="S1792" s="3" t="str">
        <f aca="false">IF(R1792 &gt;= 0.5, "Positive", "Negative")</f>
        <v>Negative</v>
      </c>
      <c r="T1792" s="2" t="n">
        <v>174.983</v>
      </c>
      <c r="U1792" s="0" t="s">
        <v>22</v>
      </c>
    </row>
    <row r="1793" customFormat="false" ht="14.25" hidden="false" customHeight="false" outlineLevel="0" collapsed="false">
      <c r="A1793" s="0" t="n">
        <v>682</v>
      </c>
      <c r="B1793" s="0" t="str">
        <f aca="false">_xlfn.xlookup(A1793, artists!A$2:A$836, artists!B$2:B$836)</f>
        <v>Sigala</v>
      </c>
      <c r="C1793" s="1" t="s">
        <v>1814</v>
      </c>
      <c r="D1793" s="2" t="n">
        <v>229813</v>
      </c>
      <c r="E1793" s="2" t="n">
        <f aca="false">D1793/1000</f>
        <v>229.813</v>
      </c>
      <c r="F1793" s="10" t="b">
        <f aca="false">FALSE()</f>
        <v>0</v>
      </c>
      <c r="G1793" s="0" t="n">
        <v>21</v>
      </c>
      <c r="H1793" s="0" t="n">
        <f aca="false">_xlfn.xlookup(G1793, years!A$2:A$836, years!B$2:B$836)</f>
        <v>2018</v>
      </c>
      <c r="I1793" s="2" t="n">
        <v>66</v>
      </c>
      <c r="J1793" s="0" t="n">
        <v>0.68</v>
      </c>
      <c r="K1793" s="0" t="n">
        <v>0.942</v>
      </c>
      <c r="L1793" s="3" t="str">
        <f aca="false">IF(K1793&gt;0.66,"High",IF(K1793&gt;0.33&amp;K1793&lt;=0.66,"Medium","Low"))</f>
        <v>High</v>
      </c>
      <c r="M1793" s="0" t="n">
        <v>-4.208</v>
      </c>
      <c r="N1793" s="3" t="n">
        <v>0.0631</v>
      </c>
      <c r="O1793" s="3" t="n">
        <v>0.175</v>
      </c>
      <c r="P1793" s="4" t="n">
        <v>0.0013</v>
      </c>
      <c r="Q1793" s="3" t="n">
        <v>0.117</v>
      </c>
      <c r="R1793" s="3" t="n">
        <v>0.647</v>
      </c>
      <c r="S1793" s="3" t="str">
        <f aca="false">IF(R1793 &gt;= 0.5, "Positive", "Negative")</f>
        <v>Positive</v>
      </c>
      <c r="T1793" s="2" t="n">
        <v>123.976</v>
      </c>
      <c r="U1793" s="0" t="s">
        <v>22</v>
      </c>
    </row>
    <row r="1794" customFormat="false" ht="14.25" hidden="false" customHeight="false" outlineLevel="0" collapsed="false">
      <c r="A1794" s="0" t="n">
        <v>542</v>
      </c>
      <c r="B1794" s="0" t="str">
        <f aca="false">_xlfn.xlookup(A1794, artists!A$2:A$836, artists!B$2:B$836)</f>
        <v>Avicii</v>
      </c>
      <c r="C1794" s="1" t="s">
        <v>1815</v>
      </c>
      <c r="D1794" s="2" t="n">
        <v>247426</v>
      </c>
      <c r="E1794" s="2" t="n">
        <f aca="false">D1794/1000</f>
        <v>247.426</v>
      </c>
      <c r="F1794" s="10" t="b">
        <f aca="false">FALSE()</f>
        <v>0</v>
      </c>
      <c r="G1794" s="0" t="n">
        <v>16</v>
      </c>
      <c r="H1794" s="0" t="n">
        <f aca="false">_xlfn.xlookup(G1794, years!A$2:A$836, years!B$2:B$836)</f>
        <v>2013</v>
      </c>
      <c r="I1794" s="2" t="n">
        <v>6</v>
      </c>
      <c r="J1794" s="0" t="n">
        <v>0.532</v>
      </c>
      <c r="K1794" s="0" t="n">
        <v>0.783</v>
      </c>
      <c r="L1794" s="3" t="str">
        <f aca="false">IF(K1794&gt;0.66,"High",IF(K1794&gt;0.33&amp;K1794&lt;=0.66,"Medium","Low"))</f>
        <v>High</v>
      </c>
      <c r="M1794" s="0" t="n">
        <v>-5.697</v>
      </c>
      <c r="N1794" s="3" t="n">
        <v>0.0523</v>
      </c>
      <c r="O1794" s="3" t="n">
        <v>0.0038</v>
      </c>
      <c r="P1794" s="4" t="n">
        <v>0.0012</v>
      </c>
      <c r="Q1794" s="3" t="n">
        <v>0.161</v>
      </c>
      <c r="R1794" s="3" t="n">
        <v>0.643</v>
      </c>
      <c r="S1794" s="3" t="str">
        <f aca="false">IF(R1794 &gt;= 0.5, "Positive", "Negative")</f>
        <v>Positive</v>
      </c>
      <c r="T1794" s="2" t="n">
        <v>124.08</v>
      </c>
      <c r="U1794" s="0" t="s">
        <v>22</v>
      </c>
    </row>
    <row r="1795" customFormat="false" ht="14.25" hidden="false" customHeight="false" outlineLevel="0" collapsed="false">
      <c r="A1795" s="0" t="n">
        <v>398</v>
      </c>
      <c r="B1795" s="0" t="str">
        <f aca="false">_xlfn.xlookup(A1795, artists!A$2:A$836, artists!B$2:B$836)</f>
        <v>Katy Perry</v>
      </c>
      <c r="C1795" s="1" t="s">
        <v>1816</v>
      </c>
      <c r="D1795" s="2" t="n">
        <v>199186</v>
      </c>
      <c r="E1795" s="2" t="n">
        <f aca="false">D1795/1000</f>
        <v>199.186</v>
      </c>
      <c r="F1795" s="10" t="b">
        <f aca="false">FALSE()</f>
        <v>0</v>
      </c>
      <c r="G1795" s="0" t="n">
        <v>11</v>
      </c>
      <c r="H1795" s="0" t="n">
        <f aca="false">_xlfn.xlookup(G1795, years!A$2:A$836, years!B$2:B$836)</f>
        <v>2008</v>
      </c>
      <c r="I1795" s="2" t="n">
        <v>49</v>
      </c>
      <c r="J1795" s="0" t="n">
        <v>0.524</v>
      </c>
      <c r="K1795" s="0" t="n">
        <v>0.878</v>
      </c>
      <c r="L1795" s="3" t="str">
        <f aca="false">IF(K1795&gt;0.66,"High",IF(K1795&gt;0.33&amp;K1795&lt;=0.66,"Medium","Low"))</f>
        <v>High</v>
      </c>
      <c r="M1795" s="0" t="n">
        <v>-3.108</v>
      </c>
      <c r="N1795" s="3" t="n">
        <v>0.0346</v>
      </c>
      <c r="O1795" s="3" t="n">
        <v>0.0012</v>
      </c>
      <c r="P1795" s="4" t="n">
        <v>0</v>
      </c>
      <c r="Q1795" s="3" t="n">
        <v>0.098</v>
      </c>
      <c r="R1795" s="3" t="n">
        <v>0.59</v>
      </c>
      <c r="S1795" s="3" t="str">
        <f aca="false">IF(R1795 &gt;= 0.5, "Positive", "Negative")</f>
        <v>Positive</v>
      </c>
      <c r="T1795" s="2" t="n">
        <v>130.989</v>
      </c>
      <c r="U1795" s="0" t="s">
        <v>39</v>
      </c>
    </row>
    <row r="1796" customFormat="false" ht="14.25" hidden="false" customHeight="false" outlineLevel="0" collapsed="false">
      <c r="A1796" s="0" t="n">
        <v>374</v>
      </c>
      <c r="B1796" s="0" t="str">
        <f aca="false">_xlfn.xlookup(A1796, artists!A$2:A$836, artists!B$2:B$836)</f>
        <v>Unk</v>
      </c>
      <c r="C1796" s="1" t="s">
        <v>1817</v>
      </c>
      <c r="D1796" s="2" t="n">
        <v>173040</v>
      </c>
      <c r="E1796" s="2" t="n">
        <f aca="false">D1796/1000</f>
        <v>173.04</v>
      </c>
      <c r="F1796" s="10" t="b">
        <f aca="false">TRUE()</f>
        <v>1</v>
      </c>
      <c r="G1796" s="0" t="n">
        <v>16</v>
      </c>
      <c r="H1796" s="0" t="n">
        <f aca="false">_xlfn.xlookup(G1796, years!A$2:A$836, years!B$2:B$836)</f>
        <v>2013</v>
      </c>
      <c r="I1796" s="2" t="n">
        <v>48</v>
      </c>
      <c r="J1796" s="0" t="n">
        <v>0.794</v>
      </c>
      <c r="K1796" s="0" t="n">
        <v>0.777</v>
      </c>
      <c r="L1796" s="3" t="str">
        <f aca="false">IF(K1796&gt;0.66,"High",IF(K1796&gt;0.33&amp;K1796&lt;=0.66,"Medium","Low"))</f>
        <v>High</v>
      </c>
      <c r="M1796" s="0" t="n">
        <v>-3.696</v>
      </c>
      <c r="N1796" s="3" t="n">
        <v>0.0813</v>
      </c>
      <c r="O1796" s="3" t="n">
        <v>0.0982</v>
      </c>
      <c r="P1796" s="4" t="n">
        <v>0</v>
      </c>
      <c r="Q1796" s="3" t="n">
        <v>0.202</v>
      </c>
      <c r="R1796" s="3" t="n">
        <v>0.706</v>
      </c>
      <c r="S1796" s="3" t="str">
        <f aca="false">IF(R1796 &gt;= 0.5, "Positive", "Negative")</f>
        <v>Positive</v>
      </c>
      <c r="T1796" s="2" t="n">
        <v>160.022</v>
      </c>
      <c r="U1796" s="0" t="s">
        <v>24</v>
      </c>
    </row>
    <row r="1797" customFormat="false" ht="14.25" hidden="false" customHeight="false" outlineLevel="0" collapsed="false">
      <c r="A1797" s="0" t="n">
        <v>741</v>
      </c>
      <c r="B1797" s="0" t="str">
        <f aca="false">_xlfn.xlookup(A1797, artists!A$2:A$836, artists!B$2:B$836)</f>
        <v>Migos</v>
      </c>
      <c r="C1797" s="1" t="s">
        <v>1818</v>
      </c>
      <c r="D1797" s="2" t="n">
        <v>276147</v>
      </c>
      <c r="E1797" s="2" t="n">
        <f aca="false">D1797/1000</f>
        <v>276.147</v>
      </c>
      <c r="F1797" s="10" t="b">
        <f aca="false">TRUE()</f>
        <v>1</v>
      </c>
      <c r="G1797" s="0" t="n">
        <v>21</v>
      </c>
      <c r="H1797" s="0" t="n">
        <f aca="false">_xlfn.xlookup(G1797, years!A$2:A$836, years!B$2:B$836)</f>
        <v>2018</v>
      </c>
      <c r="I1797" s="2" t="n">
        <v>75</v>
      </c>
      <c r="J1797" s="0" t="n">
        <v>0.907</v>
      </c>
      <c r="K1797" s="0" t="n">
        <v>0.633</v>
      </c>
      <c r="L1797" s="3" t="str">
        <f aca="false">IF(K1797&gt;0.66,"High",IF(K1797&gt;0.33&amp;K1797&lt;=0.66,"Medium","Low"))</f>
        <v>Low</v>
      </c>
      <c r="M1797" s="0" t="n">
        <v>-5.145</v>
      </c>
      <c r="N1797" s="3" t="n">
        <v>0.184</v>
      </c>
      <c r="O1797" s="3" t="n">
        <v>0.0876</v>
      </c>
      <c r="P1797" s="4" t="n">
        <v>2.6E-006</v>
      </c>
      <c r="Q1797" s="3" t="n">
        <v>0.106</v>
      </c>
      <c r="R1797" s="3" t="n">
        <v>0.395</v>
      </c>
      <c r="S1797" s="3" t="str">
        <f aca="false">IF(R1797 &gt;= 0.5, "Positive", "Negative")</f>
        <v>Negative</v>
      </c>
      <c r="T1797" s="2" t="n">
        <v>145.914</v>
      </c>
      <c r="U1797" s="0" t="s">
        <v>24</v>
      </c>
    </row>
    <row r="1798" customFormat="false" ht="14.25" hidden="false" customHeight="false" outlineLevel="0" collapsed="false">
      <c r="A1798" s="0" t="n">
        <v>459</v>
      </c>
      <c r="B1798" s="0" t="str">
        <f aca="false">_xlfn.xlookup(A1798, artists!A$2:A$836, artists!B$2:B$836)</f>
        <v>Empire of the Sun</v>
      </c>
      <c r="C1798" s="1" t="s">
        <v>1819</v>
      </c>
      <c r="D1798" s="2" t="n">
        <v>198440</v>
      </c>
      <c r="E1798" s="2" t="n">
        <f aca="false">D1798/1000</f>
        <v>198.44</v>
      </c>
      <c r="F1798" s="10" t="b">
        <f aca="false">FALSE()</f>
        <v>0</v>
      </c>
      <c r="G1798" s="0" t="n">
        <v>11</v>
      </c>
      <c r="H1798" s="0" t="n">
        <f aca="false">_xlfn.xlookup(G1798, years!A$2:A$836, years!B$2:B$836)</f>
        <v>2008</v>
      </c>
      <c r="I1798" s="2" t="n">
        <v>77</v>
      </c>
      <c r="J1798" s="0" t="n">
        <v>0.871</v>
      </c>
      <c r="K1798" s="0" t="n">
        <v>0.701</v>
      </c>
      <c r="L1798" s="3" t="str">
        <f aca="false">IF(K1798&gt;0.66,"High",IF(K1798&gt;0.33&amp;K1798&lt;=0.66,"Medium","Low"))</f>
        <v>High</v>
      </c>
      <c r="M1798" s="0" t="n">
        <v>-5.594</v>
      </c>
      <c r="N1798" s="3" t="n">
        <v>0.0458</v>
      </c>
      <c r="O1798" s="3" t="n">
        <v>0.257</v>
      </c>
      <c r="P1798" s="4" t="n">
        <v>7.52E-006</v>
      </c>
      <c r="Q1798" s="3" t="n">
        <v>0.0589</v>
      </c>
      <c r="R1798" s="3" t="n">
        <v>0.716</v>
      </c>
      <c r="S1798" s="3" t="str">
        <f aca="false">IF(R1798 &gt;= 0.5, "Positive", "Negative")</f>
        <v>Positive</v>
      </c>
      <c r="T1798" s="2" t="n">
        <v>126.975</v>
      </c>
      <c r="U1798" s="0" t="s">
        <v>632</v>
      </c>
    </row>
    <row r="1799" customFormat="false" ht="14.25" hidden="false" customHeight="false" outlineLevel="0" collapsed="false">
      <c r="A1799" s="0" t="n">
        <v>191</v>
      </c>
      <c r="B1799" s="0" t="str">
        <f aca="false">_xlfn.xlookup(A1799, artists!A$2:A$836, artists!B$2:B$836)</f>
        <v>50 Cent</v>
      </c>
      <c r="C1799" s="1" t="s">
        <v>1820</v>
      </c>
      <c r="D1799" s="2" t="n">
        <v>219400</v>
      </c>
      <c r="E1799" s="2" t="n">
        <f aca="false">D1799/1000</f>
        <v>219.4</v>
      </c>
      <c r="F1799" s="10" t="b">
        <f aca="false">TRUE()</f>
        <v>1</v>
      </c>
      <c r="G1799" s="0" t="n">
        <v>6</v>
      </c>
      <c r="H1799" s="0" t="n">
        <f aca="false">_xlfn.xlookup(G1799, years!A$2:A$836, years!B$2:B$836)</f>
        <v>2003</v>
      </c>
      <c r="I1799" s="2" t="n">
        <v>57</v>
      </c>
      <c r="J1799" s="0" t="n">
        <v>0.802</v>
      </c>
      <c r="K1799" s="0" t="n">
        <v>0.863</v>
      </c>
      <c r="L1799" s="3" t="str">
        <f aca="false">IF(K1799&gt;0.66,"High",IF(K1799&gt;0.33&amp;K1799&lt;=0.66,"Medium","Low"))</f>
        <v>High</v>
      </c>
      <c r="M1799" s="0" t="n">
        <v>-3.552</v>
      </c>
      <c r="N1799" s="3" t="n">
        <v>0.2</v>
      </c>
      <c r="O1799" s="3" t="n">
        <v>0.0199</v>
      </c>
      <c r="P1799" s="4" t="n">
        <v>0</v>
      </c>
      <c r="Q1799" s="3" t="n">
        <v>0.141</v>
      </c>
      <c r="R1799" s="3" t="n">
        <v>0.873</v>
      </c>
      <c r="S1799" s="3" t="str">
        <f aca="false">IF(R1799 &gt;= 0.5, "Positive", "Negative")</f>
        <v>Positive</v>
      </c>
      <c r="T1799" s="2" t="n">
        <v>81.008</v>
      </c>
      <c r="U1799" s="0" t="s">
        <v>24</v>
      </c>
    </row>
    <row r="1800" customFormat="false" ht="14.25" hidden="false" customHeight="false" outlineLevel="0" collapsed="false">
      <c r="A1800" s="0" t="n">
        <v>267</v>
      </c>
      <c r="B1800" s="0" t="str">
        <f aca="false">_xlfn.xlookup(A1800, artists!A$2:A$836, artists!B$2:B$836)</f>
        <v>G-Unit</v>
      </c>
      <c r="C1800" s="1" t="s">
        <v>1821</v>
      </c>
      <c r="D1800" s="2" t="n">
        <v>265026</v>
      </c>
      <c r="E1800" s="2" t="n">
        <f aca="false">D1800/1000</f>
        <v>265.026</v>
      </c>
      <c r="F1800" s="10" t="b">
        <f aca="false">TRUE()</f>
        <v>1</v>
      </c>
      <c r="G1800" s="0" t="n">
        <v>6</v>
      </c>
      <c r="H1800" s="0" t="n">
        <f aca="false">_xlfn.xlookup(G1800, years!A$2:A$836, years!B$2:B$836)</f>
        <v>2003</v>
      </c>
      <c r="I1800" s="2" t="n">
        <v>61</v>
      </c>
      <c r="J1800" s="0" t="n">
        <v>0.513</v>
      </c>
      <c r="K1800" s="0" t="n">
        <v>0.826</v>
      </c>
      <c r="L1800" s="3" t="str">
        <f aca="false">IF(K1800&gt;0.66,"High",IF(K1800&gt;0.33&amp;K1800&lt;=0.66,"Medium","Low"))</f>
        <v>High</v>
      </c>
      <c r="M1800" s="0" t="n">
        <v>-3.651</v>
      </c>
      <c r="N1800" s="3" t="n">
        <v>0.132</v>
      </c>
      <c r="O1800" s="3" t="n">
        <v>0.106</v>
      </c>
      <c r="P1800" s="4" t="n">
        <v>0</v>
      </c>
      <c r="Q1800" s="3" t="n">
        <v>0.0675</v>
      </c>
      <c r="R1800" s="3" t="n">
        <v>0.889</v>
      </c>
      <c r="S1800" s="3" t="str">
        <f aca="false">IF(R1800 &gt;= 0.5, "Positive", "Negative")</f>
        <v>Positive</v>
      </c>
      <c r="T1800" s="2" t="n">
        <v>76.91</v>
      </c>
      <c r="U1800" s="0" t="s">
        <v>24</v>
      </c>
    </row>
    <row r="1801" customFormat="false" ht="14.25" hidden="false" customHeight="false" outlineLevel="0" collapsed="false">
      <c r="A1801" s="0" t="n">
        <v>568</v>
      </c>
      <c r="B1801" s="0" t="str">
        <f aca="false">_xlfn.xlookup(A1801, artists!A$2:A$836, artists!B$2:B$836)</f>
        <v>Cher Lloyd</v>
      </c>
      <c r="C1801" s="1" t="s">
        <v>1822</v>
      </c>
      <c r="D1801" s="2" t="n">
        <v>214013</v>
      </c>
      <c r="E1801" s="2" t="n">
        <f aca="false">D1801/1000</f>
        <v>214.013</v>
      </c>
      <c r="F1801" s="10" t="b">
        <f aca="false">FALSE()</f>
        <v>0</v>
      </c>
      <c r="G1801" s="0" t="n">
        <v>14</v>
      </c>
      <c r="H1801" s="0" t="n">
        <f aca="false">_xlfn.xlookup(G1801, years!A$2:A$836, years!B$2:B$836)</f>
        <v>2011</v>
      </c>
      <c r="I1801" s="2" t="n">
        <v>67</v>
      </c>
      <c r="J1801" s="0" t="n">
        <v>0.696</v>
      </c>
      <c r="K1801" s="0" t="n">
        <v>0.893</v>
      </c>
      <c r="L1801" s="3" t="str">
        <f aca="false">IF(K1801&gt;0.66,"High",IF(K1801&gt;0.33&amp;K1801&lt;=0.66,"Medium","Low"))</f>
        <v>High</v>
      </c>
      <c r="M1801" s="0" t="n">
        <v>-2.963</v>
      </c>
      <c r="N1801" s="3" t="n">
        <v>0.076</v>
      </c>
      <c r="O1801" s="3" t="n">
        <v>0.0662</v>
      </c>
      <c r="P1801" s="4" t="n">
        <v>0</v>
      </c>
      <c r="Q1801" s="3" t="n">
        <v>0.473</v>
      </c>
      <c r="R1801" s="3" t="n">
        <v>0.573</v>
      </c>
      <c r="S1801" s="3" t="str">
        <f aca="false">IF(R1801 &gt;= 0.5, "Positive", "Negative")</f>
        <v>Positive</v>
      </c>
      <c r="T1801" s="2" t="n">
        <v>97.954</v>
      </c>
      <c r="U1801" s="0" t="s">
        <v>22</v>
      </c>
    </row>
    <row r="1802" customFormat="false" ht="14.25" hidden="false" customHeight="false" outlineLevel="0" collapsed="false">
      <c r="A1802" s="0" t="n">
        <v>632</v>
      </c>
      <c r="B1802" s="0" t="str">
        <f aca="false">_xlfn.xlookup(A1802, artists!A$2:A$836, artists!B$2:B$836)</f>
        <v>Tiësto</v>
      </c>
      <c r="C1802" s="1" t="s">
        <v>1823</v>
      </c>
      <c r="D1802" s="2" t="n">
        <v>188371</v>
      </c>
      <c r="E1802" s="2" t="n">
        <f aca="false">D1802/1000</f>
        <v>188.371</v>
      </c>
      <c r="F1802" s="10" t="b">
        <f aca="false">FALSE()</f>
        <v>0</v>
      </c>
      <c r="G1802" s="0" t="n">
        <v>17</v>
      </c>
      <c r="H1802" s="0" t="n">
        <f aca="false">_xlfn.xlookup(G1802, years!A$2:A$836, years!B$2:B$836)</f>
        <v>2014</v>
      </c>
      <c r="I1802" s="2" t="n">
        <v>0</v>
      </c>
      <c r="J1802" s="0" t="n">
        <v>0.645</v>
      </c>
      <c r="K1802" s="0" t="n">
        <v>0.832</v>
      </c>
      <c r="L1802" s="3" t="str">
        <f aca="false">IF(K1802&gt;0.66,"High",IF(K1802&gt;0.33&amp;K1802&lt;=0.66,"Medium","Low"))</f>
        <v>High</v>
      </c>
      <c r="M1802" s="0" t="n">
        <v>-5.595</v>
      </c>
      <c r="N1802" s="3" t="n">
        <v>0.0294</v>
      </c>
      <c r="O1802" s="3" t="n">
        <v>0.00106</v>
      </c>
      <c r="P1802" s="4" t="n">
        <v>0.00264</v>
      </c>
      <c r="Q1802" s="3" t="n">
        <v>0.199</v>
      </c>
      <c r="R1802" s="3" t="n">
        <v>0.375</v>
      </c>
      <c r="S1802" s="3" t="str">
        <f aca="false">IF(R1802 &gt;= 0.5, "Positive", "Negative")</f>
        <v>Negative</v>
      </c>
      <c r="T1802" s="2" t="n">
        <v>112.028</v>
      </c>
      <c r="U1802" s="0" t="s">
        <v>22</v>
      </c>
    </row>
    <row r="1803" customFormat="false" ht="14.25" hidden="false" customHeight="false" outlineLevel="0" collapsed="false">
      <c r="A1803" s="0" t="n">
        <v>189</v>
      </c>
      <c r="B1803" s="0" t="str">
        <f aca="false">_xlfn.xlookup(A1803, artists!A$2:A$836, artists!B$2:B$836)</f>
        <v>Default</v>
      </c>
      <c r="C1803" s="1" t="s">
        <v>1824</v>
      </c>
      <c r="D1803" s="2" t="n">
        <v>268693</v>
      </c>
      <c r="E1803" s="2" t="n">
        <f aca="false">D1803/1000</f>
        <v>268.693</v>
      </c>
      <c r="F1803" s="10" t="b">
        <f aca="false">FALSE()</f>
        <v>0</v>
      </c>
      <c r="G1803" s="0" t="n">
        <v>4</v>
      </c>
      <c r="H1803" s="0" t="n">
        <f aca="false">_xlfn.xlookup(G1803, years!A$2:A$836, years!B$2:B$836)</f>
        <v>2001</v>
      </c>
      <c r="I1803" s="2" t="n">
        <v>40</v>
      </c>
      <c r="J1803" s="0" t="n">
        <v>0.443</v>
      </c>
      <c r="K1803" s="0" t="n">
        <v>0.769</v>
      </c>
      <c r="L1803" s="3" t="str">
        <f aca="false">IF(K1803&gt;0.66,"High",IF(K1803&gt;0.33&amp;K1803&lt;=0.66,"Medium","Low"))</f>
        <v>High</v>
      </c>
      <c r="M1803" s="0" t="n">
        <v>-5.529</v>
      </c>
      <c r="N1803" s="3" t="n">
        <v>0.0312</v>
      </c>
      <c r="O1803" s="3" t="n">
        <v>0.00138</v>
      </c>
      <c r="P1803" s="4" t="n">
        <v>0</v>
      </c>
      <c r="Q1803" s="3" t="n">
        <v>0.0677</v>
      </c>
      <c r="R1803" s="3" t="n">
        <v>0.17</v>
      </c>
      <c r="S1803" s="3" t="str">
        <f aca="false">IF(R1803 &gt;= 0.5, "Positive", "Negative")</f>
        <v>Negative</v>
      </c>
      <c r="T1803" s="2" t="n">
        <v>147.973</v>
      </c>
      <c r="U1803" s="0" t="s">
        <v>697</v>
      </c>
    </row>
    <row r="1804" customFormat="false" ht="14.25" hidden="false" customHeight="false" outlineLevel="0" collapsed="false">
      <c r="A1804" s="0" t="n">
        <v>662</v>
      </c>
      <c r="B1804" s="0" t="str">
        <f aca="false">_xlfn.xlookup(A1804, artists!A$2:A$836, artists!B$2:B$836)</f>
        <v>Silentó</v>
      </c>
      <c r="C1804" s="1" t="s">
        <v>1825</v>
      </c>
      <c r="D1804" s="2" t="n">
        <v>185131</v>
      </c>
      <c r="E1804" s="2" t="n">
        <f aca="false">D1804/1000</f>
        <v>185.131</v>
      </c>
      <c r="F1804" s="10" t="b">
        <f aca="false">FALSE()</f>
        <v>0</v>
      </c>
      <c r="G1804" s="0" t="n">
        <v>18</v>
      </c>
      <c r="H1804" s="0" t="n">
        <f aca="false">_xlfn.xlookup(G1804, years!A$2:A$836, years!B$2:B$836)</f>
        <v>2015</v>
      </c>
      <c r="I1804" s="2" t="n">
        <v>0</v>
      </c>
      <c r="J1804" s="0" t="n">
        <v>0.819</v>
      </c>
      <c r="K1804" s="0" t="n">
        <v>0.768</v>
      </c>
      <c r="L1804" s="3" t="str">
        <f aca="false">IF(K1804&gt;0.66,"High",IF(K1804&gt;0.33&amp;K1804&lt;=0.66,"Medium","Low"))</f>
        <v>High</v>
      </c>
      <c r="M1804" s="0" t="n">
        <v>-8.522</v>
      </c>
      <c r="N1804" s="3" t="n">
        <v>0.134</v>
      </c>
      <c r="O1804" s="3" t="n">
        <v>0.234</v>
      </c>
      <c r="P1804" s="4" t="n">
        <v>0</v>
      </c>
      <c r="Q1804" s="3" t="n">
        <v>0.334</v>
      </c>
      <c r="R1804" s="3" t="n">
        <v>0.964</v>
      </c>
      <c r="S1804" s="3" t="str">
        <f aca="false">IF(R1804 &gt;= 0.5, "Positive", "Negative")</f>
        <v>Positive</v>
      </c>
      <c r="T1804" s="2" t="n">
        <v>139.982</v>
      </c>
      <c r="U1804" s="0" t="s">
        <v>29</v>
      </c>
    </row>
    <row r="1805" customFormat="false" ht="14.25" hidden="false" customHeight="false" outlineLevel="0" collapsed="false">
      <c r="A1805" s="0" t="n">
        <v>622</v>
      </c>
      <c r="B1805" s="0" t="str">
        <f aca="false">_xlfn.xlookup(A1805, artists!A$2:A$836, artists!B$2:B$836)</f>
        <v>Mr. Probz</v>
      </c>
      <c r="C1805" s="1" t="s">
        <v>1826</v>
      </c>
      <c r="D1805" s="2" t="n">
        <v>208133</v>
      </c>
      <c r="E1805" s="2" t="n">
        <f aca="false">D1805/1000</f>
        <v>208.133</v>
      </c>
      <c r="F1805" s="10" t="b">
        <f aca="false">FALSE()</f>
        <v>0</v>
      </c>
      <c r="G1805" s="0" t="n">
        <v>17</v>
      </c>
      <c r="H1805" s="0" t="n">
        <f aca="false">_xlfn.xlookup(G1805, years!A$2:A$836, years!B$2:B$836)</f>
        <v>2014</v>
      </c>
      <c r="I1805" s="2" t="n">
        <v>2</v>
      </c>
      <c r="J1805" s="0" t="n">
        <v>0.829</v>
      </c>
      <c r="K1805" s="0" t="n">
        <v>0.51</v>
      </c>
      <c r="L1805" s="3" t="str">
        <f aca="false">IF(K1805&gt;0.66,"High",IF(K1805&gt;0.33&amp;K1805&lt;=0.66,"Medium","Low"))</f>
        <v>Low</v>
      </c>
      <c r="M1805" s="0" t="n">
        <v>-9.334</v>
      </c>
      <c r="N1805" s="3" t="n">
        <v>0.0369</v>
      </c>
      <c r="O1805" s="3" t="n">
        <v>0.00821</v>
      </c>
      <c r="P1805" s="4" t="n">
        <v>0.0014</v>
      </c>
      <c r="Q1805" s="3" t="n">
        <v>0.0829</v>
      </c>
      <c r="R1805" s="3" t="n">
        <v>0.45</v>
      </c>
      <c r="S1805" s="3" t="str">
        <f aca="false">IF(R1805 &gt;= 0.5, "Positive", "Negative")</f>
        <v>Negative</v>
      </c>
      <c r="T1805" s="2" t="n">
        <v>119.993</v>
      </c>
      <c r="U1805" s="0" t="s">
        <v>143</v>
      </c>
    </row>
    <row r="1806" customFormat="false" ht="14.25" hidden="false" customHeight="false" outlineLevel="0" collapsed="false">
      <c r="A1806" s="0" t="n">
        <v>489</v>
      </c>
      <c r="B1806" s="0" t="str">
        <f aca="false">_xlfn.xlookup(A1806, artists!A$2:A$836, artists!B$2:B$836)</f>
        <v>K'NAAN</v>
      </c>
      <c r="C1806" s="1" t="s">
        <v>1827</v>
      </c>
      <c r="D1806" s="2" t="n">
        <v>220520</v>
      </c>
      <c r="E1806" s="2" t="n">
        <f aca="false">D1806/1000</f>
        <v>220.52</v>
      </c>
      <c r="F1806" s="10" t="b">
        <f aca="false">FALSE()</f>
        <v>0</v>
      </c>
      <c r="G1806" s="0" t="n">
        <v>12</v>
      </c>
      <c r="H1806" s="0" t="n">
        <f aca="false">_xlfn.xlookup(G1806, years!A$2:A$836, years!B$2:B$836)</f>
        <v>2009</v>
      </c>
      <c r="I1806" s="2" t="n">
        <v>57</v>
      </c>
      <c r="J1806" s="0" t="n">
        <v>0.625</v>
      </c>
      <c r="K1806" s="0" t="n">
        <v>0.699</v>
      </c>
      <c r="L1806" s="3" t="str">
        <f aca="false">IF(K1806&gt;0.66,"High",IF(K1806&gt;0.33&amp;K1806&lt;=0.66,"Medium","Low"))</f>
        <v>High</v>
      </c>
      <c r="M1806" s="0" t="n">
        <v>-6.416</v>
      </c>
      <c r="N1806" s="3" t="n">
        <v>0.0729</v>
      </c>
      <c r="O1806" s="3" t="n">
        <v>0.13</v>
      </c>
      <c r="P1806" s="4" t="n">
        <v>0</v>
      </c>
      <c r="Q1806" s="3" t="n">
        <v>0.238</v>
      </c>
      <c r="R1806" s="3" t="n">
        <v>0.717</v>
      </c>
      <c r="S1806" s="3" t="str">
        <f aca="false">IF(R1806 &gt;= 0.5, "Positive", "Negative")</f>
        <v>Positive</v>
      </c>
      <c r="T1806" s="2" t="n">
        <v>75.974</v>
      </c>
      <c r="U1806" s="0" t="s">
        <v>118</v>
      </c>
    </row>
    <row r="1807" customFormat="false" ht="14.25" hidden="false" customHeight="false" outlineLevel="0" collapsed="false">
      <c r="A1807" s="0" t="n">
        <v>653</v>
      </c>
      <c r="B1807" s="0" t="str">
        <f aca="false">_xlfn.xlookup(A1807, artists!A$2:A$836, artists!B$2:B$836)</f>
        <v>KALEO</v>
      </c>
      <c r="C1807" s="1" t="s">
        <v>1828</v>
      </c>
      <c r="D1807" s="2" t="n">
        <v>219560</v>
      </c>
      <c r="E1807" s="2" t="n">
        <f aca="false">D1807/1000</f>
        <v>219.56</v>
      </c>
      <c r="F1807" s="10" t="b">
        <f aca="false">FALSE()</f>
        <v>0</v>
      </c>
      <c r="G1807" s="0" t="n">
        <v>18</v>
      </c>
      <c r="H1807" s="0" t="n">
        <f aca="false">_xlfn.xlookup(G1807, years!A$2:A$836, years!B$2:B$836)</f>
        <v>2015</v>
      </c>
      <c r="I1807" s="2" t="n">
        <v>63</v>
      </c>
      <c r="J1807" s="0" t="n">
        <v>0.59</v>
      </c>
      <c r="K1807" s="0" t="n">
        <v>0.578</v>
      </c>
      <c r="L1807" s="3" t="str">
        <f aca="false">IF(K1807&gt;0.66,"High",IF(K1807&gt;0.33&amp;K1807&lt;=0.66,"Medium","Low"))</f>
        <v>Low</v>
      </c>
      <c r="M1807" s="0" t="n">
        <v>-5.798</v>
      </c>
      <c r="N1807" s="3" t="n">
        <v>0.0528</v>
      </c>
      <c r="O1807" s="3" t="n">
        <v>0.612</v>
      </c>
      <c r="P1807" s="4" t="n">
        <v>0.000162</v>
      </c>
      <c r="Q1807" s="3" t="n">
        <v>0.0837</v>
      </c>
      <c r="R1807" s="3" t="n">
        <v>0.264</v>
      </c>
      <c r="S1807" s="3" t="str">
        <f aca="false">IF(R1807 &gt;= 0.5, "Positive", "Negative")</f>
        <v>Negative</v>
      </c>
      <c r="T1807" s="2" t="n">
        <v>81.663</v>
      </c>
      <c r="U1807" s="0" t="s">
        <v>1829</v>
      </c>
    </row>
    <row r="1808" customFormat="false" ht="14.25" hidden="false" customHeight="false" outlineLevel="0" collapsed="false">
      <c r="A1808" s="0" t="n">
        <v>536</v>
      </c>
      <c r="B1808" s="0" t="str">
        <f aca="false">_xlfn.xlookup(A1808, artists!A$2:A$836, artists!B$2:B$836)</f>
        <v>fun.</v>
      </c>
      <c r="C1808" s="1" t="s">
        <v>1830</v>
      </c>
      <c r="D1808" s="2" t="n">
        <v>250626</v>
      </c>
      <c r="E1808" s="2" t="n">
        <f aca="false">D1808/1000</f>
        <v>250.626</v>
      </c>
      <c r="F1808" s="10" t="b">
        <f aca="false">FALSE()</f>
        <v>0</v>
      </c>
      <c r="G1808" s="0" t="n">
        <v>15</v>
      </c>
      <c r="H1808" s="0" t="n">
        <f aca="false">_xlfn.xlookup(G1808, years!A$2:A$836, years!B$2:B$836)</f>
        <v>2012</v>
      </c>
      <c r="I1808" s="2" t="n">
        <v>76</v>
      </c>
      <c r="J1808" s="0" t="n">
        <v>0.378</v>
      </c>
      <c r="K1808" s="0" t="n">
        <v>0.638</v>
      </c>
      <c r="L1808" s="3" t="str">
        <f aca="false">IF(K1808&gt;0.66,"High",IF(K1808&gt;0.33&amp;K1808&lt;=0.66,"Medium","Low"))</f>
        <v>Low</v>
      </c>
      <c r="M1808" s="0" t="n">
        <v>-5.576</v>
      </c>
      <c r="N1808" s="3" t="n">
        <v>0.075</v>
      </c>
      <c r="O1808" s="3" t="n">
        <v>0.02</v>
      </c>
      <c r="P1808" s="4" t="n">
        <v>7.66E-005</v>
      </c>
      <c r="Q1808" s="3" t="n">
        <v>0.0849</v>
      </c>
      <c r="R1808" s="3" t="n">
        <v>0.735</v>
      </c>
      <c r="S1808" s="3" t="str">
        <f aca="false">IF(R1808 &gt;= 0.5, "Positive", "Negative")</f>
        <v>Positive</v>
      </c>
      <c r="T1808" s="2" t="n">
        <v>184.086</v>
      </c>
      <c r="U1808" s="0" t="s">
        <v>35</v>
      </c>
    </row>
    <row r="1809" customFormat="false" ht="14.25" hidden="false" customHeight="false" outlineLevel="0" collapsed="false">
      <c r="A1809" s="0" t="n">
        <v>169</v>
      </c>
      <c r="B1809" s="0" t="str">
        <f aca="false">_xlfn.xlookup(A1809, artists!A$2:A$836, artists!B$2:B$836)</f>
        <v>Sean Paul</v>
      </c>
      <c r="C1809" s="1" t="s">
        <v>1831</v>
      </c>
      <c r="D1809" s="2" t="n">
        <v>213066</v>
      </c>
      <c r="E1809" s="2" t="n">
        <f aca="false">D1809/1000</f>
        <v>213.066</v>
      </c>
      <c r="F1809" s="10" t="b">
        <f aca="false">FALSE()</f>
        <v>0</v>
      </c>
      <c r="G1809" s="0" t="n">
        <v>8</v>
      </c>
      <c r="H1809" s="0" t="n">
        <f aca="false">_xlfn.xlookup(G1809, years!A$2:A$836, years!B$2:B$836)</f>
        <v>2005</v>
      </c>
      <c r="I1809" s="2" t="n">
        <v>59</v>
      </c>
      <c r="J1809" s="0" t="n">
        <v>0.95</v>
      </c>
      <c r="K1809" s="0" t="n">
        <v>0.803</v>
      </c>
      <c r="L1809" s="3" t="str">
        <f aca="false">IF(K1809&gt;0.66,"High",IF(K1809&gt;0.33&amp;K1809&lt;=0.66,"Medium","Low"))</f>
        <v>High</v>
      </c>
      <c r="M1809" s="0" t="n">
        <v>-4.195</v>
      </c>
      <c r="N1809" s="3" t="n">
        <v>0.151</v>
      </c>
      <c r="O1809" s="3" t="n">
        <v>0.145</v>
      </c>
      <c r="P1809" s="4" t="n">
        <v>0</v>
      </c>
      <c r="Q1809" s="3" t="n">
        <v>0.0748</v>
      </c>
      <c r="R1809" s="3" t="n">
        <v>0.86</v>
      </c>
      <c r="S1809" s="3" t="str">
        <f aca="false">IF(R1809 &gt;= 0.5, "Positive", "Negative")</f>
        <v>Positive</v>
      </c>
      <c r="T1809" s="2" t="n">
        <v>117</v>
      </c>
      <c r="U1809" s="0" t="s">
        <v>24</v>
      </c>
    </row>
    <row r="1810" customFormat="false" ht="14.25" hidden="false" customHeight="false" outlineLevel="0" collapsed="false">
      <c r="A1810" s="0" t="n">
        <v>50</v>
      </c>
      <c r="B1810" s="0" t="str">
        <f aca="false">_xlfn.xlookup(A1810, artists!A$2:A$836, artists!B$2:B$836)</f>
        <v>Mariah Carey</v>
      </c>
      <c r="C1810" s="1" t="s">
        <v>1832</v>
      </c>
      <c r="D1810" s="2" t="n">
        <v>201400</v>
      </c>
      <c r="E1810" s="2" t="n">
        <f aca="false">D1810/1000</f>
        <v>201.4</v>
      </c>
      <c r="F1810" s="10" t="b">
        <f aca="false">FALSE()</f>
        <v>0</v>
      </c>
      <c r="G1810" s="0" t="n">
        <v>8</v>
      </c>
      <c r="H1810" s="0" t="n">
        <f aca="false">_xlfn.xlookup(G1810, years!A$2:A$836, years!B$2:B$836)</f>
        <v>2005</v>
      </c>
      <c r="I1810" s="2" t="n">
        <v>69</v>
      </c>
      <c r="J1810" s="0" t="n">
        <v>0.84</v>
      </c>
      <c r="K1810" s="0" t="n">
        <v>0.476</v>
      </c>
      <c r="L1810" s="3" t="str">
        <f aca="false">IF(K1810&gt;0.66,"High",IF(K1810&gt;0.33&amp;K1810&lt;=0.66,"Medium","Low"))</f>
        <v>Low</v>
      </c>
      <c r="M1810" s="0" t="n">
        <v>-7.918</v>
      </c>
      <c r="N1810" s="3" t="n">
        <v>0.0629</v>
      </c>
      <c r="O1810" s="3" t="n">
        <v>0.0264</v>
      </c>
      <c r="P1810" s="4" t="n">
        <v>0</v>
      </c>
      <c r="Q1810" s="3" t="n">
        <v>0.0865</v>
      </c>
      <c r="R1810" s="3" t="n">
        <v>0.767</v>
      </c>
      <c r="S1810" s="3" t="str">
        <f aca="false">IF(R1810 &gt;= 0.5, "Positive", "Negative")</f>
        <v>Positive</v>
      </c>
      <c r="T1810" s="2" t="n">
        <v>139.987</v>
      </c>
      <c r="U1810" s="0" t="s">
        <v>33</v>
      </c>
    </row>
    <row r="1811" customFormat="false" ht="14.25" hidden="false" customHeight="false" outlineLevel="0" collapsed="false">
      <c r="A1811" s="0" t="n">
        <v>406</v>
      </c>
      <c r="B1811" s="0" t="str">
        <f aca="false">_xlfn.xlookup(A1811, artists!A$2:A$836, artists!B$2:B$836)</f>
        <v>Miley Cyrus</v>
      </c>
      <c r="C1811" s="1" t="s">
        <v>1833</v>
      </c>
      <c r="D1811" s="2" t="n">
        <v>231240</v>
      </c>
      <c r="E1811" s="2" t="n">
        <f aca="false">D1811/1000</f>
        <v>231.24</v>
      </c>
      <c r="F1811" s="10" t="b">
        <f aca="false">FALSE()</f>
        <v>0</v>
      </c>
      <c r="G1811" s="0" t="n">
        <v>16</v>
      </c>
      <c r="H1811" s="0" t="n">
        <f aca="false">_xlfn.xlookup(G1811, years!A$2:A$836, years!B$2:B$836)</f>
        <v>2013</v>
      </c>
      <c r="I1811" s="2" t="n">
        <v>78</v>
      </c>
      <c r="J1811" s="0" t="n">
        <v>0.613</v>
      </c>
      <c r="K1811" s="0" t="n">
        <v>0.622</v>
      </c>
      <c r="L1811" s="3" t="str">
        <f aca="false">IF(K1811&gt;0.66,"High",IF(K1811&gt;0.33&amp;K1811&lt;=0.66,"Medium","Low"))</f>
        <v>Low</v>
      </c>
      <c r="M1811" s="0" t="n">
        <v>-5.794</v>
      </c>
      <c r="N1811" s="3" t="n">
        <v>0.0334</v>
      </c>
      <c r="O1811" s="3" t="n">
        <v>0.00882</v>
      </c>
      <c r="P1811" s="4" t="n">
        <v>0</v>
      </c>
      <c r="Q1811" s="3" t="n">
        <v>0.37</v>
      </c>
      <c r="R1811" s="3" t="n">
        <v>0.484</v>
      </c>
      <c r="S1811" s="3" t="str">
        <f aca="false">IF(R1811 &gt;= 0.5, "Positive", "Negative")</f>
        <v>Negative</v>
      </c>
      <c r="T1811" s="2" t="n">
        <v>80.003</v>
      </c>
      <c r="U1811" s="0" t="s">
        <v>39</v>
      </c>
    </row>
    <row r="1812" customFormat="false" ht="14.25" hidden="false" customHeight="false" outlineLevel="0" collapsed="false">
      <c r="A1812" s="0" t="n">
        <v>646</v>
      </c>
      <c r="B1812" s="0" t="str">
        <f aca="false">_xlfn.xlookup(A1812, artists!A$2:A$836, artists!B$2:B$836)</f>
        <v>Rae Sremmurd</v>
      </c>
      <c r="C1812" s="1" t="s">
        <v>1834</v>
      </c>
      <c r="D1812" s="2" t="n">
        <v>332300</v>
      </c>
      <c r="E1812" s="2" t="n">
        <f aca="false">D1812/1000</f>
        <v>332.3</v>
      </c>
      <c r="F1812" s="10" t="b">
        <f aca="false">TRUE()</f>
        <v>1</v>
      </c>
      <c r="G1812" s="0" t="n">
        <v>21</v>
      </c>
      <c r="H1812" s="0" t="n">
        <f aca="false">_xlfn.xlookup(G1812, years!A$2:A$836, years!B$2:B$836)</f>
        <v>2018</v>
      </c>
      <c r="I1812" s="2" t="n">
        <v>66</v>
      </c>
      <c r="J1812" s="0" t="n">
        <v>0.713</v>
      </c>
      <c r="K1812" s="0" t="n">
        <v>0.831</v>
      </c>
      <c r="L1812" s="3" t="str">
        <f aca="false">IF(K1812&gt;0.66,"High",IF(K1812&gt;0.33&amp;K1812&lt;=0.66,"Medium","Low"))</f>
        <v>High</v>
      </c>
      <c r="M1812" s="0" t="n">
        <v>-4.75</v>
      </c>
      <c r="N1812" s="3" t="n">
        <v>0.15</v>
      </c>
      <c r="O1812" s="3" t="n">
        <v>0.0168</v>
      </c>
      <c r="P1812" s="4" t="n">
        <v>0</v>
      </c>
      <c r="Q1812" s="3" t="n">
        <v>0.118</v>
      </c>
      <c r="R1812" s="3" t="n">
        <v>0.584</v>
      </c>
      <c r="S1812" s="3" t="str">
        <f aca="false">IF(R1812 &gt;= 0.5, "Positive", "Negative")</f>
        <v>Positive</v>
      </c>
      <c r="T1812" s="2" t="n">
        <v>173.948</v>
      </c>
      <c r="U1812" s="0" t="s">
        <v>24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1835</v>
      </c>
      <c r="D1813" s="2" t="n">
        <v>217706</v>
      </c>
      <c r="E1813" s="2" t="n">
        <f aca="false">D1813/1000</f>
        <v>217.706</v>
      </c>
      <c r="F1813" s="10" t="b">
        <f aca="false">FALSE()</f>
        <v>0</v>
      </c>
      <c r="G1813" s="0" t="n">
        <v>19</v>
      </c>
      <c r="H1813" s="0" t="n">
        <f aca="false">_xlfn.xlookup(G1813, years!A$2:A$836, years!B$2:B$836)</f>
        <v>2016</v>
      </c>
      <c r="I1813" s="2" t="n">
        <v>79</v>
      </c>
      <c r="J1813" s="0" t="n">
        <v>0.728</v>
      </c>
      <c r="K1813" s="0" t="n">
        <v>0.563</v>
      </c>
      <c r="L1813" s="3" t="str">
        <f aca="false">IF(K1813&gt;0.66,"High",IF(K1813&gt;0.33&amp;K1813&lt;=0.66,"Medium","Low"))</f>
        <v>Low</v>
      </c>
      <c r="M1813" s="0" t="n">
        <v>-8.053</v>
      </c>
      <c r="N1813" s="3" t="n">
        <v>0.134</v>
      </c>
      <c r="O1813" s="3" t="n">
        <v>0.621</v>
      </c>
      <c r="P1813" s="4" t="n">
        <v>0</v>
      </c>
      <c r="Q1813" s="3" t="n">
        <v>0.179</v>
      </c>
      <c r="R1813" s="3" t="n">
        <v>0.352</v>
      </c>
      <c r="S1813" s="3" t="str">
        <f aca="false">IF(R1813 &gt;= 0.5, "Positive", "Negative")</f>
        <v>Negative</v>
      </c>
      <c r="T1813" s="2" t="n">
        <v>100.017</v>
      </c>
      <c r="U1813" s="0" t="s">
        <v>39</v>
      </c>
    </row>
    <row r="1814" customFormat="false" ht="14.25" hidden="false" customHeight="false" outlineLevel="0" collapsed="false">
      <c r="A1814" s="0" t="n">
        <v>767</v>
      </c>
      <c r="B1814" s="0" t="str">
        <f aca="false">_xlfn.xlookup(A1814, artists!A$2:A$836, artists!B$2:B$836)</f>
        <v>girl in red</v>
      </c>
      <c r="C1814" s="1" t="s">
        <v>1836</v>
      </c>
      <c r="D1814" s="2" t="n">
        <v>184153</v>
      </c>
      <c r="E1814" s="2" t="n">
        <f aca="false">D1814/1000</f>
        <v>184.153</v>
      </c>
      <c r="F1814" s="10" t="b">
        <f aca="false">FALSE()</f>
        <v>0</v>
      </c>
      <c r="G1814" s="0" t="n">
        <v>21</v>
      </c>
      <c r="H1814" s="0" t="n">
        <f aca="false">_xlfn.xlookup(G1814, years!A$2:A$836, years!B$2:B$836)</f>
        <v>2018</v>
      </c>
      <c r="I1814" s="2" t="n">
        <v>82</v>
      </c>
      <c r="J1814" s="0" t="n">
        <v>0.566</v>
      </c>
      <c r="K1814" s="0" t="n">
        <v>0.366</v>
      </c>
      <c r="L1814" s="3" t="str">
        <f aca="false">IF(K1814&gt;0.66,"High",IF(K1814&gt;0.33&amp;K1814&lt;=0.66,"Medium","Low"))</f>
        <v>Low</v>
      </c>
      <c r="M1814" s="0" t="n">
        <v>-12.808</v>
      </c>
      <c r="N1814" s="3" t="n">
        <v>0.028</v>
      </c>
      <c r="O1814" s="3" t="n">
        <v>0.113</v>
      </c>
      <c r="P1814" s="4" t="n">
        <v>0.181</v>
      </c>
      <c r="Q1814" s="3" t="n">
        <v>0.155</v>
      </c>
      <c r="R1814" s="3" t="n">
        <v>0.237</v>
      </c>
      <c r="S1814" s="3" t="str">
        <f aca="false">IF(R1814 &gt;= 0.5, "Positive", "Negative")</f>
        <v>Negative</v>
      </c>
      <c r="T1814" s="2" t="n">
        <v>129.959</v>
      </c>
      <c r="U1814" s="0" t="s">
        <v>292</v>
      </c>
    </row>
    <row r="1815" customFormat="false" ht="14.25" hidden="false" customHeight="false" outlineLevel="0" collapsed="false">
      <c r="A1815" s="0" t="n">
        <v>384</v>
      </c>
      <c r="B1815" s="0" t="str">
        <f aca="false">_xlfn.xlookup(A1815, artists!A$2:A$836, artists!B$2:B$836)</f>
        <v>Jim Jones</v>
      </c>
      <c r="C1815" s="1" t="s">
        <v>1837</v>
      </c>
      <c r="D1815" s="2" t="n">
        <v>236080</v>
      </c>
      <c r="E1815" s="2" t="n">
        <f aca="false">D1815/1000</f>
        <v>236.08</v>
      </c>
      <c r="F1815" s="10" t="b">
        <f aca="false">TRUE()</f>
        <v>1</v>
      </c>
      <c r="G1815" s="0" t="n">
        <v>9</v>
      </c>
      <c r="H1815" s="0" t="n">
        <f aca="false">_xlfn.xlookup(G1815, years!A$2:A$836, years!B$2:B$836)</f>
        <v>2006</v>
      </c>
      <c r="I1815" s="2" t="n">
        <v>0</v>
      </c>
      <c r="J1815" s="0" t="n">
        <v>0.685</v>
      </c>
      <c r="K1815" s="0" t="n">
        <v>0.8</v>
      </c>
      <c r="L1815" s="3" t="str">
        <f aca="false">IF(K1815&gt;0.66,"High",IF(K1815&gt;0.33&amp;K1815&lt;=0.66,"Medium","Low"))</f>
        <v>High</v>
      </c>
      <c r="M1815" s="0" t="n">
        <v>-6.564</v>
      </c>
      <c r="N1815" s="3" t="n">
        <v>0.298</v>
      </c>
      <c r="O1815" s="3" t="n">
        <v>0.0847</v>
      </c>
      <c r="P1815" s="4" t="n">
        <v>0</v>
      </c>
      <c r="Q1815" s="3" t="n">
        <v>0.092</v>
      </c>
      <c r="R1815" s="3" t="n">
        <v>0.483</v>
      </c>
      <c r="S1815" s="3" t="str">
        <f aca="false">IF(R1815 &gt;= 0.5, "Positive", "Negative")</f>
        <v>Negative</v>
      </c>
      <c r="T1815" s="2" t="n">
        <v>120.226</v>
      </c>
      <c r="U1815" s="0" t="s">
        <v>24</v>
      </c>
    </row>
    <row r="1816" customFormat="false" ht="14.25" hidden="false" customHeight="false" outlineLevel="0" collapsed="false">
      <c r="A1816" s="0" t="n">
        <v>283</v>
      </c>
      <c r="B1816" s="0" t="str">
        <f aca="false">_xlfn.xlookup(A1816, artists!A$2:A$836, artists!B$2:B$836)</f>
        <v>Rihanna</v>
      </c>
      <c r="C1816" s="1" t="s">
        <v>1838</v>
      </c>
      <c r="D1816" s="2" t="n">
        <v>215226</v>
      </c>
      <c r="E1816" s="2" t="n">
        <f aca="false">D1816/1000</f>
        <v>215.226</v>
      </c>
      <c r="F1816" s="10" t="b">
        <f aca="false">FALSE()</f>
        <v>0</v>
      </c>
      <c r="G1816" s="0" t="n">
        <v>14</v>
      </c>
      <c r="H1816" s="0" t="n">
        <f aca="false">_xlfn.xlookup(G1816, years!A$2:A$836, years!B$2:B$836)</f>
        <v>2011</v>
      </c>
      <c r="I1816" s="2" t="n">
        <v>75</v>
      </c>
      <c r="J1816" s="0" t="n">
        <v>0.735</v>
      </c>
      <c r="K1816" s="0" t="n">
        <v>0.766</v>
      </c>
      <c r="L1816" s="3" t="str">
        <f aca="false">IF(K1816&gt;0.66,"High",IF(K1816&gt;0.33&amp;K1816&lt;=0.66,"Medium","Low"))</f>
        <v>High</v>
      </c>
      <c r="M1816" s="0" t="n">
        <v>-4.485</v>
      </c>
      <c r="N1816" s="3" t="n">
        <v>0.0383</v>
      </c>
      <c r="O1816" s="3" t="n">
        <v>0.025</v>
      </c>
      <c r="P1816" s="4" t="n">
        <v>0.00138</v>
      </c>
      <c r="Q1816" s="3" t="n">
        <v>0.108</v>
      </c>
      <c r="R1816" s="3" t="n">
        <v>0.6</v>
      </c>
      <c r="S1816" s="3" t="str">
        <f aca="false">IF(R1816 &gt;= 0.5, "Positive", "Negative")</f>
        <v>Positive</v>
      </c>
      <c r="T1816" s="2" t="n">
        <v>127.985</v>
      </c>
      <c r="U1816" s="0" t="s">
        <v>31</v>
      </c>
    </row>
    <row r="1817" customFormat="false" ht="14.25" hidden="false" customHeight="false" outlineLevel="0" collapsed="false">
      <c r="A1817" s="0" t="n">
        <v>7</v>
      </c>
      <c r="B1817" s="0" t="str">
        <f aca="false">_xlfn.xlookup(A1817, artists!A$2:A$836, artists!B$2:B$836)</f>
        <v>Eminem</v>
      </c>
      <c r="C1817" s="1" t="s">
        <v>1839</v>
      </c>
      <c r="D1817" s="2" t="n">
        <v>269613</v>
      </c>
      <c r="E1817" s="2" t="n">
        <f aca="false">D1817/1000</f>
        <v>269.613</v>
      </c>
      <c r="F1817" s="10" t="b">
        <f aca="false">FALSE()</f>
        <v>0</v>
      </c>
      <c r="G1817" s="0" t="n">
        <v>12</v>
      </c>
      <c r="H1817" s="0" t="n">
        <f aca="false">_xlfn.xlookup(G1817, years!A$2:A$836, years!B$2:B$836)</f>
        <v>2009</v>
      </c>
      <c r="I1817" s="2" t="n">
        <v>63</v>
      </c>
      <c r="J1817" s="0" t="n">
        <v>0.924</v>
      </c>
      <c r="K1817" s="0" t="n">
        <v>0.853</v>
      </c>
      <c r="L1817" s="3" t="str">
        <f aca="false">IF(K1817&gt;0.66,"High",IF(K1817&gt;0.33&amp;K1817&lt;=0.66,"Medium","Low"))</f>
        <v>High</v>
      </c>
      <c r="M1817" s="0" t="n">
        <v>-1.203</v>
      </c>
      <c r="N1817" s="3" t="n">
        <v>0.0792</v>
      </c>
      <c r="O1817" s="3" t="n">
        <v>0.107</v>
      </c>
      <c r="P1817" s="4" t="n">
        <v>1.45E-006</v>
      </c>
      <c r="Q1817" s="3" t="n">
        <v>0.129</v>
      </c>
      <c r="R1817" s="3" t="n">
        <v>0.67</v>
      </c>
      <c r="S1817" s="3" t="str">
        <f aca="false">IF(R1817 &gt;= 0.5, "Positive", "Negative")</f>
        <v>Positive</v>
      </c>
      <c r="T1817" s="2" t="n">
        <v>114.003</v>
      </c>
      <c r="U1817" s="0" t="s">
        <v>29</v>
      </c>
    </row>
    <row r="1818" customFormat="false" ht="14.25" hidden="false" customHeight="false" outlineLevel="0" collapsed="false">
      <c r="A1818" s="0" t="n">
        <v>485</v>
      </c>
      <c r="B1818" s="0" t="str">
        <f aca="false">_xlfn.xlookup(A1818, artists!A$2:A$836, artists!B$2:B$836)</f>
        <v>Yolanda Be Cool</v>
      </c>
      <c r="C1818" s="1" t="s">
        <v>1840</v>
      </c>
      <c r="D1818" s="2" t="n">
        <v>157438</v>
      </c>
      <c r="E1818" s="2" t="n">
        <f aca="false">D1818/1000</f>
        <v>157.438</v>
      </c>
      <c r="F1818" s="10" t="b">
        <f aca="false">FALSE()</f>
        <v>0</v>
      </c>
      <c r="G1818" s="0" t="n">
        <v>13</v>
      </c>
      <c r="H1818" s="0" t="n">
        <f aca="false">_xlfn.xlookup(G1818, years!A$2:A$836, years!B$2:B$836)</f>
        <v>2010</v>
      </c>
      <c r="I1818" s="2" t="n">
        <v>1</v>
      </c>
      <c r="J1818" s="0" t="n">
        <v>0.901</v>
      </c>
      <c r="K1818" s="0" t="n">
        <v>0.805</v>
      </c>
      <c r="L1818" s="3" t="str">
        <f aca="false">IF(K1818&gt;0.66,"High",IF(K1818&gt;0.33&amp;K1818&lt;=0.66,"Medium","Low"))</f>
        <v>High</v>
      </c>
      <c r="M1818" s="0" t="n">
        <v>-5.005</v>
      </c>
      <c r="N1818" s="3" t="n">
        <v>0.0464</v>
      </c>
      <c r="O1818" s="3" t="n">
        <v>0.0712</v>
      </c>
      <c r="P1818" s="4" t="n">
        <v>0.0812</v>
      </c>
      <c r="Q1818" s="3" t="n">
        <v>0.0923</v>
      </c>
      <c r="R1818" s="3" t="n">
        <v>0.737</v>
      </c>
      <c r="S1818" s="3" t="str">
        <f aca="false">IF(R1818 &gt;= 0.5, "Positive", "Negative")</f>
        <v>Positive</v>
      </c>
      <c r="T1818" s="2" t="n">
        <v>124.996</v>
      </c>
      <c r="U1818" s="0" t="s">
        <v>48</v>
      </c>
    </row>
    <row r="1819" customFormat="false" ht="14.25" hidden="false" customHeight="false" outlineLevel="0" collapsed="false">
      <c r="A1819" s="0" t="n">
        <v>576</v>
      </c>
      <c r="B1819" s="0" t="str">
        <f aca="false">_xlfn.xlookup(A1819, artists!A$2:A$836, artists!B$2:B$836)</f>
        <v>2 Chainz</v>
      </c>
      <c r="C1819" s="1" t="s">
        <v>1841</v>
      </c>
      <c r="D1819" s="2" t="n">
        <v>227906</v>
      </c>
      <c r="E1819" s="2" t="n">
        <f aca="false">D1819/1000</f>
        <v>227.906</v>
      </c>
      <c r="F1819" s="10" t="b">
        <f aca="false">FALSE()</f>
        <v>0</v>
      </c>
      <c r="G1819" s="0" t="n">
        <v>16</v>
      </c>
      <c r="H1819" s="0" t="n">
        <f aca="false">_xlfn.xlookup(G1819, years!A$2:A$836, years!B$2:B$836)</f>
        <v>2013</v>
      </c>
      <c r="I1819" s="2" t="n">
        <v>69</v>
      </c>
      <c r="J1819" s="0" t="n">
        <v>0.563</v>
      </c>
      <c r="K1819" s="0" t="n">
        <v>0.902</v>
      </c>
      <c r="L1819" s="3" t="str">
        <f aca="false">IF(K1819&gt;0.66,"High",IF(K1819&gt;0.33&amp;K1819&lt;=0.66,"Medium","Low"))</f>
        <v>High</v>
      </c>
      <c r="M1819" s="0" t="n">
        <v>-4.586</v>
      </c>
      <c r="N1819" s="3" t="n">
        <v>0.402</v>
      </c>
      <c r="O1819" s="3" t="n">
        <v>0.0545</v>
      </c>
      <c r="P1819" s="4" t="n">
        <v>0</v>
      </c>
      <c r="Q1819" s="3" t="n">
        <v>0.0524</v>
      </c>
      <c r="R1819" s="3" t="n">
        <v>0.559</v>
      </c>
      <c r="S1819" s="3" t="str">
        <f aca="false">IF(R1819 &gt;= 0.5, "Positive", "Negative")</f>
        <v>Positive</v>
      </c>
      <c r="T1819" s="2" t="n">
        <v>171.999</v>
      </c>
      <c r="U1819" s="0" t="s">
        <v>24</v>
      </c>
    </row>
    <row r="1820" customFormat="false" ht="14.25" hidden="false" customHeight="false" outlineLevel="0" collapsed="false">
      <c r="A1820" s="0" t="n">
        <v>471</v>
      </c>
      <c r="B1820" s="0" t="str">
        <f aca="false">_xlfn.xlookup(A1820, artists!A$2:A$836, artists!B$2:B$836)</f>
        <v>Kesha</v>
      </c>
      <c r="C1820" s="1" t="s">
        <v>1842</v>
      </c>
      <c r="D1820" s="2" t="n">
        <v>204760</v>
      </c>
      <c r="E1820" s="2" t="n">
        <f aca="false">D1820/1000</f>
        <v>204.76</v>
      </c>
      <c r="F1820" s="10" t="b">
        <f aca="false">FALSE()</f>
        <v>0</v>
      </c>
      <c r="G1820" s="0" t="n">
        <v>13</v>
      </c>
      <c r="H1820" s="0" t="n">
        <f aca="false">_xlfn.xlookup(G1820, years!A$2:A$836, years!B$2:B$836)</f>
        <v>2010</v>
      </c>
      <c r="I1820" s="2" t="n">
        <v>71</v>
      </c>
      <c r="J1820" s="0" t="n">
        <v>0.736</v>
      </c>
      <c r="K1820" s="0" t="n">
        <v>0.817</v>
      </c>
      <c r="L1820" s="3" t="str">
        <f aca="false">IF(K1820&gt;0.66,"High",IF(K1820&gt;0.33&amp;K1820&lt;=0.66,"Medium","Low"))</f>
        <v>High</v>
      </c>
      <c r="M1820" s="0" t="n">
        <v>-4.9</v>
      </c>
      <c r="N1820" s="3" t="n">
        <v>0.0407</v>
      </c>
      <c r="O1820" s="3" t="n">
        <v>0.00987</v>
      </c>
      <c r="P1820" s="4" t="n">
        <v>0.00167</v>
      </c>
      <c r="Q1820" s="3" t="n">
        <v>0.117</v>
      </c>
      <c r="R1820" s="3" t="n">
        <v>0.653</v>
      </c>
      <c r="S1820" s="3" t="str">
        <f aca="false">IF(R1820 &gt;= 0.5, "Positive", "Negative")</f>
        <v>Positive</v>
      </c>
      <c r="T1820" s="2" t="n">
        <v>119.95</v>
      </c>
      <c r="U1820" s="0" t="s">
        <v>22</v>
      </c>
    </row>
    <row r="1821" customFormat="false" ht="14.25" hidden="false" customHeight="false" outlineLevel="0" collapsed="false">
      <c r="A1821" s="0" t="n">
        <v>753</v>
      </c>
      <c r="B1821" s="0" t="str">
        <f aca="false">_xlfn.xlookup(A1821, artists!A$2:A$836, artists!B$2:B$836)</f>
        <v>AJR</v>
      </c>
      <c r="C1821" s="1" t="s">
        <v>1843</v>
      </c>
      <c r="D1821" s="2" t="n">
        <v>201160</v>
      </c>
      <c r="E1821" s="2" t="n">
        <f aca="false">D1821/1000</f>
        <v>201.16</v>
      </c>
      <c r="F1821" s="10" t="b">
        <f aca="false">FALSE()</f>
        <v>0</v>
      </c>
      <c r="G1821" s="0" t="n">
        <v>20</v>
      </c>
      <c r="H1821" s="0" t="n">
        <f aca="false">_xlfn.xlookup(G1821, years!A$2:A$836, years!B$2:B$836)</f>
        <v>2017</v>
      </c>
      <c r="I1821" s="2" t="n">
        <v>0</v>
      </c>
      <c r="J1821" s="0" t="n">
        <v>0.673</v>
      </c>
      <c r="K1821" s="0" t="n">
        <v>0.637</v>
      </c>
      <c r="L1821" s="3" t="str">
        <f aca="false">IF(K1821&gt;0.66,"High",IF(K1821&gt;0.33&amp;K1821&lt;=0.66,"Medium","Low"))</f>
        <v>Low</v>
      </c>
      <c r="M1821" s="0" t="n">
        <v>-4.518</v>
      </c>
      <c r="N1821" s="3" t="n">
        <v>0.0429</v>
      </c>
      <c r="O1821" s="3" t="n">
        <v>0.137</v>
      </c>
      <c r="P1821" s="4" t="n">
        <v>0</v>
      </c>
      <c r="Q1821" s="3" t="n">
        <v>0.184</v>
      </c>
      <c r="R1821" s="3" t="n">
        <v>0.678</v>
      </c>
      <c r="S1821" s="3" t="str">
        <f aca="false">IF(R1821 &gt;= 0.5, "Positive", "Negative")</f>
        <v>Positive</v>
      </c>
      <c r="T1821" s="2" t="n">
        <v>123.98</v>
      </c>
      <c r="U1821" s="0" t="s">
        <v>43</v>
      </c>
    </row>
    <row r="1822" customFormat="false" ht="14.25" hidden="false" customHeight="false" outlineLevel="0" collapsed="false">
      <c r="A1822" s="0" t="n">
        <v>420</v>
      </c>
      <c r="B1822" s="0" t="str">
        <f aca="false">_xlfn.xlookup(A1822, artists!A$2:A$836, artists!B$2:B$836)</f>
        <v>Wiley</v>
      </c>
      <c r="C1822" s="1" t="s">
        <v>1844</v>
      </c>
      <c r="D1822" s="2" t="n">
        <v>170480</v>
      </c>
      <c r="E1822" s="2" t="n">
        <f aca="false">D1822/1000</f>
        <v>170.48</v>
      </c>
      <c r="F1822" s="10" t="b">
        <f aca="false">FALSE()</f>
        <v>0</v>
      </c>
      <c r="G1822" s="0" t="n">
        <v>11</v>
      </c>
      <c r="H1822" s="0" t="n">
        <f aca="false">_xlfn.xlookup(G1822, years!A$2:A$836, years!B$2:B$836)</f>
        <v>2008</v>
      </c>
      <c r="I1822" s="2" t="n">
        <v>59</v>
      </c>
      <c r="J1822" s="0" t="n">
        <v>0.876</v>
      </c>
      <c r="K1822" s="0" t="n">
        <v>0.716</v>
      </c>
      <c r="L1822" s="3" t="str">
        <f aca="false">IF(K1822&gt;0.66,"High",IF(K1822&gt;0.33&amp;K1822&lt;=0.66,"Medium","Low"))</f>
        <v>High</v>
      </c>
      <c r="M1822" s="0" t="n">
        <v>-6.884</v>
      </c>
      <c r="N1822" s="3" t="n">
        <v>0.135</v>
      </c>
      <c r="O1822" s="3" t="n">
        <v>0.0468</v>
      </c>
      <c r="P1822" s="4" t="n">
        <v>0.000482</v>
      </c>
      <c r="Q1822" s="3" t="n">
        <v>0.0667</v>
      </c>
      <c r="R1822" s="3" t="n">
        <v>0.755</v>
      </c>
      <c r="S1822" s="3" t="str">
        <f aca="false">IF(R1822 &gt;= 0.5, "Positive", "Negative")</f>
        <v>Positive</v>
      </c>
      <c r="T1822" s="2" t="n">
        <v>131.942</v>
      </c>
      <c r="U1822" s="0" t="s">
        <v>143</v>
      </c>
    </row>
    <row r="1823" customFormat="false" ht="14.25" hidden="false" customHeight="false" outlineLevel="0" collapsed="false">
      <c r="A1823" s="0" t="n">
        <v>357</v>
      </c>
      <c r="B1823" s="0" t="str">
        <f aca="false">_xlfn.xlookup(A1823, artists!A$2:A$836, artists!B$2:B$836)</f>
        <v>My Chemical Romance</v>
      </c>
      <c r="C1823" s="1" t="s">
        <v>1845</v>
      </c>
      <c r="D1823" s="2" t="n">
        <v>311106</v>
      </c>
      <c r="E1823" s="2" t="n">
        <f aca="false">D1823/1000</f>
        <v>311.106</v>
      </c>
      <c r="F1823" s="10" t="b">
        <f aca="false">FALSE()</f>
        <v>0</v>
      </c>
      <c r="G1823" s="0" t="n">
        <v>9</v>
      </c>
      <c r="H1823" s="0" t="n">
        <f aca="false">_xlfn.xlookup(G1823, years!A$2:A$836, years!B$2:B$836)</f>
        <v>2006</v>
      </c>
      <c r="I1823" s="2" t="n">
        <v>76</v>
      </c>
      <c r="J1823" s="0" t="n">
        <v>0.217</v>
      </c>
      <c r="K1823" s="0" t="n">
        <v>0.905</v>
      </c>
      <c r="L1823" s="3" t="str">
        <f aca="false">IF(K1823&gt;0.66,"High",IF(K1823&gt;0.33&amp;K1823&lt;=0.66,"Medium","Low"))</f>
        <v>High</v>
      </c>
      <c r="M1823" s="0" t="n">
        <v>-4.103</v>
      </c>
      <c r="N1823" s="3" t="n">
        <v>0.0752</v>
      </c>
      <c r="O1823" s="3" t="n">
        <v>0.000289</v>
      </c>
      <c r="P1823" s="4" t="n">
        <v>0.00011</v>
      </c>
      <c r="Q1823" s="3" t="n">
        <v>0.222</v>
      </c>
      <c r="R1823" s="3" t="n">
        <v>0.236</v>
      </c>
      <c r="S1823" s="3" t="str">
        <f aca="false">IF(R1823 &gt;= 0.5, "Positive", "Negative")</f>
        <v>Negative</v>
      </c>
      <c r="T1823" s="2" t="n">
        <v>96.95</v>
      </c>
      <c r="U1823" s="0" t="s">
        <v>43</v>
      </c>
    </row>
    <row r="1824" customFormat="false" ht="14.25" hidden="false" customHeight="false" outlineLevel="0" collapsed="false">
      <c r="A1824" s="0" t="n">
        <v>372</v>
      </c>
      <c r="B1824" s="0" t="str">
        <f aca="false">_xlfn.xlookup(A1824, artists!A$2:A$836, artists!B$2:B$836)</f>
        <v>Calvin Harris</v>
      </c>
      <c r="C1824" s="1" t="s">
        <v>1846</v>
      </c>
      <c r="D1824" s="2" t="n">
        <v>234360</v>
      </c>
      <c r="E1824" s="2" t="n">
        <f aca="false">D1824/1000</f>
        <v>234.36</v>
      </c>
      <c r="F1824" s="10" t="b">
        <f aca="false">FALSE()</f>
        <v>0</v>
      </c>
      <c r="G1824" s="0" t="n">
        <v>15</v>
      </c>
      <c r="H1824" s="0" t="n">
        <f aca="false">_xlfn.xlookup(G1824, years!A$2:A$836, years!B$2:B$836)</f>
        <v>2012</v>
      </c>
      <c r="I1824" s="2" t="n">
        <v>62</v>
      </c>
      <c r="J1824" s="0" t="n">
        <v>0.596</v>
      </c>
      <c r="K1824" s="0" t="n">
        <v>0.952</v>
      </c>
      <c r="L1824" s="3" t="str">
        <f aca="false">IF(K1824&gt;0.66,"High",IF(K1824&gt;0.33&amp;K1824&lt;=0.66,"Medium","Low"))</f>
        <v>High</v>
      </c>
      <c r="M1824" s="0" t="n">
        <v>-4.364</v>
      </c>
      <c r="N1824" s="3" t="n">
        <v>0.0873</v>
      </c>
      <c r="O1824" s="3" t="n">
        <v>0.00131</v>
      </c>
      <c r="P1824" s="4" t="n">
        <v>0</v>
      </c>
      <c r="Q1824" s="3" t="n">
        <v>0.598</v>
      </c>
      <c r="R1824" s="3" t="n">
        <v>0.571</v>
      </c>
      <c r="S1824" s="3" t="str">
        <f aca="false">IF(R1824 &gt;= 0.5, "Positive", "Negative")</f>
        <v>Positive</v>
      </c>
      <c r="T1824" s="2" t="n">
        <v>127.945</v>
      </c>
      <c r="U1824" s="0" t="s">
        <v>53</v>
      </c>
    </row>
    <row r="1825" customFormat="false" ht="14.25" hidden="false" customHeight="false" outlineLevel="0" collapsed="false">
      <c r="A1825" s="0" t="n">
        <v>496</v>
      </c>
      <c r="B1825" s="0" t="str">
        <f aca="false">_xlfn.xlookup(A1825, artists!A$2:A$836, artists!B$2:B$836)</f>
        <v>The Saturdays</v>
      </c>
      <c r="C1825" s="1" t="s">
        <v>1847</v>
      </c>
      <c r="D1825" s="2" t="n">
        <v>220682</v>
      </c>
      <c r="E1825" s="2" t="n">
        <f aca="false">D1825/1000</f>
        <v>220.682</v>
      </c>
      <c r="F1825" s="10" t="b">
        <f aca="false">FALSE()</f>
        <v>0</v>
      </c>
      <c r="G1825" s="0" t="n">
        <v>16</v>
      </c>
      <c r="H1825" s="0" t="n">
        <f aca="false">_xlfn.xlookup(G1825, years!A$2:A$836, years!B$2:B$836)</f>
        <v>2013</v>
      </c>
      <c r="I1825" s="2" t="n">
        <v>61</v>
      </c>
      <c r="J1825" s="0" t="n">
        <v>0.704</v>
      </c>
      <c r="K1825" s="0" t="n">
        <v>0.68</v>
      </c>
      <c r="L1825" s="3" t="str">
        <f aca="false">IF(K1825&gt;0.66,"High",IF(K1825&gt;0.33&amp;K1825&lt;=0.66,"Medium","Low"))</f>
        <v>High</v>
      </c>
      <c r="M1825" s="0" t="n">
        <v>-4.751</v>
      </c>
      <c r="N1825" s="3" t="n">
        <v>0.0581</v>
      </c>
      <c r="O1825" s="3" t="n">
        <v>0.0059</v>
      </c>
      <c r="P1825" s="4" t="n">
        <v>0</v>
      </c>
      <c r="Q1825" s="3" t="n">
        <v>0.213</v>
      </c>
      <c r="R1825" s="3" t="n">
        <v>0.689</v>
      </c>
      <c r="S1825" s="3" t="str">
        <f aca="false">IF(R1825 &gt;= 0.5, "Positive", "Negative")</f>
        <v>Positive</v>
      </c>
      <c r="T1825" s="2" t="n">
        <v>123.973</v>
      </c>
      <c r="U1825" s="0" t="s">
        <v>22</v>
      </c>
    </row>
    <row r="1826" customFormat="false" ht="14.25" hidden="false" customHeight="false" outlineLevel="0" collapsed="false">
      <c r="A1826" s="0" t="n">
        <v>573</v>
      </c>
      <c r="B1826" s="0" t="str">
        <f aca="false">_xlfn.xlookup(A1826, artists!A$2:A$836, artists!B$2:B$836)</f>
        <v>Bingo Players</v>
      </c>
      <c r="C1826" s="1" t="s">
        <v>1848</v>
      </c>
      <c r="D1826" s="2" t="n">
        <v>166933</v>
      </c>
      <c r="E1826" s="2" t="n">
        <f aca="false">D1826/1000</f>
        <v>166.933</v>
      </c>
      <c r="F1826" s="10" t="b">
        <f aca="false">FALSE()</f>
        <v>0</v>
      </c>
      <c r="G1826" s="0" t="n">
        <v>16</v>
      </c>
      <c r="H1826" s="0" t="n">
        <f aca="false">_xlfn.xlookup(G1826, years!A$2:A$836, years!B$2:B$836)</f>
        <v>2013</v>
      </c>
      <c r="I1826" s="2" t="n">
        <v>1</v>
      </c>
      <c r="J1826" s="0" t="n">
        <v>0.801</v>
      </c>
      <c r="K1826" s="0" t="n">
        <v>0.985</v>
      </c>
      <c r="L1826" s="3" t="str">
        <f aca="false">IF(K1826&gt;0.66,"High",IF(K1826&gt;0.33&amp;K1826&lt;=0.66,"Medium","Low"))</f>
        <v>High</v>
      </c>
      <c r="M1826" s="0" t="n">
        <v>-2.69</v>
      </c>
      <c r="N1826" s="3" t="n">
        <v>0.0645</v>
      </c>
      <c r="O1826" s="3" t="n">
        <v>0.0205</v>
      </c>
      <c r="P1826" s="4" t="n">
        <v>6.86E-006</v>
      </c>
      <c r="Q1826" s="3" t="n">
        <v>0.296</v>
      </c>
      <c r="R1826" s="3" t="n">
        <v>0.722</v>
      </c>
      <c r="S1826" s="3" t="str">
        <f aca="false">IF(R1826 &gt;= 0.5, "Positive", "Negative")</f>
        <v>Positive</v>
      </c>
      <c r="T1826" s="2" t="n">
        <v>127.99</v>
      </c>
      <c r="U1826" s="0" t="s">
        <v>22</v>
      </c>
    </row>
    <row r="1827" customFormat="false" ht="14.25" hidden="false" customHeight="false" outlineLevel="0" collapsed="false">
      <c r="A1827" s="0" t="n">
        <v>463</v>
      </c>
      <c r="B1827" s="0" t="str">
        <f aca="false">_xlfn.xlookup(A1827, artists!A$2:A$836, artists!B$2:B$836)</f>
        <v>Justin Bieber</v>
      </c>
      <c r="C1827" s="1" t="s">
        <v>1849</v>
      </c>
      <c r="D1827" s="2" t="n">
        <v>205680</v>
      </c>
      <c r="E1827" s="2" t="n">
        <f aca="false">D1827/1000</f>
        <v>205.68</v>
      </c>
      <c r="F1827" s="10" t="b">
        <f aca="false">FALSE()</f>
        <v>0</v>
      </c>
      <c r="G1827" s="0" t="n">
        <v>18</v>
      </c>
      <c r="H1827" s="0" t="n">
        <f aca="false">_xlfn.xlookup(G1827, years!A$2:A$836, years!B$2:B$836)</f>
        <v>2015</v>
      </c>
      <c r="I1827" s="2" t="n">
        <v>77</v>
      </c>
      <c r="J1827" s="0" t="n">
        <v>0.845</v>
      </c>
      <c r="K1827" s="0" t="n">
        <v>0.567</v>
      </c>
      <c r="L1827" s="3" t="str">
        <f aca="false">IF(K1827&gt;0.66,"High",IF(K1827&gt;0.33&amp;K1827&lt;=0.66,"Medium","Low"))</f>
        <v>Low</v>
      </c>
      <c r="M1827" s="0" t="n">
        <v>-8.118</v>
      </c>
      <c r="N1827" s="3" t="n">
        <v>0.0956</v>
      </c>
      <c r="O1827" s="3" t="n">
        <v>0.59</v>
      </c>
      <c r="P1827" s="4" t="n">
        <v>0.00142</v>
      </c>
      <c r="Q1827" s="3" t="n">
        <v>0.0811</v>
      </c>
      <c r="R1827" s="3" t="n">
        <v>0.793</v>
      </c>
      <c r="S1827" s="3" t="str">
        <f aca="false">IF(R1827 &gt;= 0.5, "Positive", "Negative")</f>
        <v>Positive</v>
      </c>
      <c r="T1827" s="2" t="n">
        <v>125.02</v>
      </c>
      <c r="U1827" s="0" t="s">
        <v>39</v>
      </c>
    </row>
    <row r="1828" customFormat="false" ht="14.25" hidden="false" customHeight="false" outlineLevel="0" collapsed="false">
      <c r="A1828" s="0" t="n">
        <v>176</v>
      </c>
      <c r="B1828" s="0" t="str">
        <f aca="false">_xlfn.xlookup(A1828, artists!A$2:A$836, artists!B$2:B$836)</f>
        <v>Justin Timberlake</v>
      </c>
      <c r="C1828" s="1" t="s">
        <v>1850</v>
      </c>
      <c r="D1828" s="2" t="n">
        <v>448573</v>
      </c>
      <c r="E1828" s="2" t="n">
        <f aca="false">D1828/1000</f>
        <v>448.573</v>
      </c>
      <c r="F1828" s="10" t="b">
        <f aca="false">FALSE()</f>
        <v>0</v>
      </c>
      <c r="G1828" s="0" t="n">
        <v>9</v>
      </c>
      <c r="H1828" s="0" t="n">
        <f aca="false">_xlfn.xlookup(G1828, years!A$2:A$836, years!B$2:B$836)</f>
        <v>2006</v>
      </c>
      <c r="I1828" s="2" t="n">
        <v>70</v>
      </c>
      <c r="J1828" s="0" t="n">
        <v>0.687</v>
      </c>
      <c r="K1828" s="0" t="n">
        <v>0.723</v>
      </c>
      <c r="L1828" s="3" t="str">
        <f aca="false">IF(K1828&gt;0.66,"High",IF(K1828&gt;0.33&amp;K1828&lt;=0.66,"Medium","Low"))</f>
        <v>High</v>
      </c>
      <c r="M1828" s="0" t="n">
        <v>-4.751</v>
      </c>
      <c r="N1828" s="3" t="n">
        <v>0.0709</v>
      </c>
      <c r="O1828" s="3" t="n">
        <v>0.122</v>
      </c>
      <c r="P1828" s="4" t="n">
        <v>0.00102</v>
      </c>
      <c r="Q1828" s="3" t="n">
        <v>0.573</v>
      </c>
      <c r="R1828" s="3" t="n">
        <v>0.432</v>
      </c>
      <c r="S1828" s="3" t="str">
        <f aca="false">IF(R1828 &gt;= 0.5, "Positive", "Negative")</f>
        <v>Negative</v>
      </c>
      <c r="T1828" s="2" t="n">
        <v>76</v>
      </c>
      <c r="U1828" s="0" t="s">
        <v>39</v>
      </c>
    </row>
    <row r="1829" customFormat="false" ht="14.25" hidden="false" customHeight="false" outlineLevel="0" collapsed="false">
      <c r="A1829" s="0" t="n">
        <v>340</v>
      </c>
      <c r="B1829" s="0" t="str">
        <f aca="false">_xlfn.xlookup(A1829, artists!A$2:A$836, artists!B$2:B$836)</f>
        <v>Rascal Flatts</v>
      </c>
      <c r="C1829" s="1" t="s">
        <v>1851</v>
      </c>
      <c r="D1829" s="2" t="n">
        <v>214106</v>
      </c>
      <c r="E1829" s="2" t="n">
        <f aca="false">D1829/1000</f>
        <v>214.106</v>
      </c>
      <c r="F1829" s="10" t="b">
        <f aca="false">FALSE()</f>
        <v>0</v>
      </c>
      <c r="G1829" s="0" t="n">
        <v>9</v>
      </c>
      <c r="H1829" s="0" t="n">
        <f aca="false">_xlfn.xlookup(G1829, years!A$2:A$836, years!B$2:B$836)</f>
        <v>2006</v>
      </c>
      <c r="I1829" s="2" t="n">
        <v>69</v>
      </c>
      <c r="J1829" s="0" t="n">
        <v>0.537</v>
      </c>
      <c r="K1829" s="0" t="n">
        <v>0.674</v>
      </c>
      <c r="L1829" s="3" t="str">
        <f aca="false">IF(K1829&gt;0.66,"High",IF(K1829&gt;0.33&amp;K1829&lt;=0.66,"Medium","Low"))</f>
        <v>High</v>
      </c>
      <c r="M1829" s="0" t="n">
        <v>-5.134</v>
      </c>
      <c r="N1829" s="3" t="n">
        <v>0.0277</v>
      </c>
      <c r="O1829" s="3" t="n">
        <v>0.0088</v>
      </c>
      <c r="P1829" s="4" t="n">
        <v>0</v>
      </c>
      <c r="Q1829" s="3" t="n">
        <v>0.265</v>
      </c>
      <c r="R1829" s="3" t="n">
        <v>0.33</v>
      </c>
      <c r="S1829" s="3" t="str">
        <f aca="false">IF(R1829 &gt;= 0.5, "Positive", "Negative")</f>
        <v>Negative</v>
      </c>
      <c r="T1829" s="2" t="n">
        <v>136.002</v>
      </c>
      <c r="U1829" s="0" t="s">
        <v>150</v>
      </c>
    </row>
    <row r="1830" customFormat="false" ht="14.25" hidden="false" customHeight="false" outlineLevel="0" collapsed="false">
      <c r="A1830" s="0" t="n">
        <v>20</v>
      </c>
      <c r="B1830" s="0" t="str">
        <f aca="false">_xlfn.xlookup(A1830, artists!A$2:A$836, artists!B$2:B$836)</f>
        <v>Linkin Park</v>
      </c>
      <c r="C1830" s="1" t="s">
        <v>1852</v>
      </c>
      <c r="D1830" s="2" t="n">
        <v>205613</v>
      </c>
      <c r="E1830" s="2" t="n">
        <f aca="false">D1830/1000</f>
        <v>205.613</v>
      </c>
      <c r="F1830" s="10" t="b">
        <f aca="false">FALSE()</f>
        <v>0</v>
      </c>
      <c r="G1830" s="0" t="n">
        <v>10</v>
      </c>
      <c r="H1830" s="0" t="n">
        <f aca="false">_xlfn.xlookup(G1830, years!A$2:A$836, years!B$2:B$836)</f>
        <v>2007</v>
      </c>
      <c r="I1830" s="2" t="n">
        <v>77</v>
      </c>
      <c r="J1830" s="0" t="n">
        <v>0.623</v>
      </c>
      <c r="K1830" s="0" t="n">
        <v>0.93</v>
      </c>
      <c r="L1830" s="3" t="str">
        <f aca="false">IF(K1830&gt;0.66,"High",IF(K1830&gt;0.33&amp;K1830&lt;=0.66,"Medium","Low"))</f>
        <v>High</v>
      </c>
      <c r="M1830" s="0" t="n">
        <v>-5.285</v>
      </c>
      <c r="N1830" s="3" t="n">
        <v>0.0324</v>
      </c>
      <c r="O1830" s="3" t="n">
        <v>0.0141</v>
      </c>
      <c r="P1830" s="4" t="n">
        <v>1.64E-006</v>
      </c>
      <c r="Q1830" s="3" t="n">
        <v>0.138</v>
      </c>
      <c r="R1830" s="3" t="n">
        <v>0.287</v>
      </c>
      <c r="S1830" s="3" t="str">
        <f aca="false">IF(R1830 &gt;= 0.5, "Positive", "Negative")</f>
        <v>Negative</v>
      </c>
      <c r="T1830" s="2" t="n">
        <v>120.119</v>
      </c>
      <c r="U1830" s="0" t="s">
        <v>81</v>
      </c>
    </row>
    <row r="1831" customFormat="false" ht="14.25" hidden="false" customHeight="false" outlineLevel="0" collapsed="false">
      <c r="A1831" s="0" t="n">
        <v>560</v>
      </c>
      <c r="B1831" s="0" t="str">
        <f aca="false">_xlfn.xlookup(A1831, artists!A$2:A$836, artists!B$2:B$836)</f>
        <v>One Direction</v>
      </c>
      <c r="C1831" s="1" t="s">
        <v>1853</v>
      </c>
      <c r="D1831" s="2" t="n">
        <v>199986</v>
      </c>
      <c r="E1831" s="2" t="n">
        <f aca="false">D1831/1000</f>
        <v>199.986</v>
      </c>
      <c r="F1831" s="10" t="b">
        <f aca="false">FALSE()</f>
        <v>0</v>
      </c>
      <c r="G1831" s="0" t="n">
        <v>15</v>
      </c>
      <c r="H1831" s="0" t="n">
        <f aca="false">_xlfn.xlookup(G1831, years!A$2:A$836, years!B$2:B$836)</f>
        <v>2012</v>
      </c>
      <c r="I1831" s="2" t="n">
        <v>82</v>
      </c>
      <c r="J1831" s="0" t="n">
        <v>0.726</v>
      </c>
      <c r="K1831" s="0" t="n">
        <v>0.787</v>
      </c>
      <c r="L1831" s="3" t="str">
        <f aca="false">IF(K1831&gt;0.66,"High",IF(K1831&gt;0.33&amp;K1831&lt;=0.66,"Medium","Low"))</f>
        <v>High</v>
      </c>
      <c r="M1831" s="0" t="n">
        <v>-2.494</v>
      </c>
      <c r="N1831" s="3" t="n">
        <v>0.0737</v>
      </c>
      <c r="O1831" s="3" t="n">
        <v>0.009</v>
      </c>
      <c r="P1831" s="4" t="n">
        <v>0</v>
      </c>
      <c r="Q1831" s="3" t="n">
        <v>0.0596</v>
      </c>
      <c r="R1831" s="3" t="n">
        <v>0.888</v>
      </c>
      <c r="S1831" s="3" t="str">
        <f aca="false">IF(R1831 &gt;= 0.5, "Positive", "Negative")</f>
        <v>Positive</v>
      </c>
      <c r="T1831" s="2" t="n">
        <v>124.99</v>
      </c>
      <c r="U1831" s="0" t="s">
        <v>39</v>
      </c>
    </row>
    <row r="1832" customFormat="false" ht="14.25" hidden="false" customHeight="false" outlineLevel="0" collapsed="false">
      <c r="A1832" s="0" t="n">
        <v>146</v>
      </c>
      <c r="B1832" s="0" t="str">
        <f aca="false">_xlfn.xlookup(A1832, artists!A$2:A$836, artists!B$2:B$836)</f>
        <v>Avril Lavigne</v>
      </c>
      <c r="C1832" s="1" t="s">
        <v>1854</v>
      </c>
      <c r="D1832" s="2" t="n">
        <v>220706</v>
      </c>
      <c r="E1832" s="2" t="n">
        <f aca="false">D1832/1000</f>
        <v>220.706</v>
      </c>
      <c r="F1832" s="10" t="b">
        <f aca="false">FALSE()</f>
        <v>0</v>
      </c>
      <c r="G1832" s="0" t="n">
        <v>14</v>
      </c>
      <c r="H1832" s="0" t="n">
        <f aca="false">_xlfn.xlookup(G1832, years!A$2:A$836, years!B$2:B$836)</f>
        <v>2011</v>
      </c>
      <c r="I1832" s="2" t="n">
        <v>74</v>
      </c>
      <c r="J1832" s="0" t="n">
        <v>0.578</v>
      </c>
      <c r="K1832" s="0" t="n">
        <v>0.926</v>
      </c>
      <c r="L1832" s="3" t="str">
        <f aca="false">IF(K1832&gt;0.66,"High",IF(K1832&gt;0.33&amp;K1832&lt;=0.66,"Medium","Low"))</f>
        <v>High</v>
      </c>
      <c r="M1832" s="0" t="n">
        <v>-3.689</v>
      </c>
      <c r="N1832" s="3" t="n">
        <v>0.0548</v>
      </c>
      <c r="O1832" s="3" t="n">
        <v>0.00472</v>
      </c>
      <c r="P1832" s="4" t="n">
        <v>0.0127</v>
      </c>
      <c r="Q1832" s="3" t="n">
        <v>0.14</v>
      </c>
      <c r="R1832" s="3" t="n">
        <v>0.877</v>
      </c>
      <c r="S1832" s="3" t="str">
        <f aca="false">IF(R1832 &gt;= 0.5, "Positive", "Negative")</f>
        <v>Positive</v>
      </c>
      <c r="T1832" s="2" t="n">
        <v>149.976</v>
      </c>
      <c r="U1832" s="0" t="s">
        <v>39</v>
      </c>
    </row>
    <row r="1833" customFormat="false" ht="14.25" hidden="false" customHeight="false" outlineLevel="0" collapsed="false">
      <c r="A1833" s="0" t="n">
        <v>93</v>
      </c>
      <c r="B1833" s="0" t="str">
        <f aca="false">_xlfn.xlookup(A1833, artists!A$2:A$836, artists!B$2:B$836)</f>
        <v>Emma Bunton</v>
      </c>
      <c r="C1833" s="1" t="s">
        <v>1855</v>
      </c>
      <c r="D1833" s="2" t="n">
        <v>241000</v>
      </c>
      <c r="E1833" s="2" t="n">
        <f aca="false">D1833/1000</f>
        <v>241</v>
      </c>
      <c r="F1833" s="10" t="b">
        <f aca="false">FALSE()</f>
        <v>0</v>
      </c>
      <c r="G1833" s="0" t="n">
        <v>4</v>
      </c>
      <c r="H1833" s="0" t="n">
        <f aca="false">_xlfn.xlookup(G1833, years!A$2:A$836, years!B$2:B$836)</f>
        <v>2001</v>
      </c>
      <c r="I1833" s="2" t="n">
        <v>54</v>
      </c>
      <c r="J1833" s="0" t="n">
        <v>0.668</v>
      </c>
      <c r="K1833" s="0" t="n">
        <v>0.772</v>
      </c>
      <c r="L1833" s="3" t="str">
        <f aca="false">IF(K1833&gt;0.66,"High",IF(K1833&gt;0.33&amp;K1833&lt;=0.66,"Medium","Low"))</f>
        <v>High</v>
      </c>
      <c r="M1833" s="0" t="n">
        <v>-5.4</v>
      </c>
      <c r="N1833" s="3" t="n">
        <v>0.0307</v>
      </c>
      <c r="O1833" s="3" t="n">
        <v>0.123</v>
      </c>
      <c r="P1833" s="4" t="n">
        <v>0</v>
      </c>
      <c r="Q1833" s="3" t="n">
        <v>0.341</v>
      </c>
      <c r="R1833" s="3" t="n">
        <v>0.911</v>
      </c>
      <c r="S1833" s="3" t="str">
        <f aca="false">IF(R1833 &gt;= 0.5, "Positive", "Negative")</f>
        <v>Positive</v>
      </c>
      <c r="T1833" s="2" t="n">
        <v>118.011</v>
      </c>
      <c r="U1833" s="0" t="s">
        <v>39</v>
      </c>
    </row>
    <row r="1834" customFormat="false" ht="14.25" hidden="false" customHeight="false" outlineLevel="0" collapsed="false">
      <c r="A1834" s="0" t="n">
        <v>405</v>
      </c>
      <c r="B1834" s="0" t="str">
        <f aca="false">_xlfn.xlookup(A1834, artists!A$2:A$836, artists!B$2:B$836)</f>
        <v>Colby O'Donis</v>
      </c>
      <c r="C1834" s="1" t="s">
        <v>1856</v>
      </c>
      <c r="D1834" s="2" t="n">
        <v>243013</v>
      </c>
      <c r="E1834" s="2" t="n">
        <f aca="false">D1834/1000</f>
        <v>243.013</v>
      </c>
      <c r="F1834" s="10" t="b">
        <f aca="false">FALSE()</f>
        <v>0</v>
      </c>
      <c r="G1834" s="0" t="n">
        <v>11</v>
      </c>
      <c r="H1834" s="0" t="n">
        <f aca="false">_xlfn.xlookup(G1834, years!A$2:A$836, years!B$2:B$836)</f>
        <v>2008</v>
      </c>
      <c r="I1834" s="2" t="n">
        <v>61</v>
      </c>
      <c r="J1834" s="0" t="n">
        <v>0.775</v>
      </c>
      <c r="K1834" s="0" t="n">
        <v>0.641</v>
      </c>
      <c r="L1834" s="3" t="str">
        <f aca="false">IF(K1834&gt;0.66,"High",IF(K1834&gt;0.33&amp;K1834&lt;=0.66,"Medium","Low"))</f>
        <v>Low</v>
      </c>
      <c r="M1834" s="0" t="n">
        <v>-6.718</v>
      </c>
      <c r="N1834" s="3" t="n">
        <v>0.038</v>
      </c>
      <c r="O1834" s="3" t="n">
        <v>0.0327</v>
      </c>
      <c r="P1834" s="4" t="n">
        <v>0</v>
      </c>
      <c r="Q1834" s="3" t="n">
        <v>0.18</v>
      </c>
      <c r="R1834" s="3" t="n">
        <v>0.305</v>
      </c>
      <c r="S1834" s="3" t="str">
        <f aca="false">IF(R1834 &gt;= 0.5, "Positive", "Negative")</f>
        <v>Negative</v>
      </c>
      <c r="T1834" s="2" t="n">
        <v>119.974</v>
      </c>
      <c r="U1834" s="0" t="s">
        <v>31</v>
      </c>
    </row>
    <row r="1835" customFormat="false" ht="14.25" hidden="false" customHeight="false" outlineLevel="0" collapsed="false">
      <c r="A1835" s="0" t="n">
        <v>260</v>
      </c>
      <c r="B1835" s="0" t="str">
        <f aca="false">_xlfn.xlookup(A1835, artists!A$2:A$836, artists!B$2:B$836)</f>
        <v>T.I.</v>
      </c>
      <c r="C1835" s="1" t="s">
        <v>1857</v>
      </c>
      <c r="D1835" s="2" t="n">
        <v>274333</v>
      </c>
      <c r="E1835" s="2" t="n">
        <f aca="false">D1835/1000</f>
        <v>274.333</v>
      </c>
      <c r="F1835" s="10" t="b">
        <f aca="false">TRUE()</f>
        <v>1</v>
      </c>
      <c r="G1835" s="0" t="n">
        <v>9</v>
      </c>
      <c r="H1835" s="0" t="n">
        <f aca="false">_xlfn.xlookup(G1835, years!A$2:A$836, years!B$2:B$836)</f>
        <v>2006</v>
      </c>
      <c r="I1835" s="2" t="n">
        <v>64</v>
      </c>
      <c r="J1835" s="0" t="n">
        <v>0.551</v>
      </c>
      <c r="K1835" s="0" t="n">
        <v>0.81</v>
      </c>
      <c r="L1835" s="3" t="str">
        <f aca="false">IF(K1835&gt;0.66,"High",IF(K1835&gt;0.33&amp;K1835&lt;=0.66,"Medium","Low"))</f>
        <v>High</v>
      </c>
      <c r="M1835" s="0" t="n">
        <v>-4.365</v>
      </c>
      <c r="N1835" s="3" t="n">
        <v>0.0344</v>
      </c>
      <c r="O1835" s="3" t="n">
        <v>0.0155</v>
      </c>
      <c r="P1835" s="4" t="n">
        <v>0</v>
      </c>
      <c r="Q1835" s="3" t="n">
        <v>0.169</v>
      </c>
      <c r="R1835" s="3" t="n">
        <v>0.332</v>
      </c>
      <c r="S1835" s="3" t="str">
        <f aca="false">IF(R1835 &gt;= 0.5, "Positive", "Negative")</f>
        <v>Negative</v>
      </c>
      <c r="T1835" s="2" t="n">
        <v>73.464</v>
      </c>
      <c r="U1835" s="0" t="s">
        <v>24</v>
      </c>
    </row>
    <row r="1836" customFormat="false" ht="14.25" hidden="false" customHeight="false" outlineLevel="0" collapsed="false">
      <c r="A1836" s="0" t="n">
        <v>499</v>
      </c>
      <c r="B1836" s="0" t="str">
        <f aca="false">_xlfn.xlookup(A1836, artists!A$2:A$836, artists!B$2:B$836)</f>
        <v>Two Door Cinema Club</v>
      </c>
      <c r="C1836" s="1" t="s">
        <v>1857</v>
      </c>
      <c r="D1836" s="2" t="n">
        <v>189693</v>
      </c>
      <c r="E1836" s="2" t="n">
        <f aca="false">D1836/1000</f>
        <v>189.693</v>
      </c>
      <c r="F1836" s="10" t="b">
        <f aca="false">FALSE()</f>
        <v>0</v>
      </c>
      <c r="G1836" s="0" t="n">
        <v>13</v>
      </c>
      <c r="H1836" s="0" t="n">
        <f aca="false">_xlfn.xlookup(G1836, years!A$2:A$836, years!B$2:B$836)</f>
        <v>2010</v>
      </c>
      <c r="I1836" s="2" t="n">
        <v>0</v>
      </c>
      <c r="J1836" s="0" t="n">
        <v>0.55</v>
      </c>
      <c r="K1836" s="0" t="n">
        <v>0.753</v>
      </c>
      <c r="L1836" s="3" t="str">
        <f aca="false">IF(K1836&gt;0.66,"High",IF(K1836&gt;0.33&amp;K1836&lt;=0.66,"Medium","Low"))</f>
        <v>High</v>
      </c>
      <c r="M1836" s="0" t="n">
        <v>-4.003</v>
      </c>
      <c r="N1836" s="3" t="n">
        <v>0.0407</v>
      </c>
      <c r="O1836" s="3" t="n">
        <v>0.000665</v>
      </c>
      <c r="P1836" s="4" t="n">
        <v>7.74E-006</v>
      </c>
      <c r="Q1836" s="3" t="n">
        <v>0.0921</v>
      </c>
      <c r="R1836" s="3" t="n">
        <v>0.841</v>
      </c>
      <c r="S1836" s="3" t="str">
        <f aca="false">IF(R1836 &gt;= 0.5, "Positive", "Negative")</f>
        <v>Positive</v>
      </c>
      <c r="T1836" s="2" t="n">
        <v>139.048</v>
      </c>
      <c r="U1836" s="0" t="s">
        <v>1858</v>
      </c>
    </row>
    <row r="1837" customFormat="false" ht="14.25" hidden="false" customHeight="false" outlineLevel="0" collapsed="false">
      <c r="A1837" s="0" t="n">
        <v>241</v>
      </c>
      <c r="B1837" s="0" t="str">
        <f aca="false">_xlfn.xlookup(A1837, artists!A$2:A$836, artists!B$2:B$836)</f>
        <v>Gwen Stefani</v>
      </c>
      <c r="C1837" s="1" t="s">
        <v>1859</v>
      </c>
      <c r="D1837" s="2" t="n">
        <v>221226</v>
      </c>
      <c r="E1837" s="2" t="n">
        <f aca="false">D1837/1000</f>
        <v>221.226</v>
      </c>
      <c r="F1837" s="10" t="b">
        <f aca="false">FALSE()</f>
        <v>0</v>
      </c>
      <c r="G1837" s="0" t="n">
        <v>7</v>
      </c>
      <c r="H1837" s="0" t="n">
        <f aca="false">_xlfn.xlookup(G1837, years!A$2:A$836, years!B$2:B$836)</f>
        <v>2004</v>
      </c>
      <c r="I1837" s="2" t="n">
        <v>60</v>
      </c>
      <c r="J1837" s="0" t="n">
        <v>0.676</v>
      </c>
      <c r="K1837" s="0" t="n">
        <v>0.948</v>
      </c>
      <c r="L1837" s="3" t="str">
        <f aca="false">IF(K1837&gt;0.66,"High",IF(K1837&gt;0.33&amp;K1837&lt;=0.66,"Medium","Low"))</f>
        <v>High</v>
      </c>
      <c r="M1837" s="0" t="n">
        <v>-2.557</v>
      </c>
      <c r="N1837" s="3" t="n">
        <v>0.0628</v>
      </c>
      <c r="O1837" s="3" t="n">
        <v>0.0509</v>
      </c>
      <c r="P1837" s="4" t="n">
        <v>8.19E-006</v>
      </c>
      <c r="Q1837" s="3" t="n">
        <v>0.384</v>
      </c>
      <c r="R1837" s="3" t="n">
        <v>0.731</v>
      </c>
      <c r="S1837" s="3" t="str">
        <f aca="false">IF(R1837 &gt;= 0.5, "Positive", "Negative")</f>
        <v>Positive</v>
      </c>
      <c r="T1837" s="2" t="n">
        <v>136.027</v>
      </c>
      <c r="U1837" s="0" t="s">
        <v>33</v>
      </c>
    </row>
    <row r="1838" customFormat="false" ht="14.25" hidden="false" customHeight="false" outlineLevel="0" collapsed="false">
      <c r="A1838" s="0" t="n">
        <v>486</v>
      </c>
      <c r="B1838" s="0" t="str">
        <f aca="false">_xlfn.xlookup(A1838, artists!A$2:A$836, artists!B$2:B$836)</f>
        <v>Adam Lambert</v>
      </c>
      <c r="C1838" s="1" t="s">
        <v>1860</v>
      </c>
      <c r="D1838" s="2" t="n">
        <v>227320</v>
      </c>
      <c r="E1838" s="2" t="n">
        <f aca="false">D1838/1000</f>
        <v>227.32</v>
      </c>
      <c r="F1838" s="10" t="b">
        <f aca="false">FALSE()</f>
        <v>0</v>
      </c>
      <c r="G1838" s="0" t="n">
        <v>12</v>
      </c>
      <c r="H1838" s="0" t="n">
        <f aca="false">_xlfn.xlookup(G1838, years!A$2:A$836, years!B$2:B$836)</f>
        <v>2009</v>
      </c>
      <c r="I1838" s="2" t="n">
        <v>57</v>
      </c>
      <c r="J1838" s="0" t="n">
        <v>0.438</v>
      </c>
      <c r="K1838" s="0" t="n">
        <v>0.672</v>
      </c>
      <c r="L1838" s="3" t="str">
        <f aca="false">IF(K1838&gt;0.66,"High",IF(K1838&gt;0.33&amp;K1838&lt;=0.66,"Medium","Low"))</f>
        <v>High</v>
      </c>
      <c r="M1838" s="0" t="n">
        <v>-4.706</v>
      </c>
      <c r="N1838" s="3" t="n">
        <v>0.0429</v>
      </c>
      <c r="O1838" s="3" t="n">
        <v>0.0055</v>
      </c>
      <c r="P1838" s="4" t="n">
        <v>0</v>
      </c>
      <c r="Q1838" s="3" t="n">
        <v>0.0583</v>
      </c>
      <c r="R1838" s="3" t="n">
        <v>0.457</v>
      </c>
      <c r="S1838" s="3" t="str">
        <f aca="false">IF(R1838 &gt;= 0.5, "Positive", "Negative")</f>
        <v>Negative</v>
      </c>
      <c r="T1838" s="2" t="n">
        <v>185.934</v>
      </c>
      <c r="U1838" s="0" t="s">
        <v>39</v>
      </c>
    </row>
    <row r="1839" customFormat="false" ht="14.25" hidden="false" customHeight="false" outlineLevel="0" collapsed="false">
      <c r="A1839" s="0" t="n">
        <v>458</v>
      </c>
      <c r="B1839" s="0" t="str">
        <f aca="false">_xlfn.xlookup(A1839, artists!A$2:A$836, artists!B$2:B$836)</f>
        <v>Jason Derulo</v>
      </c>
      <c r="C1839" s="1" t="s">
        <v>1861</v>
      </c>
      <c r="D1839" s="2" t="n">
        <v>221253</v>
      </c>
      <c r="E1839" s="2" t="n">
        <f aca="false">D1839/1000</f>
        <v>221.253</v>
      </c>
      <c r="F1839" s="10" t="b">
        <f aca="false">FALSE()</f>
        <v>0</v>
      </c>
      <c r="G1839" s="0" t="n">
        <v>13</v>
      </c>
      <c r="H1839" s="0" t="n">
        <f aca="false">_xlfn.xlookup(G1839, years!A$2:A$836, years!B$2:B$836)</f>
        <v>2010</v>
      </c>
      <c r="I1839" s="2" t="n">
        <v>70</v>
      </c>
      <c r="J1839" s="0" t="n">
        <v>0.615</v>
      </c>
      <c r="K1839" s="0" t="n">
        <v>0.711</v>
      </c>
      <c r="L1839" s="3" t="str">
        <f aca="false">IF(K1839&gt;0.66,"High",IF(K1839&gt;0.33&amp;K1839&lt;=0.66,"Medium","Low"))</f>
        <v>High</v>
      </c>
      <c r="M1839" s="0" t="n">
        <v>-5.507</v>
      </c>
      <c r="N1839" s="3" t="n">
        <v>0.0779</v>
      </c>
      <c r="O1839" s="3" t="n">
        <v>0.0444</v>
      </c>
      <c r="P1839" s="4" t="n">
        <v>0</v>
      </c>
      <c r="Q1839" s="3" t="n">
        <v>0.145</v>
      </c>
      <c r="R1839" s="3" t="n">
        <v>0.711</v>
      </c>
      <c r="S1839" s="3" t="str">
        <f aca="false">IF(R1839 &gt;= 0.5, "Positive", "Negative")</f>
        <v>Positive</v>
      </c>
      <c r="T1839" s="2" t="n">
        <v>144.036</v>
      </c>
      <c r="U1839" s="0" t="s">
        <v>24</v>
      </c>
    </row>
    <row r="1840" customFormat="false" ht="14.25" hidden="false" customHeight="false" outlineLevel="0" collapsed="false">
      <c r="A1840" s="0" t="n">
        <v>26</v>
      </c>
      <c r="B1840" s="0" t="str">
        <f aca="false">_xlfn.xlookup(A1840, artists!A$2:A$836, artists!B$2:B$836)</f>
        <v>Da Brat</v>
      </c>
      <c r="C1840" s="1" t="s">
        <v>1862</v>
      </c>
      <c r="D1840" s="2" t="n">
        <v>221160</v>
      </c>
      <c r="E1840" s="2" t="n">
        <f aca="false">D1840/1000</f>
        <v>221.16</v>
      </c>
      <c r="F1840" s="10" t="b">
        <f aca="false">TRUE()</f>
        <v>1</v>
      </c>
      <c r="G1840" s="0" t="n">
        <v>3</v>
      </c>
      <c r="H1840" s="0" t="n">
        <f aca="false">_xlfn.xlookup(G1840, years!A$2:A$836, years!B$2:B$836)</f>
        <v>2000</v>
      </c>
      <c r="I1840" s="2" t="n">
        <v>53</v>
      </c>
      <c r="J1840" s="0" t="n">
        <v>0.879</v>
      </c>
      <c r="K1840" s="0" t="n">
        <v>0.681</v>
      </c>
      <c r="L1840" s="3" t="str">
        <f aca="false">IF(K1840&gt;0.66,"High",IF(K1840&gt;0.33&amp;K1840&lt;=0.66,"Medium","Low"))</f>
        <v>High</v>
      </c>
      <c r="M1840" s="0" t="n">
        <v>-8.951</v>
      </c>
      <c r="N1840" s="3" t="n">
        <v>0.24</v>
      </c>
      <c r="O1840" s="3" t="n">
        <v>0.017</v>
      </c>
      <c r="P1840" s="4" t="n">
        <v>0</v>
      </c>
      <c r="Q1840" s="3" t="n">
        <v>0.0669</v>
      </c>
      <c r="R1840" s="3" t="n">
        <v>0.817</v>
      </c>
      <c r="S1840" s="3" t="str">
        <f aca="false">IF(R1840 &gt;= 0.5, "Positive", "Negative")</f>
        <v>Positive</v>
      </c>
      <c r="T1840" s="2" t="n">
        <v>99.974</v>
      </c>
      <c r="U1840" s="0" t="s">
        <v>31</v>
      </c>
    </row>
    <row r="1841" customFormat="false" ht="14.25" hidden="false" customHeight="false" outlineLevel="0" collapsed="false">
      <c r="A1841" s="0" t="n">
        <v>571</v>
      </c>
      <c r="B1841" s="0" t="str">
        <f aca="false">_xlfn.xlookup(A1841, artists!A$2:A$836, artists!B$2:B$836)</f>
        <v>Imagine Dragons</v>
      </c>
      <c r="C1841" s="1" t="s">
        <v>1863</v>
      </c>
      <c r="D1841" s="2" t="n">
        <v>201240</v>
      </c>
      <c r="E1841" s="2" t="n">
        <f aca="false">D1841/1000</f>
        <v>201.24</v>
      </c>
      <c r="F1841" s="10" t="b">
        <f aca="false">FALSE()</f>
        <v>0</v>
      </c>
      <c r="G1841" s="0" t="n">
        <v>20</v>
      </c>
      <c r="H1841" s="0" t="n">
        <f aca="false">_xlfn.xlookup(G1841, years!A$2:A$836, years!B$2:B$836)</f>
        <v>2017</v>
      </c>
      <c r="I1841" s="2" t="n">
        <v>80</v>
      </c>
      <c r="J1841" s="0" t="n">
        <v>0.672</v>
      </c>
      <c r="K1841" s="0" t="n">
        <v>0.655</v>
      </c>
      <c r="L1841" s="3" t="str">
        <f aca="false">IF(K1841&gt;0.66,"High",IF(K1841&gt;0.33&amp;K1841&lt;=0.66,"Medium","Low"))</f>
        <v>Low</v>
      </c>
      <c r="M1841" s="0" t="n">
        <v>-5.021</v>
      </c>
      <c r="N1841" s="3" t="n">
        <v>0.0311</v>
      </c>
      <c r="O1841" s="3" t="n">
        <v>0.0362</v>
      </c>
      <c r="P1841" s="4" t="n">
        <v>0</v>
      </c>
      <c r="Q1841" s="3" t="n">
        <v>0.117</v>
      </c>
      <c r="R1841" s="3" t="n">
        <v>0.556</v>
      </c>
      <c r="S1841" s="3" t="str">
        <f aca="false">IF(R1841 &gt;= 0.5, "Positive", "Negative")</f>
        <v>Positive</v>
      </c>
      <c r="T1841" s="2" t="n">
        <v>134.945</v>
      </c>
      <c r="U1841" s="0" t="s">
        <v>43</v>
      </c>
    </row>
    <row r="1842" customFormat="false" ht="14.25" hidden="false" customHeight="false" outlineLevel="0" collapsed="false">
      <c r="A1842" s="0" t="n">
        <v>260</v>
      </c>
      <c r="B1842" s="0" t="str">
        <f aca="false">_xlfn.xlookup(A1842, artists!A$2:A$836, artists!B$2:B$836)</f>
        <v>T.I.</v>
      </c>
      <c r="C1842" s="1" t="s">
        <v>1864</v>
      </c>
      <c r="D1842" s="2" t="n">
        <v>249533</v>
      </c>
      <c r="E1842" s="2" t="n">
        <f aca="false">D1842/1000</f>
        <v>249.533</v>
      </c>
      <c r="F1842" s="10" t="b">
        <f aca="false">TRUE()</f>
        <v>1</v>
      </c>
      <c r="G1842" s="0" t="n">
        <v>11</v>
      </c>
      <c r="H1842" s="0" t="n">
        <f aca="false">_xlfn.xlookup(G1842, years!A$2:A$836, years!B$2:B$836)</f>
        <v>2008</v>
      </c>
      <c r="I1842" s="2" t="n">
        <v>74</v>
      </c>
      <c r="J1842" s="0" t="n">
        <v>0.68</v>
      </c>
      <c r="K1842" s="0" t="n">
        <v>0.687</v>
      </c>
      <c r="L1842" s="3" t="str">
        <f aca="false">IF(K1842&gt;0.66,"High",IF(K1842&gt;0.33&amp;K1842&lt;=0.66,"Medium","Low"))</f>
        <v>High</v>
      </c>
      <c r="M1842" s="0" t="n">
        <v>-6.162</v>
      </c>
      <c r="N1842" s="3" t="n">
        <v>0.0709</v>
      </c>
      <c r="O1842" s="3" t="n">
        <v>0.0161</v>
      </c>
      <c r="P1842" s="4" t="n">
        <v>0</v>
      </c>
      <c r="Q1842" s="3" t="n">
        <v>0.261</v>
      </c>
      <c r="R1842" s="3" t="n">
        <v>0.467</v>
      </c>
      <c r="S1842" s="3" t="str">
        <f aca="false">IF(R1842 &gt;= 0.5, "Positive", "Negative")</f>
        <v>Negative</v>
      </c>
      <c r="T1842" s="2" t="n">
        <v>150.053</v>
      </c>
      <c r="U1842" s="0" t="s">
        <v>24</v>
      </c>
    </row>
    <row r="1843" customFormat="false" ht="14.25" hidden="false" customHeight="false" outlineLevel="0" collapsed="false">
      <c r="A1843" s="0" t="n">
        <v>422</v>
      </c>
      <c r="B1843" s="0" t="str">
        <f aca="false">_xlfn.xlookup(A1843, artists!A$2:A$836, artists!B$2:B$836)</f>
        <v>H "two" O</v>
      </c>
      <c r="C1843" s="1" t="s">
        <v>1865</v>
      </c>
      <c r="D1843" s="2" t="n">
        <v>207476</v>
      </c>
      <c r="E1843" s="2" t="n">
        <f aca="false">D1843/1000</f>
        <v>207.476</v>
      </c>
      <c r="F1843" s="10" t="b">
        <f aca="false">FALSE()</f>
        <v>0</v>
      </c>
      <c r="G1843" s="0" t="n">
        <v>11</v>
      </c>
      <c r="H1843" s="0" t="n">
        <f aca="false">_xlfn.xlookup(G1843, years!A$2:A$836, years!B$2:B$836)</f>
        <v>2008</v>
      </c>
      <c r="I1843" s="2" t="n">
        <v>55</v>
      </c>
      <c r="J1843" s="0" t="n">
        <v>0.733</v>
      </c>
      <c r="K1843" s="0" t="n">
        <v>0.9</v>
      </c>
      <c r="L1843" s="3" t="str">
        <f aca="false">IF(K1843&gt;0.66,"High",IF(K1843&gt;0.33&amp;K1843&lt;=0.66,"Medium","Low"))</f>
        <v>High</v>
      </c>
      <c r="M1843" s="0" t="n">
        <v>-4.758</v>
      </c>
      <c r="N1843" s="3" t="n">
        <v>0.0341</v>
      </c>
      <c r="O1843" s="3" t="n">
        <v>0.0085</v>
      </c>
      <c r="P1843" s="4" t="n">
        <v>0.0218</v>
      </c>
      <c r="Q1843" s="3" t="n">
        <v>0.151</v>
      </c>
      <c r="R1843" s="3" t="n">
        <v>0.937</v>
      </c>
      <c r="S1843" s="3" t="str">
        <f aca="false">IF(R1843 &gt;= 0.5, "Positive", "Negative")</f>
        <v>Positive</v>
      </c>
      <c r="T1843" s="2" t="n">
        <v>139.61</v>
      </c>
      <c r="U1843" s="0" t="s">
        <v>48</v>
      </c>
    </row>
    <row r="1844" customFormat="false" ht="14.25" hidden="false" customHeight="false" outlineLevel="0" collapsed="false">
      <c r="A1844" s="0" t="n">
        <v>338</v>
      </c>
      <c r="B1844" s="0" t="str">
        <f aca="false">_xlfn.xlookup(A1844, artists!A$2:A$836, artists!B$2:B$836)</f>
        <v>Nick Lachey</v>
      </c>
      <c r="C1844" s="1" t="s">
        <v>1866</v>
      </c>
      <c r="D1844" s="2" t="n">
        <v>244613</v>
      </c>
      <c r="E1844" s="2" t="n">
        <f aca="false">D1844/1000</f>
        <v>244.613</v>
      </c>
      <c r="F1844" s="10" t="b">
        <f aca="false">FALSE()</f>
        <v>0</v>
      </c>
      <c r="G1844" s="0" t="n">
        <v>9</v>
      </c>
      <c r="H1844" s="0" t="n">
        <f aca="false">_xlfn.xlookup(G1844, years!A$2:A$836, years!B$2:B$836)</f>
        <v>2006</v>
      </c>
      <c r="I1844" s="2" t="n">
        <v>37</v>
      </c>
      <c r="J1844" s="0" t="n">
        <v>0.42</v>
      </c>
      <c r="K1844" s="0" t="n">
        <v>0.742</v>
      </c>
      <c r="L1844" s="3" t="str">
        <f aca="false">IF(K1844&gt;0.66,"High",IF(K1844&gt;0.33&amp;K1844&lt;=0.66,"Medium","Low"))</f>
        <v>High</v>
      </c>
      <c r="M1844" s="0" t="n">
        <v>-5.665</v>
      </c>
      <c r="N1844" s="3" t="n">
        <v>0.0375</v>
      </c>
      <c r="O1844" s="3" t="n">
        <v>0.142</v>
      </c>
      <c r="P1844" s="4" t="n">
        <v>0</v>
      </c>
      <c r="Q1844" s="3" t="n">
        <v>0.145</v>
      </c>
      <c r="R1844" s="3" t="n">
        <v>0.294</v>
      </c>
      <c r="S1844" s="3" t="str">
        <f aca="false">IF(R1844 &gt;= 0.5, "Positive", "Negative")</f>
        <v>Negative</v>
      </c>
      <c r="T1844" s="2" t="n">
        <v>149.965</v>
      </c>
      <c r="U1844" s="0" t="s">
        <v>39</v>
      </c>
    </row>
    <row r="1845" customFormat="false" ht="14.25" hidden="false" customHeight="false" outlineLevel="0" collapsed="false">
      <c r="A1845" s="0" t="n">
        <v>166</v>
      </c>
      <c r="B1845" s="0" t="str">
        <f aca="false">_xlfn.xlookup(A1845, artists!A$2:A$836, artists!B$2:B$836)</f>
        <v>Fat Joe</v>
      </c>
      <c r="C1845" s="1" t="s">
        <v>1867</v>
      </c>
      <c r="D1845" s="2" t="n">
        <v>267093</v>
      </c>
      <c r="E1845" s="2" t="n">
        <f aca="false">D1845/1000</f>
        <v>267.093</v>
      </c>
      <c r="F1845" s="10" t="b">
        <f aca="false">TRUE()</f>
        <v>1</v>
      </c>
      <c r="G1845" s="0" t="n">
        <v>4</v>
      </c>
      <c r="H1845" s="0" t="n">
        <f aca="false">_xlfn.xlookup(G1845, years!A$2:A$836, years!B$2:B$836)</f>
        <v>2001</v>
      </c>
      <c r="I1845" s="2" t="n">
        <v>73</v>
      </c>
      <c r="J1845" s="0" t="n">
        <v>0.835</v>
      </c>
      <c r="K1845" s="0" t="n">
        <v>0.707</v>
      </c>
      <c r="L1845" s="3" t="str">
        <f aca="false">IF(K1845&gt;0.66,"High",IF(K1845&gt;0.33&amp;K1845&lt;=0.66,"Medium","Low"))</f>
        <v>High</v>
      </c>
      <c r="M1845" s="0" t="n">
        <v>-5.074</v>
      </c>
      <c r="N1845" s="3" t="n">
        <v>0.0598</v>
      </c>
      <c r="O1845" s="3" t="n">
        <v>0.0219</v>
      </c>
      <c r="P1845" s="4" t="n">
        <v>2.19E-005</v>
      </c>
      <c r="Q1845" s="3" t="n">
        <v>0.108</v>
      </c>
      <c r="R1845" s="3" t="n">
        <v>0.919</v>
      </c>
      <c r="S1845" s="3" t="str">
        <f aca="false">IF(R1845 &gt;= 0.5, "Positive", "Negative")</f>
        <v>Positive</v>
      </c>
      <c r="T1845" s="2" t="n">
        <v>93.955</v>
      </c>
      <c r="U1845" s="0" t="s">
        <v>24</v>
      </c>
    </row>
    <row r="1846" customFormat="false" ht="14.25" hidden="false" customHeight="false" outlineLevel="0" collapsed="false">
      <c r="A1846" s="0" t="n">
        <v>283</v>
      </c>
      <c r="B1846" s="0" t="str">
        <f aca="false">_xlfn.xlookup(A1846, artists!A$2:A$836, artists!B$2:B$836)</f>
        <v>Rihanna</v>
      </c>
      <c r="C1846" s="1" t="s">
        <v>1868</v>
      </c>
      <c r="D1846" s="2" t="n">
        <v>263173</v>
      </c>
      <c r="E1846" s="2" t="n">
        <f aca="false">D1846/1000</f>
        <v>263.173</v>
      </c>
      <c r="F1846" s="10" t="b">
        <f aca="false">FALSE()</f>
        <v>0</v>
      </c>
      <c r="G1846" s="0" t="n">
        <v>13</v>
      </c>
      <c r="H1846" s="0" t="n">
        <f aca="false">_xlfn.xlookup(G1846, years!A$2:A$836, years!B$2:B$836)</f>
        <v>2010</v>
      </c>
      <c r="I1846" s="2" t="n">
        <v>66</v>
      </c>
      <c r="J1846" s="0" t="n">
        <v>0.692</v>
      </c>
      <c r="K1846" s="0" t="n">
        <v>0.786</v>
      </c>
      <c r="L1846" s="3" t="str">
        <f aca="false">IF(K1846&gt;0.66,"High",IF(K1846&gt;0.33&amp;K1846&lt;=0.66,"Medium","Low"))</f>
        <v>High</v>
      </c>
      <c r="M1846" s="0" t="n">
        <v>-2.959</v>
      </c>
      <c r="N1846" s="3" t="n">
        <v>0.069</v>
      </c>
      <c r="O1846" s="3" t="n">
        <v>0.23</v>
      </c>
      <c r="P1846" s="4" t="n">
        <v>0</v>
      </c>
      <c r="Q1846" s="3" t="n">
        <v>0.0797</v>
      </c>
      <c r="R1846" s="3" t="n">
        <v>0.583</v>
      </c>
      <c r="S1846" s="3" t="str">
        <f aca="false">IF(R1846 &gt;= 0.5, "Positive", "Negative")</f>
        <v>Positive</v>
      </c>
      <c r="T1846" s="2" t="n">
        <v>100.025</v>
      </c>
      <c r="U1846" s="0" t="s">
        <v>31</v>
      </c>
    </row>
    <row r="1847" customFormat="false" ht="14.25" hidden="false" customHeight="false" outlineLevel="0" collapsed="false">
      <c r="A1847" s="0" t="n">
        <v>285</v>
      </c>
      <c r="B1847" s="0" t="str">
        <f aca="false">_xlfn.xlookup(A1847, artists!A$2:A$836, artists!B$2:B$836)</f>
        <v>The Pussycat Dolls</v>
      </c>
      <c r="C1847" s="1" t="s">
        <v>1869</v>
      </c>
      <c r="D1847" s="2" t="n">
        <v>245680</v>
      </c>
      <c r="E1847" s="2" t="n">
        <f aca="false">D1847/1000</f>
        <v>245.68</v>
      </c>
      <c r="F1847" s="10" t="b">
        <f aca="false">FALSE()</f>
        <v>0</v>
      </c>
      <c r="G1847" s="0" t="n">
        <v>11</v>
      </c>
      <c r="H1847" s="0" t="n">
        <f aca="false">_xlfn.xlookup(G1847, years!A$2:A$836, years!B$2:B$836)</f>
        <v>2008</v>
      </c>
      <c r="I1847" s="2" t="n">
        <v>72</v>
      </c>
      <c r="J1847" s="0" t="n">
        <v>0.671</v>
      </c>
      <c r="K1847" s="0" t="n">
        <v>0.685</v>
      </c>
      <c r="L1847" s="3" t="str">
        <f aca="false">IF(K1847&gt;0.66,"High",IF(K1847&gt;0.33&amp;K1847&lt;=0.66,"Medium","Low"))</f>
        <v>High</v>
      </c>
      <c r="M1847" s="0" t="n">
        <v>-5.762</v>
      </c>
      <c r="N1847" s="3" t="n">
        <v>0.05</v>
      </c>
      <c r="O1847" s="3" t="n">
        <v>0.00165</v>
      </c>
      <c r="P1847" s="4" t="n">
        <v>0</v>
      </c>
      <c r="Q1847" s="3" t="n">
        <v>0.398</v>
      </c>
      <c r="R1847" s="3" t="n">
        <v>0.368</v>
      </c>
      <c r="S1847" s="3" t="str">
        <f aca="false">IF(R1847 &gt;= 0.5, "Positive", "Negative")</f>
        <v>Negative</v>
      </c>
      <c r="T1847" s="2" t="n">
        <v>118.449</v>
      </c>
      <c r="U1847" s="0" t="s">
        <v>33</v>
      </c>
    </row>
    <row r="1848" customFormat="false" ht="14.25" hidden="false" customHeight="false" outlineLevel="0" collapsed="false">
      <c r="A1848" s="0" t="n">
        <v>469</v>
      </c>
      <c r="B1848" s="0" t="str">
        <f aca="false">_xlfn.xlookup(A1848, artists!A$2:A$836, artists!B$2:B$836)</f>
        <v>Bruno Mars</v>
      </c>
      <c r="C1848" s="1" t="s">
        <v>1870</v>
      </c>
      <c r="D1848" s="2" t="n">
        <v>213826</v>
      </c>
      <c r="E1848" s="2" t="n">
        <f aca="false">D1848/1000</f>
        <v>213.826</v>
      </c>
      <c r="F1848" s="10" t="b">
        <f aca="false">FALSE()</f>
        <v>0</v>
      </c>
      <c r="G1848" s="0" t="n">
        <v>15</v>
      </c>
      <c r="H1848" s="0" t="n">
        <f aca="false">_xlfn.xlookup(G1848, years!A$2:A$836, years!B$2:B$836)</f>
        <v>2012</v>
      </c>
      <c r="I1848" s="2" t="n">
        <v>83</v>
      </c>
      <c r="J1848" s="0" t="n">
        <v>0.612</v>
      </c>
      <c r="K1848" s="0" t="n">
        <v>0.28</v>
      </c>
      <c r="L1848" s="3" t="str">
        <f aca="false">IF(K1848&gt;0.66,"High",IF(K1848&gt;0.33&amp;K1848&lt;=0.66,"Medium","Low"))</f>
        <v>Low</v>
      </c>
      <c r="M1848" s="0" t="n">
        <v>-8.648</v>
      </c>
      <c r="N1848" s="3" t="n">
        <v>0.0434</v>
      </c>
      <c r="O1848" s="3" t="n">
        <v>0.932</v>
      </c>
      <c r="P1848" s="4" t="n">
        <v>0</v>
      </c>
      <c r="Q1848" s="3" t="n">
        <v>0.088</v>
      </c>
      <c r="R1848" s="3" t="n">
        <v>0.387</v>
      </c>
      <c r="S1848" s="3" t="str">
        <f aca="false">IF(R1848 &gt;= 0.5, "Positive", "Negative")</f>
        <v>Negative</v>
      </c>
      <c r="T1848" s="2" t="n">
        <v>72.795</v>
      </c>
      <c r="U1848" s="0" t="s">
        <v>39</v>
      </c>
    </row>
    <row r="1849" customFormat="false" ht="14.25" hidden="false" customHeight="false" outlineLevel="0" collapsed="false">
      <c r="A1849" s="0" t="n">
        <v>66</v>
      </c>
      <c r="B1849" s="0" t="str">
        <f aca="false">_xlfn.xlookup(A1849, artists!A$2:A$836, artists!B$2:B$836)</f>
        <v>3 Doors Down</v>
      </c>
      <c r="C1849" s="1" t="s">
        <v>1871</v>
      </c>
      <c r="D1849" s="2" t="n">
        <v>260333</v>
      </c>
      <c r="E1849" s="2" t="n">
        <f aca="false">D1849/1000</f>
        <v>260.333</v>
      </c>
      <c r="F1849" s="10" t="b">
        <f aca="false">FALSE()</f>
        <v>0</v>
      </c>
      <c r="G1849" s="0" t="n">
        <v>5</v>
      </c>
      <c r="H1849" s="0" t="n">
        <f aca="false">_xlfn.xlookup(G1849, years!A$2:A$836, years!B$2:B$836)</f>
        <v>2002</v>
      </c>
      <c r="I1849" s="2" t="n">
        <v>67</v>
      </c>
      <c r="J1849" s="0" t="n">
        <v>0.53</v>
      </c>
      <c r="K1849" s="0" t="n">
        <v>0.768</v>
      </c>
      <c r="L1849" s="3" t="str">
        <f aca="false">IF(K1849&gt;0.66,"High",IF(K1849&gt;0.33&amp;K1849&lt;=0.66,"Medium","Low"))</f>
        <v>High</v>
      </c>
      <c r="M1849" s="0" t="n">
        <v>-5.611</v>
      </c>
      <c r="N1849" s="3" t="n">
        <v>0.0284</v>
      </c>
      <c r="O1849" s="3" t="n">
        <v>0.00385</v>
      </c>
      <c r="P1849" s="4" t="n">
        <v>0</v>
      </c>
      <c r="Q1849" s="3" t="n">
        <v>0.103</v>
      </c>
      <c r="R1849" s="3" t="n">
        <v>0.374</v>
      </c>
      <c r="S1849" s="3" t="str">
        <f aca="false">IF(R1849 &gt;= 0.5, "Positive", "Negative")</f>
        <v>Negative</v>
      </c>
      <c r="T1849" s="2" t="n">
        <v>148.095</v>
      </c>
      <c r="U1849" s="0" t="s">
        <v>221</v>
      </c>
    </row>
    <row r="1850" customFormat="false" ht="14.25" hidden="false" customHeight="false" outlineLevel="0" collapsed="false">
      <c r="A1850" s="0" t="n">
        <v>7</v>
      </c>
      <c r="B1850" s="0" t="str">
        <f aca="false">_xlfn.xlookup(A1850, artists!A$2:A$836, artists!B$2:B$836)</f>
        <v>Eminem</v>
      </c>
      <c r="C1850" s="1" t="s">
        <v>1871</v>
      </c>
      <c r="D1850" s="2" t="n">
        <v>281320</v>
      </c>
      <c r="E1850" s="2" t="n">
        <f aca="false">D1850/1000</f>
        <v>281.32</v>
      </c>
      <c r="F1850" s="10" t="b">
        <f aca="false">TRUE()</f>
        <v>1</v>
      </c>
      <c r="G1850" s="0" t="n">
        <v>8</v>
      </c>
      <c r="H1850" s="0" t="n">
        <f aca="false">_xlfn.xlookup(G1850, years!A$2:A$836, years!B$2:B$836)</f>
        <v>2005</v>
      </c>
      <c r="I1850" s="2" t="n">
        <v>68</v>
      </c>
      <c r="J1850" s="0" t="n">
        <v>0.618</v>
      </c>
      <c r="K1850" s="0" t="n">
        <v>0.746</v>
      </c>
      <c r="L1850" s="3" t="str">
        <f aca="false">IF(K1850&gt;0.66,"High",IF(K1850&gt;0.33&amp;K1850&lt;=0.66,"Medium","Low"))</f>
        <v>High</v>
      </c>
      <c r="M1850" s="0" t="n">
        <v>-5.476</v>
      </c>
      <c r="N1850" s="3" t="n">
        <v>0.352</v>
      </c>
      <c r="O1850" s="3" t="n">
        <v>0.0553</v>
      </c>
      <c r="P1850" s="4" t="n">
        <v>0</v>
      </c>
      <c r="Q1850" s="3" t="n">
        <v>0.273</v>
      </c>
      <c r="R1850" s="3" t="n">
        <v>0.75</v>
      </c>
      <c r="S1850" s="3" t="str">
        <f aca="false">IF(R1850 &gt;= 0.5, "Positive", "Negative")</f>
        <v>Positive</v>
      </c>
      <c r="T1850" s="2" t="n">
        <v>75.272</v>
      </c>
      <c r="U1850" s="0" t="s">
        <v>29</v>
      </c>
    </row>
    <row r="1851" customFormat="false" ht="14.25" hidden="false" customHeight="false" outlineLevel="0" collapsed="false">
      <c r="A1851" s="0" t="n">
        <v>438</v>
      </c>
      <c r="B1851" s="0" t="str">
        <f aca="false">_xlfn.xlookup(A1851, artists!A$2:A$836, artists!B$2:B$836)</f>
        <v>David Guetta</v>
      </c>
      <c r="C1851" s="1" t="s">
        <v>1872</v>
      </c>
      <c r="D1851" s="2" t="n">
        <v>191000</v>
      </c>
      <c r="E1851" s="2" t="n">
        <f aca="false">D1851/1000</f>
        <v>191</v>
      </c>
      <c r="F1851" s="10" t="b">
        <f aca="false">FALSE()</f>
        <v>0</v>
      </c>
      <c r="G1851" s="0" t="n">
        <v>13</v>
      </c>
      <c r="H1851" s="0" t="n">
        <f aca="false">_xlfn.xlookup(G1851, years!A$2:A$836, years!B$2:B$836)</f>
        <v>2010</v>
      </c>
      <c r="I1851" s="2" t="n">
        <v>69</v>
      </c>
      <c r="J1851" s="0" t="n">
        <v>0.675</v>
      </c>
      <c r="K1851" s="0" t="n">
        <v>0.862</v>
      </c>
      <c r="L1851" s="3" t="str">
        <f aca="false">IF(K1851&gt;0.66,"High",IF(K1851&gt;0.33&amp;K1851&lt;=0.66,"Medium","Low"))</f>
        <v>High</v>
      </c>
      <c r="M1851" s="0" t="n">
        <v>-4.614</v>
      </c>
      <c r="N1851" s="3" t="n">
        <v>0.0253</v>
      </c>
      <c r="O1851" s="3" t="n">
        <v>0.0165</v>
      </c>
      <c r="P1851" s="4" t="n">
        <v>0.000427</v>
      </c>
      <c r="Q1851" s="3" t="n">
        <v>0.169</v>
      </c>
      <c r="R1851" s="3" t="n">
        <v>0.498</v>
      </c>
      <c r="S1851" s="3" t="str">
        <f aca="false">IF(R1851 &gt;= 0.5, "Positive", "Negative")</f>
        <v>Negative</v>
      </c>
      <c r="T1851" s="2" t="n">
        <v>129.967</v>
      </c>
      <c r="U1851" s="0" t="s">
        <v>53</v>
      </c>
    </row>
    <row r="1852" customFormat="false" ht="14.25" hidden="false" customHeight="false" outlineLevel="0" collapsed="false">
      <c r="A1852" s="0" t="n">
        <v>308</v>
      </c>
      <c r="B1852" s="0" t="str">
        <f aca="false">_xlfn.xlookup(A1852, artists!A$2:A$836, artists!B$2:B$836)</f>
        <v>Arctic Monkeys</v>
      </c>
      <c r="C1852" s="1" t="s">
        <v>1873</v>
      </c>
      <c r="D1852" s="2" t="n">
        <v>202133</v>
      </c>
      <c r="E1852" s="2" t="n">
        <f aca="false">D1852/1000</f>
        <v>202.133</v>
      </c>
      <c r="F1852" s="10" t="b">
        <f aca="false">TRUE()</f>
        <v>1</v>
      </c>
      <c r="G1852" s="0" t="n">
        <v>9</v>
      </c>
      <c r="H1852" s="0" t="n">
        <f aca="false">_xlfn.xlookup(G1852, years!A$2:A$836, years!B$2:B$836)</f>
        <v>2006</v>
      </c>
      <c r="I1852" s="2" t="n">
        <v>72</v>
      </c>
      <c r="J1852" s="0" t="n">
        <v>0.348</v>
      </c>
      <c r="K1852" s="0" t="n">
        <v>0.875</v>
      </c>
      <c r="L1852" s="3" t="str">
        <f aca="false">IF(K1852&gt;0.66,"High",IF(K1852&gt;0.33&amp;K1852&lt;=0.66,"Medium","Low"))</f>
        <v>High</v>
      </c>
      <c r="M1852" s="0" t="n">
        <v>-4.758</v>
      </c>
      <c r="N1852" s="3" t="n">
        <v>0.199</v>
      </c>
      <c r="O1852" s="3" t="n">
        <v>0.0341</v>
      </c>
      <c r="P1852" s="4" t="n">
        <v>0</v>
      </c>
      <c r="Q1852" s="3" t="n">
        <v>0.117</v>
      </c>
      <c r="R1852" s="3" t="n">
        <v>0.407</v>
      </c>
      <c r="S1852" s="3" t="str">
        <f aca="false">IF(R1852 &gt;= 0.5, "Positive", "Negative")</f>
        <v>Negative</v>
      </c>
      <c r="T1852" s="2" t="n">
        <v>169.152</v>
      </c>
      <c r="U1852" s="0" t="s">
        <v>43</v>
      </c>
    </row>
    <row r="1853" customFormat="false" ht="14.25" hidden="false" customHeight="false" outlineLevel="0" collapsed="false">
      <c r="A1853" s="0" t="n">
        <v>507</v>
      </c>
      <c r="B1853" s="0" t="str">
        <f aca="false">_xlfn.xlookup(A1853, artists!A$2:A$836, artists!B$2:B$836)</f>
        <v>Matt Cardle</v>
      </c>
      <c r="C1853" s="1" t="s">
        <v>1874</v>
      </c>
      <c r="D1853" s="2" t="n">
        <v>226000</v>
      </c>
      <c r="E1853" s="2" t="n">
        <f aca="false">D1853/1000</f>
        <v>226</v>
      </c>
      <c r="F1853" s="10" t="b">
        <f aca="false">FALSE()</f>
        <v>0</v>
      </c>
      <c r="G1853" s="0" t="n">
        <v>14</v>
      </c>
      <c r="H1853" s="0" t="n">
        <f aca="false">_xlfn.xlookup(G1853, years!A$2:A$836, years!B$2:B$836)</f>
        <v>2011</v>
      </c>
      <c r="I1853" s="2" t="n">
        <v>46</v>
      </c>
      <c r="J1853" s="0" t="n">
        <v>0.443</v>
      </c>
      <c r="K1853" s="0" t="n">
        <v>0.683</v>
      </c>
      <c r="L1853" s="3" t="str">
        <f aca="false">IF(K1853&gt;0.66,"High",IF(K1853&gt;0.33&amp;K1853&lt;=0.66,"Medium","Low"))</f>
        <v>High</v>
      </c>
      <c r="M1853" s="0" t="n">
        <v>-5.521</v>
      </c>
      <c r="N1853" s="3" t="n">
        <v>0.0343</v>
      </c>
      <c r="O1853" s="3" t="n">
        <v>0.0198</v>
      </c>
      <c r="P1853" s="4" t="n">
        <v>5.26E-006</v>
      </c>
      <c r="Q1853" s="3" t="n">
        <v>0.313</v>
      </c>
      <c r="R1853" s="3" t="n">
        <v>0.447</v>
      </c>
      <c r="S1853" s="3" t="str">
        <f aca="false">IF(R1853 &gt;= 0.5, "Positive", "Negative")</f>
        <v>Negative</v>
      </c>
      <c r="T1853" s="2" t="n">
        <v>81.986</v>
      </c>
      <c r="U1853" s="0" t="s">
        <v>39</v>
      </c>
    </row>
    <row r="1854" customFormat="false" ht="14.25" hidden="false" customHeight="false" outlineLevel="0" collapsed="false">
      <c r="A1854" s="0" t="n">
        <v>102</v>
      </c>
      <c r="B1854" s="0" t="str">
        <f aca="false">_xlfn.xlookup(A1854, artists!A$2:A$836, artists!B$2:B$836)</f>
        <v>Nickelback</v>
      </c>
      <c r="C1854" s="1" t="s">
        <v>1875</v>
      </c>
      <c r="D1854" s="2" t="n">
        <v>190786</v>
      </c>
      <c r="E1854" s="2" t="n">
        <f aca="false">D1854/1000</f>
        <v>190.786</v>
      </c>
      <c r="F1854" s="10" t="b">
        <f aca="false">FALSE()</f>
        <v>0</v>
      </c>
      <c r="G1854" s="0" t="n">
        <v>14</v>
      </c>
      <c r="H1854" s="0" t="n">
        <f aca="false">_xlfn.xlookup(G1854, years!A$2:A$836, years!B$2:B$836)</f>
        <v>2011</v>
      </c>
      <c r="I1854" s="2" t="n">
        <v>65</v>
      </c>
      <c r="J1854" s="0" t="n">
        <v>0.446</v>
      </c>
      <c r="K1854" s="0" t="n">
        <v>0.9</v>
      </c>
      <c r="L1854" s="3" t="str">
        <f aca="false">IF(K1854&gt;0.66,"High",IF(K1854&gt;0.33&amp;K1854&lt;=0.66,"Medium","Low"))</f>
        <v>High</v>
      </c>
      <c r="M1854" s="0" t="n">
        <v>-3.541</v>
      </c>
      <c r="N1854" s="3" t="n">
        <v>0.0489</v>
      </c>
      <c r="O1854" s="3" t="n">
        <v>0.000102</v>
      </c>
      <c r="P1854" s="4" t="n">
        <v>1.89E-005</v>
      </c>
      <c r="Q1854" s="3" t="n">
        <v>0.0404</v>
      </c>
      <c r="R1854" s="3" t="n">
        <v>0.88</v>
      </c>
      <c r="S1854" s="3" t="str">
        <f aca="false">IF(R1854 &gt;= 0.5, "Positive", "Negative")</f>
        <v>Positive</v>
      </c>
      <c r="T1854" s="2" t="n">
        <v>187.961</v>
      </c>
      <c r="U1854" s="0" t="s">
        <v>81</v>
      </c>
    </row>
    <row r="1855" customFormat="false" ht="14.25" hidden="false" customHeight="false" outlineLevel="0" collapsed="false">
      <c r="A1855" s="0" t="n">
        <v>108</v>
      </c>
      <c r="B1855" s="0" t="str">
        <f aca="false">_xlfn.xlookup(A1855, artists!A$2:A$836, artists!B$2:B$836)</f>
        <v>Christina Milian</v>
      </c>
      <c r="C1855" s="1" t="s">
        <v>1876</v>
      </c>
      <c r="D1855" s="2" t="n">
        <v>222546</v>
      </c>
      <c r="E1855" s="2" t="n">
        <f aca="false">D1855/1000</f>
        <v>222.546</v>
      </c>
      <c r="F1855" s="10" t="b">
        <f aca="false">FALSE()</f>
        <v>0</v>
      </c>
      <c r="G1855" s="0" t="n">
        <v>4</v>
      </c>
      <c r="H1855" s="0" t="n">
        <f aca="false">_xlfn.xlookup(G1855, years!A$2:A$836, years!B$2:B$836)</f>
        <v>2001</v>
      </c>
      <c r="I1855" s="2" t="n">
        <v>60</v>
      </c>
      <c r="J1855" s="0" t="n">
        <v>0.955</v>
      </c>
      <c r="K1855" s="0" t="n">
        <v>0.839</v>
      </c>
      <c r="L1855" s="3" t="str">
        <f aca="false">IF(K1855&gt;0.66,"High",IF(K1855&gt;0.33&amp;K1855&lt;=0.66,"Medium","Low"))</f>
        <v>High</v>
      </c>
      <c r="M1855" s="0" t="n">
        <v>-3.399</v>
      </c>
      <c r="N1855" s="3" t="n">
        <v>0.127</v>
      </c>
      <c r="O1855" s="3" t="n">
        <v>0.0934</v>
      </c>
      <c r="P1855" s="4" t="n">
        <v>0.000175</v>
      </c>
      <c r="Q1855" s="3" t="n">
        <v>0.099</v>
      </c>
      <c r="R1855" s="3" t="n">
        <v>0.825</v>
      </c>
      <c r="S1855" s="3" t="str">
        <f aca="false">IF(R1855 &gt;= 0.5, "Positive", "Negative")</f>
        <v>Positive</v>
      </c>
      <c r="T1855" s="2" t="n">
        <v>108.955</v>
      </c>
      <c r="U1855" s="0" t="s">
        <v>31</v>
      </c>
    </row>
    <row r="1856" customFormat="false" ht="14.25" hidden="false" customHeight="false" outlineLevel="0" collapsed="false">
      <c r="A1856" s="0" t="n">
        <v>146</v>
      </c>
      <c r="B1856" s="0" t="str">
        <f aca="false">_xlfn.xlookup(A1856, artists!A$2:A$836, artists!B$2:B$836)</f>
        <v>Avril Lavigne</v>
      </c>
      <c r="C1856" s="1" t="s">
        <v>1877</v>
      </c>
      <c r="D1856" s="2" t="n">
        <v>240493</v>
      </c>
      <c r="E1856" s="2" t="n">
        <f aca="false">D1856/1000</f>
        <v>240.493</v>
      </c>
      <c r="F1856" s="10" t="b">
        <f aca="false">FALSE()</f>
        <v>0</v>
      </c>
      <c r="G1856" s="0" t="n">
        <v>10</v>
      </c>
      <c r="H1856" s="0" t="n">
        <f aca="false">_xlfn.xlookup(G1856, years!A$2:A$836, years!B$2:B$836)</f>
        <v>2007</v>
      </c>
      <c r="I1856" s="2" t="n">
        <v>68</v>
      </c>
      <c r="J1856" s="0" t="n">
        <v>0.457</v>
      </c>
      <c r="K1856" s="0" t="n">
        <v>0.719</v>
      </c>
      <c r="L1856" s="3" t="str">
        <f aca="false">IF(K1856&gt;0.66,"High",IF(K1856&gt;0.33&amp;K1856&lt;=0.66,"Medium","Low"))</f>
        <v>High</v>
      </c>
      <c r="M1856" s="0" t="n">
        <v>-3.921</v>
      </c>
      <c r="N1856" s="3" t="n">
        <v>0.0323</v>
      </c>
      <c r="O1856" s="3" t="n">
        <v>0.191</v>
      </c>
      <c r="P1856" s="4" t="n">
        <v>0</v>
      </c>
      <c r="Q1856" s="3" t="n">
        <v>0.228</v>
      </c>
      <c r="R1856" s="3" t="n">
        <v>0.168</v>
      </c>
      <c r="S1856" s="3" t="str">
        <f aca="false">IF(R1856 &gt;= 0.5, "Positive", "Negative")</f>
        <v>Negative</v>
      </c>
      <c r="T1856" s="2" t="n">
        <v>142.034</v>
      </c>
      <c r="U1856" s="0" t="s">
        <v>39</v>
      </c>
    </row>
    <row r="1857" customFormat="false" ht="14.25" hidden="false" customHeight="false" outlineLevel="0" collapsed="false">
      <c r="A1857" s="0" t="n">
        <v>84</v>
      </c>
      <c r="B1857" s="0" t="str">
        <f aca="false">_xlfn.xlookup(A1857, artists!A$2:A$836, artists!B$2:B$836)</f>
        <v>Shakira</v>
      </c>
      <c r="C1857" s="1" t="s">
        <v>1878</v>
      </c>
      <c r="D1857" s="2" t="n">
        <v>196160</v>
      </c>
      <c r="E1857" s="2" t="n">
        <f aca="false">D1857/1000</f>
        <v>196.16</v>
      </c>
      <c r="F1857" s="10" t="b">
        <f aca="false">FALSE()</f>
        <v>0</v>
      </c>
      <c r="G1857" s="0" t="n">
        <v>4</v>
      </c>
      <c r="H1857" s="0" t="n">
        <f aca="false">_xlfn.xlookup(G1857, years!A$2:A$836, years!B$2:B$836)</f>
        <v>2001</v>
      </c>
      <c r="I1857" s="2" t="n">
        <v>74</v>
      </c>
      <c r="J1857" s="0" t="n">
        <v>0.794</v>
      </c>
      <c r="K1857" s="0" t="n">
        <v>0.832</v>
      </c>
      <c r="L1857" s="3" t="str">
        <f aca="false">IF(K1857&gt;0.66,"High",IF(K1857&gt;0.33&amp;K1857&lt;=0.66,"Medium","Low"))</f>
        <v>High</v>
      </c>
      <c r="M1857" s="0" t="n">
        <v>-4.862</v>
      </c>
      <c r="N1857" s="3" t="n">
        <v>0.0407</v>
      </c>
      <c r="O1857" s="3" t="n">
        <v>0.237</v>
      </c>
      <c r="P1857" s="4" t="n">
        <v>1.14E-005</v>
      </c>
      <c r="Q1857" s="3" t="n">
        <v>0.203</v>
      </c>
      <c r="R1857" s="3" t="n">
        <v>0.871</v>
      </c>
      <c r="S1857" s="3" t="str">
        <f aca="false">IF(R1857 &gt;= 0.5, "Positive", "Negative")</f>
        <v>Positive</v>
      </c>
      <c r="T1857" s="2" t="n">
        <v>107.657</v>
      </c>
      <c r="U1857" s="0" t="s">
        <v>75</v>
      </c>
    </row>
    <row r="1858" customFormat="false" ht="14.25" hidden="false" customHeight="false" outlineLevel="0" collapsed="false">
      <c r="A1858" s="0" t="n">
        <v>769</v>
      </c>
      <c r="B1858" s="0" t="str">
        <f aca="false">_xlfn.xlookup(A1858, artists!A$2:A$836, artists!B$2:B$836)</f>
        <v>Sofía Reyes</v>
      </c>
      <c r="C1858" s="1" t="s">
        <v>1879</v>
      </c>
      <c r="D1858" s="2" t="n">
        <v>201526</v>
      </c>
      <c r="E1858" s="2" t="n">
        <f aca="false">D1858/1000</f>
        <v>201.526</v>
      </c>
      <c r="F1858" s="10" t="b">
        <f aca="false">FALSE()</f>
        <v>0</v>
      </c>
      <c r="G1858" s="0" t="n">
        <v>21</v>
      </c>
      <c r="H1858" s="0" t="n">
        <f aca="false">_xlfn.xlookup(G1858, years!A$2:A$836, years!B$2:B$836)</f>
        <v>2018</v>
      </c>
      <c r="I1858" s="2" t="n">
        <v>65</v>
      </c>
      <c r="J1858" s="0" t="n">
        <v>0.792</v>
      </c>
      <c r="K1858" s="0" t="n">
        <v>0.895</v>
      </c>
      <c r="L1858" s="3" t="str">
        <f aca="false">IF(K1858&gt;0.66,"High",IF(K1858&gt;0.33&amp;K1858&lt;=0.66,"Medium","Low"))</f>
        <v>High</v>
      </c>
      <c r="M1858" s="0" t="n">
        <v>-3.112</v>
      </c>
      <c r="N1858" s="3" t="n">
        <v>0.0589</v>
      </c>
      <c r="O1858" s="3" t="n">
        <v>0.165</v>
      </c>
      <c r="P1858" s="4" t="n">
        <v>0</v>
      </c>
      <c r="Q1858" s="3" t="n">
        <v>0.0501</v>
      </c>
      <c r="R1858" s="3" t="n">
        <v>0.794</v>
      </c>
      <c r="S1858" s="3" t="str">
        <f aca="false">IF(R1858 &gt;= 0.5, "Positive", "Negative")</f>
        <v>Positive</v>
      </c>
      <c r="T1858" s="2" t="n">
        <v>94.968</v>
      </c>
      <c r="U1858" s="0" t="s">
        <v>75</v>
      </c>
    </row>
    <row r="1859" customFormat="false" ht="14.25" hidden="false" customHeight="false" outlineLevel="0" collapsed="false">
      <c r="A1859" s="0" t="n">
        <v>283</v>
      </c>
      <c r="B1859" s="0" t="str">
        <f aca="false">_xlfn.xlookup(A1859, artists!A$2:A$836, artists!B$2:B$836)</f>
        <v>Rihanna</v>
      </c>
      <c r="C1859" s="1" t="s">
        <v>1880</v>
      </c>
      <c r="D1859" s="2" t="n">
        <v>242680</v>
      </c>
      <c r="E1859" s="2" t="n">
        <f aca="false">D1859/1000</f>
        <v>242.68</v>
      </c>
      <c r="F1859" s="10" t="b">
        <f aca="false">FALSE()</f>
        <v>0</v>
      </c>
      <c r="G1859" s="0" t="n">
        <v>14</v>
      </c>
      <c r="H1859" s="0" t="n">
        <f aca="false">_xlfn.xlookup(G1859, years!A$2:A$836, years!B$2:B$836)</f>
        <v>2011</v>
      </c>
      <c r="I1859" s="2" t="n">
        <v>71</v>
      </c>
      <c r="J1859" s="0" t="n">
        <v>0.719</v>
      </c>
      <c r="K1859" s="0" t="n">
        <v>0.847</v>
      </c>
      <c r="L1859" s="3" t="str">
        <f aca="false">IF(K1859&gt;0.66,"High",IF(K1859&gt;0.33&amp;K1859&lt;=0.66,"Medium","Low"))</f>
        <v>High</v>
      </c>
      <c r="M1859" s="0" t="n">
        <v>-6.34</v>
      </c>
      <c r="N1859" s="3" t="n">
        <v>0.0916</v>
      </c>
      <c r="O1859" s="3" t="n">
        <v>0.00201</v>
      </c>
      <c r="P1859" s="4" t="n">
        <v>0.0204</v>
      </c>
      <c r="Q1859" s="3" t="n">
        <v>0.223</v>
      </c>
      <c r="R1859" s="3" t="n">
        <v>0.444</v>
      </c>
      <c r="S1859" s="3" t="str">
        <f aca="false">IF(R1859 &gt;= 0.5, "Positive", "Negative")</f>
        <v>Negative</v>
      </c>
      <c r="T1859" s="2" t="n">
        <v>127.963</v>
      </c>
      <c r="U1859" s="0" t="s">
        <v>31</v>
      </c>
    </row>
    <row r="1860" customFormat="false" ht="14.25" hidden="false" customHeight="false" outlineLevel="0" collapsed="false">
      <c r="A1860" s="0" t="n">
        <v>52</v>
      </c>
      <c r="B1860" s="0" t="str">
        <f aca="false">_xlfn.xlookup(A1860, artists!A$2:A$836, artists!B$2:B$836)</f>
        <v>Donell Jones</v>
      </c>
      <c r="C1860" s="1" t="s">
        <v>1881</v>
      </c>
      <c r="D1860" s="2" t="n">
        <v>253626</v>
      </c>
      <c r="E1860" s="2" t="n">
        <f aca="false">D1860/1000</f>
        <v>253.626</v>
      </c>
      <c r="F1860" s="10" t="b">
        <f aca="false">FALSE()</f>
        <v>0</v>
      </c>
      <c r="G1860" s="0" t="n">
        <v>2</v>
      </c>
      <c r="H1860" s="0" t="n">
        <f aca="false">_xlfn.xlookup(G1860, years!A$2:A$836, years!B$2:B$836)</f>
        <v>1999</v>
      </c>
      <c r="I1860" s="2" t="n">
        <v>57</v>
      </c>
      <c r="J1860" s="0" t="n">
        <v>0.664</v>
      </c>
      <c r="K1860" s="0" t="n">
        <v>0.396</v>
      </c>
      <c r="L1860" s="3" t="str">
        <f aca="false">IF(K1860&gt;0.66,"High",IF(K1860&gt;0.33&amp;K1860&lt;=0.66,"Medium","Low"))</f>
        <v>Low</v>
      </c>
      <c r="M1860" s="0" t="n">
        <v>-9.131</v>
      </c>
      <c r="N1860" s="3" t="n">
        <v>0.0298</v>
      </c>
      <c r="O1860" s="3" t="n">
        <v>0.52</v>
      </c>
      <c r="P1860" s="4" t="n">
        <v>0</v>
      </c>
      <c r="Q1860" s="3" t="n">
        <v>0.268</v>
      </c>
      <c r="R1860" s="3" t="n">
        <v>0.453</v>
      </c>
      <c r="S1860" s="3" t="str">
        <f aca="false">IF(R1860 &gt;= 0.5, "Positive", "Negative")</f>
        <v>Negative</v>
      </c>
      <c r="T1860" s="2" t="n">
        <v>102.053</v>
      </c>
      <c r="U1860" s="0" t="s">
        <v>33</v>
      </c>
    </row>
    <row r="1861" customFormat="false" ht="14.25" hidden="false" customHeight="false" outlineLevel="0" collapsed="false">
      <c r="A1861" s="0" t="n">
        <v>194</v>
      </c>
      <c r="B1861" s="0" t="str">
        <f aca="false">_xlfn.xlookup(A1861, artists!A$2:A$836, artists!B$2:B$836)</f>
        <v>Black Eyed Peas</v>
      </c>
      <c r="C1861" s="1" t="s">
        <v>1882</v>
      </c>
      <c r="D1861" s="2" t="n">
        <v>217733</v>
      </c>
      <c r="E1861" s="2" t="n">
        <f aca="false">D1861/1000</f>
        <v>217.733</v>
      </c>
      <c r="F1861" s="10" t="b">
        <f aca="false">FALSE()</f>
        <v>0</v>
      </c>
      <c r="G1861" s="0" t="n">
        <v>7</v>
      </c>
      <c r="H1861" s="0" t="n">
        <f aca="false">_xlfn.xlookup(G1861, years!A$2:A$836, years!B$2:B$836)</f>
        <v>2004</v>
      </c>
      <c r="I1861" s="2" t="n">
        <v>53</v>
      </c>
      <c r="J1861" s="0" t="n">
        <v>0.785</v>
      </c>
      <c r="K1861" s="0" t="n">
        <v>0.799</v>
      </c>
      <c r="L1861" s="3" t="str">
        <f aca="false">IF(K1861&gt;0.66,"High",IF(K1861&gt;0.33&amp;K1861&lt;=0.66,"Medium","Low"))</f>
        <v>High</v>
      </c>
      <c r="M1861" s="0" t="n">
        <v>-2.208</v>
      </c>
      <c r="N1861" s="3" t="n">
        <v>0.126</v>
      </c>
      <c r="O1861" s="3" t="n">
        <v>0.117</v>
      </c>
      <c r="P1861" s="4" t="n">
        <v>0</v>
      </c>
      <c r="Q1861" s="3" t="n">
        <v>0.292</v>
      </c>
      <c r="R1861" s="3" t="n">
        <v>0.797</v>
      </c>
      <c r="S1861" s="3" t="str">
        <f aca="false">IF(R1861 &gt;= 0.5, "Positive", "Negative")</f>
        <v>Positive</v>
      </c>
      <c r="T1861" s="2" t="n">
        <v>104.923</v>
      </c>
      <c r="U1861" s="0" t="s">
        <v>24</v>
      </c>
    </row>
    <row r="1862" customFormat="false" ht="14.25" hidden="false" customHeight="false" outlineLevel="0" collapsed="false">
      <c r="A1862" s="0" t="n">
        <v>49</v>
      </c>
      <c r="B1862" s="0" t="str">
        <f aca="false">_xlfn.xlookup(A1862, artists!A$2:A$836, artists!B$2:B$836)</f>
        <v>Jagged Edge</v>
      </c>
      <c r="C1862" s="1" t="s">
        <v>1883</v>
      </c>
      <c r="D1862" s="2" t="n">
        <v>232573</v>
      </c>
      <c r="E1862" s="2" t="n">
        <f aca="false">D1862/1000</f>
        <v>232.573</v>
      </c>
      <c r="F1862" s="10" t="b">
        <f aca="false">FALSE()</f>
        <v>0</v>
      </c>
      <c r="G1862" s="0" t="n">
        <v>4</v>
      </c>
      <c r="H1862" s="0" t="n">
        <f aca="false">_xlfn.xlookup(G1862, years!A$2:A$836, years!B$2:B$836)</f>
        <v>2001</v>
      </c>
      <c r="I1862" s="2" t="n">
        <v>67</v>
      </c>
      <c r="J1862" s="0" t="n">
        <v>0.596</v>
      </c>
      <c r="K1862" s="0" t="n">
        <v>0.661</v>
      </c>
      <c r="L1862" s="3" t="str">
        <f aca="false">IF(K1862&gt;0.66,"High",IF(K1862&gt;0.33&amp;K1862&lt;=0.66,"Medium","Low"))</f>
        <v>High</v>
      </c>
      <c r="M1862" s="0" t="n">
        <v>-6.239</v>
      </c>
      <c r="N1862" s="3" t="n">
        <v>0.226</v>
      </c>
      <c r="O1862" s="3" t="n">
        <v>0.31</v>
      </c>
      <c r="P1862" s="4" t="n">
        <v>0</v>
      </c>
      <c r="Q1862" s="3" t="n">
        <v>0.0847</v>
      </c>
      <c r="R1862" s="3" t="n">
        <v>0.86</v>
      </c>
      <c r="S1862" s="3" t="str">
        <f aca="false">IF(R1862 &gt;= 0.5, "Positive", "Negative")</f>
        <v>Positive</v>
      </c>
      <c r="T1862" s="2" t="n">
        <v>129.491</v>
      </c>
      <c r="U1862" s="0" t="s">
        <v>31</v>
      </c>
    </row>
    <row r="1863" customFormat="false" ht="14.25" hidden="false" customHeight="false" outlineLevel="0" collapsed="false">
      <c r="A1863" s="0" t="n">
        <v>438</v>
      </c>
      <c r="B1863" s="0" t="str">
        <f aca="false">_xlfn.xlookup(A1863, artists!A$2:A$836, artists!B$2:B$836)</f>
        <v>David Guetta</v>
      </c>
      <c r="C1863" s="1" t="s">
        <v>1884</v>
      </c>
      <c r="D1863" s="2" t="n">
        <v>194840</v>
      </c>
      <c r="E1863" s="2" t="n">
        <f aca="false">D1863/1000</f>
        <v>194.84</v>
      </c>
      <c r="F1863" s="10" t="b">
        <f aca="false">TRUE()</f>
        <v>1</v>
      </c>
      <c r="G1863" s="0" t="n">
        <v>15</v>
      </c>
      <c r="H1863" s="0" t="n">
        <f aca="false">_xlfn.xlookup(G1863, years!A$2:A$836, years!B$2:B$836)</f>
        <v>2012</v>
      </c>
      <c r="I1863" s="2" t="n">
        <v>72</v>
      </c>
      <c r="J1863" s="0" t="n">
        <v>0.666</v>
      </c>
      <c r="K1863" s="0" t="n">
        <v>0.876</v>
      </c>
      <c r="L1863" s="3" t="str">
        <f aca="false">IF(K1863&gt;0.66,"High",IF(K1863&gt;0.33&amp;K1863&lt;=0.66,"Medium","Low"))</f>
        <v>High</v>
      </c>
      <c r="M1863" s="0" t="n">
        <v>-3.078</v>
      </c>
      <c r="N1863" s="3" t="n">
        <v>0.0414</v>
      </c>
      <c r="O1863" s="3" t="n">
        <v>0.055</v>
      </c>
      <c r="P1863" s="4" t="n">
        <v>0</v>
      </c>
      <c r="Q1863" s="3" t="n">
        <v>0.259</v>
      </c>
      <c r="R1863" s="3" t="n">
        <v>0.552</v>
      </c>
      <c r="S1863" s="3" t="str">
        <f aca="false">IF(R1863 &gt;= 0.5, "Positive", "Negative")</f>
        <v>Positive</v>
      </c>
      <c r="T1863" s="2" t="n">
        <v>129.884</v>
      </c>
      <c r="U1863" s="0" t="s">
        <v>53</v>
      </c>
    </row>
    <row r="1864" customFormat="false" ht="14.25" hidden="false" customHeight="false" outlineLevel="0" collapsed="false">
      <c r="A1864" s="0" t="n">
        <v>289</v>
      </c>
      <c r="B1864" s="0" t="str">
        <f aca="false">_xlfn.xlookup(A1864, artists!A$2:A$836, artists!B$2:B$836)</f>
        <v>Fort Minor</v>
      </c>
      <c r="C1864" s="1" t="s">
        <v>1885</v>
      </c>
      <c r="D1864" s="2" t="n">
        <v>231866</v>
      </c>
      <c r="E1864" s="2" t="n">
        <f aca="false">D1864/1000</f>
        <v>231.866</v>
      </c>
      <c r="F1864" s="10" t="b">
        <f aca="false">TRUE()</f>
        <v>1</v>
      </c>
      <c r="G1864" s="0" t="n">
        <v>8</v>
      </c>
      <c r="H1864" s="0" t="n">
        <f aca="false">_xlfn.xlookup(G1864, years!A$2:A$836, years!B$2:B$836)</f>
        <v>2005</v>
      </c>
      <c r="I1864" s="2" t="n">
        <v>42</v>
      </c>
      <c r="J1864" s="0" t="n">
        <v>0.684</v>
      </c>
      <c r="K1864" s="0" t="n">
        <v>0.819</v>
      </c>
      <c r="L1864" s="3" t="str">
        <f aca="false">IF(K1864&gt;0.66,"High",IF(K1864&gt;0.33&amp;K1864&lt;=0.66,"Medium","Low"))</f>
        <v>High</v>
      </c>
      <c r="M1864" s="0" t="n">
        <v>-3.309</v>
      </c>
      <c r="N1864" s="3" t="n">
        <v>0.238</v>
      </c>
      <c r="O1864" s="3" t="n">
        <v>0.262</v>
      </c>
      <c r="P1864" s="4" t="n">
        <v>0.00197</v>
      </c>
      <c r="Q1864" s="3" t="n">
        <v>0.113</v>
      </c>
      <c r="R1864" s="3" t="n">
        <v>0.25</v>
      </c>
      <c r="S1864" s="3" t="str">
        <f aca="false">IF(R1864 &gt;= 0.5, "Positive", "Negative")</f>
        <v>Negative</v>
      </c>
      <c r="T1864" s="2" t="n">
        <v>179.999</v>
      </c>
      <c r="U1864" s="0" t="s">
        <v>493</v>
      </c>
    </row>
    <row r="1865" customFormat="false" ht="14.25" hidden="false" customHeight="false" outlineLevel="0" collapsed="false">
      <c r="A1865" s="0" t="n">
        <v>425</v>
      </c>
      <c r="B1865" s="0" t="str">
        <f aca="false">_xlfn.xlookup(A1865, artists!A$2:A$836, artists!B$2:B$836)</f>
        <v>OneRepublic</v>
      </c>
      <c r="C1865" s="1" t="s">
        <v>1886</v>
      </c>
      <c r="D1865" s="2" t="n">
        <v>169773</v>
      </c>
      <c r="E1865" s="2" t="n">
        <f aca="false">D1865/1000</f>
        <v>169.773</v>
      </c>
      <c r="F1865" s="10" t="b">
        <f aca="false">FALSE()</f>
        <v>0</v>
      </c>
      <c r="G1865" s="0" t="n">
        <v>19</v>
      </c>
      <c r="H1865" s="0" t="n">
        <f aca="false">_xlfn.xlookup(G1865, years!A$2:A$836, years!B$2:B$836)</f>
        <v>2016</v>
      </c>
      <c r="I1865" s="2" t="n">
        <v>70</v>
      </c>
      <c r="J1865" s="0" t="n">
        <v>0.552</v>
      </c>
      <c r="K1865" s="0" t="n">
        <v>0.689</v>
      </c>
      <c r="L1865" s="3" t="str">
        <f aca="false">IF(K1865&gt;0.66,"High",IF(K1865&gt;0.33&amp;K1865&lt;=0.66,"Medium","Low"))</f>
        <v>High</v>
      </c>
      <c r="M1865" s="0" t="n">
        <v>-6.444</v>
      </c>
      <c r="N1865" s="3" t="n">
        <v>0.0425</v>
      </c>
      <c r="O1865" s="3" t="n">
        <v>0.0915</v>
      </c>
      <c r="P1865" s="4" t="n">
        <v>0</v>
      </c>
      <c r="Q1865" s="3" t="n">
        <v>0.27</v>
      </c>
      <c r="R1865" s="3" t="n">
        <v>0.349</v>
      </c>
      <c r="S1865" s="3" t="str">
        <f aca="false">IF(R1865 &gt;= 0.5, "Positive", "Negative")</f>
        <v>Negative</v>
      </c>
      <c r="T1865" s="2" t="n">
        <v>99.961</v>
      </c>
      <c r="U1865" s="0" t="s">
        <v>39</v>
      </c>
    </row>
    <row r="1866" customFormat="false" ht="14.25" hidden="false" customHeight="false" outlineLevel="0" collapsed="false">
      <c r="A1866" s="0" t="n">
        <v>148</v>
      </c>
      <c r="B1866" s="0" t="str">
        <f aca="false">_xlfn.xlookup(A1866, artists!A$2:A$836, artists!B$2:B$836)</f>
        <v>The Calling</v>
      </c>
      <c r="C1866" s="1" t="s">
        <v>1887</v>
      </c>
      <c r="D1866" s="2" t="n">
        <v>208600</v>
      </c>
      <c r="E1866" s="2" t="n">
        <f aca="false">D1866/1000</f>
        <v>208.6</v>
      </c>
      <c r="F1866" s="10" t="b">
        <f aca="false">FALSE()</f>
        <v>0</v>
      </c>
      <c r="G1866" s="0" t="n">
        <v>4</v>
      </c>
      <c r="H1866" s="0" t="n">
        <f aca="false">_xlfn.xlookup(G1866, years!A$2:A$836, years!B$2:B$836)</f>
        <v>2001</v>
      </c>
      <c r="I1866" s="2" t="n">
        <v>72</v>
      </c>
      <c r="J1866" s="0" t="n">
        <v>0.558</v>
      </c>
      <c r="K1866" s="0" t="n">
        <v>0.719</v>
      </c>
      <c r="L1866" s="3" t="str">
        <f aca="false">IF(K1866&gt;0.66,"High",IF(K1866&gt;0.33&amp;K1866&lt;=0.66,"Medium","Low"))</f>
        <v>High</v>
      </c>
      <c r="M1866" s="0" t="n">
        <v>-5.113</v>
      </c>
      <c r="N1866" s="3" t="n">
        <v>0.0267</v>
      </c>
      <c r="O1866" s="3" t="n">
        <v>0.0367</v>
      </c>
      <c r="P1866" s="4" t="n">
        <v>0</v>
      </c>
      <c r="Q1866" s="3" t="n">
        <v>0.115</v>
      </c>
      <c r="R1866" s="3" t="n">
        <v>0.371</v>
      </c>
      <c r="S1866" s="3" t="str">
        <f aca="false">IF(R1866 &gt;= 0.5, "Positive", "Negative")</f>
        <v>Negative</v>
      </c>
      <c r="T1866" s="2" t="n">
        <v>112.027</v>
      </c>
      <c r="U1866" s="0" t="s">
        <v>39</v>
      </c>
    </row>
    <row r="1867" customFormat="false" ht="14.25" hidden="false" customHeight="false" outlineLevel="0" collapsed="false">
      <c r="A1867" s="0" t="n">
        <v>534</v>
      </c>
      <c r="B1867" s="0" t="str">
        <f aca="false">_xlfn.xlookup(A1867, artists!A$2:A$836, artists!B$2:B$836)</f>
        <v>Charlene Soraia</v>
      </c>
      <c r="C1867" s="1" t="s">
        <v>1887</v>
      </c>
      <c r="D1867" s="2" t="n">
        <v>197577</v>
      </c>
      <c r="E1867" s="2" t="n">
        <f aca="false">D1867/1000</f>
        <v>197.577</v>
      </c>
      <c r="F1867" s="10" t="b">
        <f aca="false">FALSE()</f>
        <v>0</v>
      </c>
      <c r="G1867" s="0" t="n">
        <v>14</v>
      </c>
      <c r="H1867" s="0" t="n">
        <f aca="false">_xlfn.xlookup(G1867, years!A$2:A$836, years!B$2:B$836)</f>
        <v>2011</v>
      </c>
      <c r="I1867" s="2" t="n">
        <v>60</v>
      </c>
      <c r="J1867" s="0" t="n">
        <v>0.597</v>
      </c>
      <c r="K1867" s="0" t="n">
        <v>0.115</v>
      </c>
      <c r="L1867" s="3" t="str">
        <f aca="false">IF(K1867&gt;0.66,"High",IF(K1867&gt;0.33&amp;K1867&lt;=0.66,"Medium","Low"))</f>
        <v>Low</v>
      </c>
      <c r="M1867" s="0" t="n">
        <v>-9.217</v>
      </c>
      <c r="N1867" s="3" t="n">
        <v>0.0334</v>
      </c>
      <c r="O1867" s="3" t="n">
        <v>0.82</v>
      </c>
      <c r="P1867" s="4" t="n">
        <v>0.000215</v>
      </c>
      <c r="Q1867" s="3" t="n">
        <v>0.111</v>
      </c>
      <c r="R1867" s="3" t="n">
        <v>0.128</v>
      </c>
      <c r="S1867" s="3" t="str">
        <f aca="false">IF(R1867 &gt;= 0.5, "Positive", "Negative")</f>
        <v>Negative</v>
      </c>
      <c r="T1867" s="2" t="n">
        <v>111.202</v>
      </c>
      <c r="U1867" s="0" t="s">
        <v>39</v>
      </c>
    </row>
    <row r="1868" customFormat="false" ht="14.25" hidden="false" customHeight="false" outlineLevel="0" collapsed="false">
      <c r="A1868" s="0" t="n">
        <v>397</v>
      </c>
      <c r="B1868" s="0" t="str">
        <f aca="false">_xlfn.xlookup(A1868, artists!A$2:A$836, artists!B$2:B$836)</f>
        <v>Flo Rida</v>
      </c>
      <c r="C1868" s="1" t="s">
        <v>1888</v>
      </c>
      <c r="D1868" s="2" t="n">
        <v>224653</v>
      </c>
      <c r="E1868" s="2" t="n">
        <f aca="false">D1868/1000</f>
        <v>224.653</v>
      </c>
      <c r="F1868" s="10" t="b">
        <f aca="false">FALSE()</f>
        <v>0</v>
      </c>
      <c r="G1868" s="0" t="n">
        <v>15</v>
      </c>
      <c r="H1868" s="0" t="n">
        <f aca="false">_xlfn.xlookup(G1868, years!A$2:A$836, years!B$2:B$836)</f>
        <v>2012</v>
      </c>
      <c r="I1868" s="2" t="n">
        <v>77</v>
      </c>
      <c r="J1868" s="0" t="n">
        <v>0.747</v>
      </c>
      <c r="K1868" s="0" t="n">
        <v>0.937</v>
      </c>
      <c r="L1868" s="3" t="str">
        <f aca="false">IF(K1868&gt;0.66,"High",IF(K1868&gt;0.33&amp;K1868&lt;=0.66,"Medium","Low"))</f>
        <v>High</v>
      </c>
      <c r="M1868" s="0" t="n">
        <v>-5.746</v>
      </c>
      <c r="N1868" s="3" t="n">
        <v>0.0453</v>
      </c>
      <c r="O1868" s="3" t="n">
        <v>0.0208</v>
      </c>
      <c r="P1868" s="4" t="n">
        <v>0</v>
      </c>
      <c r="Q1868" s="3" t="n">
        <v>0.29</v>
      </c>
      <c r="R1868" s="3" t="n">
        <v>0.739</v>
      </c>
      <c r="S1868" s="3" t="str">
        <f aca="false">IF(R1868 &gt;= 0.5, "Positive", "Negative")</f>
        <v>Positive</v>
      </c>
      <c r="T1868" s="2" t="n">
        <v>103.976</v>
      </c>
      <c r="U1868" s="0" t="s">
        <v>24</v>
      </c>
    </row>
    <row r="1869" customFormat="false" ht="14.25" hidden="false" customHeight="false" outlineLevel="0" collapsed="false">
      <c r="A1869" s="0" t="n">
        <v>106</v>
      </c>
      <c r="B1869" s="0" t="str">
        <f aca="false">_xlfn.xlookup(A1869, artists!A$2:A$836, artists!B$2:B$836)</f>
        <v>Dido</v>
      </c>
      <c r="C1869" s="1" t="s">
        <v>1889</v>
      </c>
      <c r="D1869" s="2" t="n">
        <v>240040</v>
      </c>
      <c r="E1869" s="2" t="n">
        <f aca="false">D1869/1000</f>
        <v>240.04</v>
      </c>
      <c r="F1869" s="10" t="b">
        <f aca="false">FALSE()</f>
        <v>0</v>
      </c>
      <c r="G1869" s="0" t="n">
        <v>6</v>
      </c>
      <c r="H1869" s="0" t="n">
        <f aca="false">_xlfn.xlookup(G1869, years!A$2:A$836, years!B$2:B$836)</f>
        <v>2003</v>
      </c>
      <c r="I1869" s="2" t="n">
        <v>44</v>
      </c>
      <c r="J1869" s="0" t="n">
        <v>0.512</v>
      </c>
      <c r="K1869" s="0" t="n">
        <v>0.525</v>
      </c>
      <c r="L1869" s="3" t="str">
        <f aca="false">IF(K1869&gt;0.66,"High",IF(K1869&gt;0.33&amp;K1869&lt;=0.66,"Medium","Low"))</f>
        <v>Low</v>
      </c>
      <c r="M1869" s="0" t="n">
        <v>-6.823</v>
      </c>
      <c r="N1869" s="3" t="n">
        <v>0.0401</v>
      </c>
      <c r="O1869" s="3" t="n">
        <v>0.327</v>
      </c>
      <c r="P1869" s="4" t="n">
        <v>3.3E-006</v>
      </c>
      <c r="Q1869" s="3" t="n">
        <v>0.081</v>
      </c>
      <c r="R1869" s="3" t="n">
        <v>0.294</v>
      </c>
      <c r="S1869" s="3" t="str">
        <f aca="false">IF(R1869 &gt;= 0.5, "Positive", "Negative")</f>
        <v>Negative</v>
      </c>
      <c r="T1869" s="2" t="n">
        <v>169.951</v>
      </c>
      <c r="U1869" s="0" t="s">
        <v>39</v>
      </c>
    </row>
    <row r="1870" customFormat="false" ht="14.25" hidden="false" customHeight="false" outlineLevel="0" collapsed="false">
      <c r="A1870" s="0" t="n">
        <v>563</v>
      </c>
      <c r="B1870" s="0" t="str">
        <f aca="false">_xlfn.xlookup(A1870, artists!A$2:A$836, artists!B$2:B$836)</f>
        <v>Disclosure</v>
      </c>
      <c r="C1870" s="1" t="s">
        <v>1890</v>
      </c>
      <c r="D1870" s="2" t="n">
        <v>277687</v>
      </c>
      <c r="E1870" s="2" t="n">
        <f aca="false">D1870/1000</f>
        <v>277.687</v>
      </c>
      <c r="F1870" s="10" t="b">
        <f aca="false">FALSE()</f>
        <v>0</v>
      </c>
      <c r="G1870" s="0" t="n">
        <v>16</v>
      </c>
      <c r="H1870" s="0" t="n">
        <f aca="false">_xlfn.xlookup(G1870, years!A$2:A$836, years!B$2:B$836)</f>
        <v>2013</v>
      </c>
      <c r="I1870" s="2" t="n">
        <v>54</v>
      </c>
      <c r="J1870" s="0" t="n">
        <v>0.665</v>
      </c>
      <c r="K1870" s="0" t="n">
        <v>0.844</v>
      </c>
      <c r="L1870" s="3" t="str">
        <f aca="false">IF(K1870&gt;0.66,"High",IF(K1870&gt;0.33&amp;K1870&lt;=0.66,"Medium","Low"))</f>
        <v>High</v>
      </c>
      <c r="M1870" s="0" t="n">
        <v>-6.164</v>
      </c>
      <c r="N1870" s="3" t="n">
        <v>0.0501</v>
      </c>
      <c r="O1870" s="3" t="n">
        <v>0.00963</v>
      </c>
      <c r="P1870" s="4" t="n">
        <v>0.000215</v>
      </c>
      <c r="Q1870" s="3" t="n">
        <v>0.311</v>
      </c>
      <c r="R1870" s="3" t="n">
        <v>0.902</v>
      </c>
      <c r="S1870" s="3" t="str">
        <f aca="false">IF(R1870 &gt;= 0.5, "Positive", "Negative")</f>
        <v>Positive</v>
      </c>
      <c r="T1870" s="2" t="n">
        <v>119.978</v>
      </c>
      <c r="U1870" s="0" t="s">
        <v>22</v>
      </c>
    </row>
    <row r="1871" customFormat="false" ht="14.25" hidden="false" customHeight="false" outlineLevel="0" collapsed="false">
      <c r="A1871" s="0" t="n">
        <v>55</v>
      </c>
      <c r="B1871" s="0" t="str">
        <f aca="false">_xlfn.xlookup(A1871, artists!A$2:A$836, artists!B$2:B$836)</f>
        <v>P!nk</v>
      </c>
      <c r="C1871" s="1" t="s">
        <v>1891</v>
      </c>
      <c r="D1871" s="2" t="n">
        <v>208493</v>
      </c>
      <c r="E1871" s="2" t="n">
        <f aca="false">D1871/1000</f>
        <v>208.493</v>
      </c>
      <c r="F1871" s="10" t="b">
        <f aca="false">FALSE()</f>
        <v>0</v>
      </c>
      <c r="G1871" s="0" t="n">
        <v>9</v>
      </c>
      <c r="H1871" s="0" t="n">
        <f aca="false">_xlfn.xlookup(G1871, years!A$2:A$836, years!B$2:B$836)</f>
        <v>2006</v>
      </c>
      <c r="I1871" s="2" t="n">
        <v>0</v>
      </c>
      <c r="J1871" s="0" t="n">
        <v>0.688</v>
      </c>
      <c r="K1871" s="0" t="n">
        <v>0.734</v>
      </c>
      <c r="L1871" s="3" t="str">
        <f aca="false">IF(K1871&gt;0.66,"High",IF(K1871&gt;0.33&amp;K1871&lt;=0.66,"Medium","Low"))</f>
        <v>High</v>
      </c>
      <c r="M1871" s="0" t="n">
        <v>-4.569</v>
      </c>
      <c r="N1871" s="3" t="n">
        <v>0.0274</v>
      </c>
      <c r="O1871" s="3" t="n">
        <v>0.00462</v>
      </c>
      <c r="P1871" s="4" t="n">
        <v>0</v>
      </c>
      <c r="Q1871" s="3" t="n">
        <v>0.0756</v>
      </c>
      <c r="R1871" s="3" t="n">
        <v>0.46</v>
      </c>
      <c r="S1871" s="3" t="str">
        <f aca="false">IF(R1871 &gt;= 0.5, "Positive", "Negative")</f>
        <v>Negative</v>
      </c>
      <c r="T1871" s="2" t="n">
        <v>140.004</v>
      </c>
      <c r="U1871" s="0" t="s">
        <v>39</v>
      </c>
    </row>
    <row r="1872" customFormat="false" ht="14.25" hidden="false" customHeight="false" outlineLevel="0" collapsed="false">
      <c r="A1872" s="0" t="n">
        <v>51</v>
      </c>
      <c r="B1872" s="0" t="str">
        <f aca="false">_xlfn.xlookup(A1872, artists!A$2:A$836, artists!B$2:B$836)</f>
        <v>Baha Men</v>
      </c>
      <c r="C1872" s="1" t="s">
        <v>1892</v>
      </c>
      <c r="D1872" s="2" t="n">
        <v>198400</v>
      </c>
      <c r="E1872" s="2" t="n">
        <f aca="false">D1872/1000</f>
        <v>198.4</v>
      </c>
      <c r="F1872" s="10" t="b">
        <f aca="false">FALSE()</f>
        <v>0</v>
      </c>
      <c r="G1872" s="0" t="n">
        <v>3</v>
      </c>
      <c r="H1872" s="0" t="n">
        <f aca="false">_xlfn.xlookup(G1872, years!A$2:A$836, years!B$2:B$836)</f>
        <v>2000</v>
      </c>
      <c r="I1872" s="2" t="n">
        <v>65</v>
      </c>
      <c r="J1872" s="0" t="n">
        <v>0.869</v>
      </c>
      <c r="K1872" s="0" t="n">
        <v>0.887</v>
      </c>
      <c r="L1872" s="3" t="str">
        <f aca="false">IF(K1872&gt;0.66,"High",IF(K1872&gt;0.33&amp;K1872&lt;=0.66,"Medium","Low"))</f>
        <v>High</v>
      </c>
      <c r="M1872" s="0" t="n">
        <v>-4.505</v>
      </c>
      <c r="N1872" s="3" t="n">
        <v>0.0993</v>
      </c>
      <c r="O1872" s="3" t="n">
        <v>0.0605</v>
      </c>
      <c r="P1872" s="4" t="n">
        <v>0</v>
      </c>
      <c r="Q1872" s="3" t="n">
        <v>0.148</v>
      </c>
      <c r="R1872" s="3" t="n">
        <v>0.784</v>
      </c>
      <c r="S1872" s="3" t="str">
        <f aca="false">IF(R1872 &gt;= 0.5, "Positive", "Negative")</f>
        <v>Positive</v>
      </c>
      <c r="T1872" s="2" t="n">
        <v>129.221</v>
      </c>
      <c r="U1872" s="0" t="s">
        <v>128</v>
      </c>
    </row>
    <row r="1873" customFormat="false" ht="14.25" hidden="false" customHeight="false" outlineLevel="0" collapsed="false">
      <c r="A1873" s="0" t="n">
        <v>456</v>
      </c>
      <c r="B1873" s="0" t="str">
        <f aca="false">_xlfn.xlookup(A1873, artists!A$2:A$836, artists!B$2:B$836)</f>
        <v>Selena Gomez &amp; The Scene</v>
      </c>
      <c r="C1873" s="1" t="s">
        <v>1893</v>
      </c>
      <c r="D1873" s="2" t="n">
        <v>195613</v>
      </c>
      <c r="E1873" s="2" t="n">
        <f aca="false">D1873/1000</f>
        <v>195.613</v>
      </c>
      <c r="F1873" s="10" t="b">
        <f aca="false">FALSE()</f>
        <v>0</v>
      </c>
      <c r="G1873" s="0" t="n">
        <v>14</v>
      </c>
      <c r="H1873" s="0" t="n">
        <f aca="false">_xlfn.xlookup(G1873, years!A$2:A$836, years!B$2:B$836)</f>
        <v>2011</v>
      </c>
      <c r="I1873" s="2" t="n">
        <v>76</v>
      </c>
      <c r="J1873" s="0" t="n">
        <v>0.682</v>
      </c>
      <c r="K1873" s="0" t="n">
        <v>0.927</v>
      </c>
      <c r="L1873" s="3" t="str">
        <f aca="false">IF(K1873&gt;0.66,"High",IF(K1873&gt;0.33&amp;K1873&lt;=0.66,"Medium","Low"))</f>
        <v>High</v>
      </c>
      <c r="M1873" s="0" t="n">
        <v>-2.915</v>
      </c>
      <c r="N1873" s="3" t="n">
        <v>0.0479</v>
      </c>
      <c r="O1873" s="3" t="n">
        <v>0.0843</v>
      </c>
      <c r="P1873" s="4" t="n">
        <v>0</v>
      </c>
      <c r="Q1873" s="3" t="n">
        <v>0.149</v>
      </c>
      <c r="R1873" s="3" t="n">
        <v>0.744</v>
      </c>
      <c r="S1873" s="3" t="str">
        <f aca="false">IF(R1873 &gt;= 0.5, "Positive", "Negative")</f>
        <v>Positive</v>
      </c>
      <c r="T1873" s="2" t="n">
        <v>101.019</v>
      </c>
      <c r="U1873" s="0" t="s">
        <v>22</v>
      </c>
    </row>
    <row r="1874" customFormat="false" ht="14.25" hidden="false" customHeight="false" outlineLevel="0" collapsed="false">
      <c r="A1874" s="0" t="n">
        <v>121</v>
      </c>
      <c r="B1874" s="0" t="str">
        <f aca="false">_xlfn.xlookup(A1874, artists!A$2:A$836, artists!B$2:B$836)</f>
        <v>Atomic Kitten</v>
      </c>
      <c r="C1874" s="1" t="s">
        <v>1894</v>
      </c>
      <c r="D1874" s="2" t="n">
        <v>185013</v>
      </c>
      <c r="E1874" s="2" t="n">
        <f aca="false">D1874/1000</f>
        <v>185.013</v>
      </c>
      <c r="F1874" s="10" t="b">
        <f aca="false">FALSE()</f>
        <v>0</v>
      </c>
      <c r="G1874" s="0" t="n">
        <v>4</v>
      </c>
      <c r="H1874" s="0" t="n">
        <f aca="false">_xlfn.xlookup(G1874, years!A$2:A$836, years!B$2:B$836)</f>
        <v>2001</v>
      </c>
      <c r="I1874" s="2" t="n">
        <v>66</v>
      </c>
      <c r="J1874" s="0" t="n">
        <v>0.747</v>
      </c>
      <c r="K1874" s="0" t="n">
        <v>0.706</v>
      </c>
      <c r="L1874" s="3" t="str">
        <f aca="false">IF(K1874&gt;0.66,"High",IF(K1874&gt;0.33&amp;K1874&lt;=0.66,"Medium","Low"))</f>
        <v>High</v>
      </c>
      <c r="M1874" s="0" t="n">
        <v>-4.653</v>
      </c>
      <c r="N1874" s="3" t="n">
        <v>0.0413</v>
      </c>
      <c r="O1874" s="3" t="n">
        <v>0.0844</v>
      </c>
      <c r="P1874" s="4" t="n">
        <v>0.00355</v>
      </c>
      <c r="Q1874" s="3" t="n">
        <v>0.174</v>
      </c>
      <c r="R1874" s="3" t="n">
        <v>0.567</v>
      </c>
      <c r="S1874" s="3" t="str">
        <f aca="false">IF(R1874 &gt;= 0.5, "Positive", "Negative")</f>
        <v>Positive</v>
      </c>
      <c r="T1874" s="2" t="n">
        <v>94.019</v>
      </c>
      <c r="U1874" s="0" t="s">
        <v>39</v>
      </c>
    </row>
    <row r="1875" customFormat="false" ht="14.25" hidden="false" customHeight="false" outlineLevel="0" collapsed="false">
      <c r="A1875" s="0" t="n">
        <v>438</v>
      </c>
      <c r="B1875" s="0" t="str">
        <f aca="false">_xlfn.xlookup(A1875, artists!A$2:A$836, artists!B$2:B$836)</f>
        <v>David Guetta</v>
      </c>
      <c r="C1875" s="1" t="s">
        <v>1895</v>
      </c>
      <c r="D1875" s="2" t="n">
        <v>201040</v>
      </c>
      <c r="E1875" s="2" t="n">
        <f aca="false">D1875/1000</f>
        <v>201.04</v>
      </c>
      <c r="F1875" s="10" t="b">
        <f aca="false">FALSE()</f>
        <v>0</v>
      </c>
      <c r="G1875" s="0" t="n">
        <v>13</v>
      </c>
      <c r="H1875" s="0" t="n">
        <f aca="false">_xlfn.xlookup(G1875, years!A$2:A$836, years!B$2:B$836)</f>
        <v>2010</v>
      </c>
      <c r="I1875" s="2" t="n">
        <v>71</v>
      </c>
      <c r="J1875" s="0" t="n">
        <v>0.675</v>
      </c>
      <c r="K1875" s="0" t="n">
        <v>0.602</v>
      </c>
      <c r="L1875" s="3" t="str">
        <f aca="false">IF(K1875&gt;0.66,"High",IF(K1875&gt;0.33&amp;K1875&lt;=0.66,"Medium","Low"))</f>
        <v>Low</v>
      </c>
      <c r="M1875" s="0" t="n">
        <v>-4.733</v>
      </c>
      <c r="N1875" s="3" t="n">
        <v>0.116</v>
      </c>
      <c r="O1875" s="3" t="n">
        <v>0.00377</v>
      </c>
      <c r="P1875" s="4" t="n">
        <v>0</v>
      </c>
      <c r="Q1875" s="3" t="n">
        <v>0.0458</v>
      </c>
      <c r="R1875" s="3" t="n">
        <v>0.933</v>
      </c>
      <c r="S1875" s="3" t="str">
        <f aca="false">IF(R1875 &gt;= 0.5, "Positive", "Negative")</f>
        <v>Positive</v>
      </c>
      <c r="T1875" s="2" t="n">
        <v>127.938</v>
      </c>
      <c r="U1875" s="0" t="s">
        <v>53</v>
      </c>
    </row>
    <row r="1876" customFormat="false" ht="14.25" hidden="false" customHeight="false" outlineLevel="0" collapsed="false">
      <c r="A1876" s="0" t="n">
        <v>308</v>
      </c>
      <c r="B1876" s="0" t="str">
        <f aca="false">_xlfn.xlookup(A1876, artists!A$2:A$836, artists!B$2:B$836)</f>
        <v>Arctic Monkeys</v>
      </c>
      <c r="C1876" s="1" t="s">
        <v>1896</v>
      </c>
      <c r="D1876" s="2" t="n">
        <v>161123</v>
      </c>
      <c r="E1876" s="2" t="n">
        <f aca="false">D1876/1000</f>
        <v>161.123</v>
      </c>
      <c r="F1876" s="10" t="b">
        <f aca="false">FALSE()</f>
        <v>0</v>
      </c>
      <c r="G1876" s="0" t="n">
        <v>16</v>
      </c>
      <c r="H1876" s="0" t="n">
        <f aca="false">_xlfn.xlookup(G1876, years!A$2:A$836, years!B$2:B$836)</f>
        <v>2013</v>
      </c>
      <c r="I1876" s="2" t="n">
        <v>84</v>
      </c>
      <c r="J1876" s="0" t="n">
        <v>0.691</v>
      </c>
      <c r="K1876" s="0" t="n">
        <v>0.631</v>
      </c>
      <c r="L1876" s="3" t="str">
        <f aca="false">IF(K1876&gt;0.66,"High",IF(K1876&gt;0.33&amp;K1876&lt;=0.66,"Medium","Low"))</f>
        <v>Low</v>
      </c>
      <c r="M1876" s="0" t="n">
        <v>-6.478</v>
      </c>
      <c r="N1876" s="3" t="n">
        <v>0.0368</v>
      </c>
      <c r="O1876" s="3" t="n">
        <v>0.0483</v>
      </c>
      <c r="P1876" s="4" t="n">
        <v>1.13E-005</v>
      </c>
      <c r="Q1876" s="3" t="n">
        <v>0.104</v>
      </c>
      <c r="R1876" s="3" t="n">
        <v>0.8</v>
      </c>
      <c r="S1876" s="3" t="str">
        <f aca="false">IF(R1876 &gt;= 0.5, "Positive", "Negative")</f>
        <v>Positive</v>
      </c>
      <c r="T1876" s="2" t="n">
        <v>92.004</v>
      </c>
      <c r="U1876" s="0" t="s">
        <v>43</v>
      </c>
    </row>
    <row r="1877" customFormat="false" ht="14.25" hidden="false" customHeight="false" outlineLevel="0" collapsed="false">
      <c r="A1877" s="0" t="n">
        <v>398</v>
      </c>
      <c r="B1877" s="0" t="str">
        <f aca="false">_xlfn.xlookup(A1877, artists!A$2:A$836, artists!B$2:B$836)</f>
        <v>Katy Perry</v>
      </c>
      <c r="C1877" s="1" t="s">
        <v>1897</v>
      </c>
      <c r="D1877" s="2" t="n">
        <v>220946</v>
      </c>
      <c r="E1877" s="2" t="n">
        <f aca="false">D1877/1000</f>
        <v>220.946</v>
      </c>
      <c r="F1877" s="10" t="b">
        <f aca="false">FALSE()</f>
        <v>0</v>
      </c>
      <c r="G1877" s="0" t="n">
        <v>15</v>
      </c>
      <c r="H1877" s="0" t="n">
        <f aca="false">_xlfn.xlookup(G1877, years!A$2:A$836, years!B$2:B$836)</f>
        <v>2012</v>
      </c>
      <c r="I1877" s="2" t="n">
        <v>65</v>
      </c>
      <c r="J1877" s="0" t="n">
        <v>0.514</v>
      </c>
      <c r="K1877" s="0" t="n">
        <v>0.683</v>
      </c>
      <c r="L1877" s="3" t="str">
        <f aca="false">IF(K1877&gt;0.66,"High",IF(K1877&gt;0.33&amp;K1877&lt;=0.66,"Medium","Low"))</f>
        <v>High</v>
      </c>
      <c r="M1877" s="0" t="n">
        <v>-5.099</v>
      </c>
      <c r="N1877" s="3" t="n">
        <v>0.0367</v>
      </c>
      <c r="O1877" s="3" t="n">
        <v>0.0749</v>
      </c>
      <c r="P1877" s="4" t="n">
        <v>2.64E-006</v>
      </c>
      <c r="Q1877" s="3" t="n">
        <v>0.392</v>
      </c>
      <c r="R1877" s="3" t="n">
        <v>0.575</v>
      </c>
      <c r="S1877" s="3" t="str">
        <f aca="false">IF(R1877 &gt;= 0.5, "Positive", "Negative")</f>
        <v>Positive</v>
      </c>
      <c r="T1877" s="2" t="n">
        <v>159.814</v>
      </c>
      <c r="U1877" s="0" t="s">
        <v>39</v>
      </c>
    </row>
    <row r="1878" customFormat="false" ht="14.25" hidden="false" customHeight="false" outlineLevel="0" collapsed="false">
      <c r="A1878" s="0" t="n">
        <v>46</v>
      </c>
      <c r="B1878" s="0" t="str">
        <f aca="false">_xlfn.xlookup(A1878, artists!A$2:A$836, artists!B$2:B$836)</f>
        <v>Next</v>
      </c>
      <c r="C1878" s="1" t="s">
        <v>1898</v>
      </c>
      <c r="D1878" s="2" t="n">
        <v>243666</v>
      </c>
      <c r="E1878" s="2" t="n">
        <f aca="false">D1878/1000</f>
        <v>243.666</v>
      </c>
      <c r="F1878" s="10" t="b">
        <f aca="false">FALSE()</f>
        <v>0</v>
      </c>
      <c r="G1878" s="0" t="n">
        <v>7</v>
      </c>
      <c r="H1878" s="0" t="n">
        <f aca="false">_xlfn.xlookup(G1878, years!A$2:A$836, years!B$2:B$836)</f>
        <v>2004</v>
      </c>
      <c r="I1878" s="2" t="n">
        <v>52</v>
      </c>
      <c r="J1878" s="0" t="n">
        <v>0.829</v>
      </c>
      <c r="K1878" s="0" t="n">
        <v>0.652</v>
      </c>
      <c r="L1878" s="3" t="str">
        <f aca="false">IF(K1878&gt;0.66,"High",IF(K1878&gt;0.33&amp;K1878&lt;=0.66,"Medium","Low"))</f>
        <v>Low</v>
      </c>
      <c r="M1878" s="0" t="n">
        <v>-8.693</v>
      </c>
      <c r="N1878" s="3" t="n">
        <v>0.108</v>
      </c>
      <c r="O1878" s="3" t="n">
        <v>0.067</v>
      </c>
      <c r="P1878" s="4" t="n">
        <v>0</v>
      </c>
      <c r="Q1878" s="3" t="n">
        <v>0.0812</v>
      </c>
      <c r="R1878" s="3" t="n">
        <v>0.726</v>
      </c>
      <c r="S1878" s="3" t="str">
        <f aca="false">IF(R1878 &gt;= 0.5, "Positive", "Negative")</f>
        <v>Positive</v>
      </c>
      <c r="T1878" s="2" t="n">
        <v>99.581</v>
      </c>
      <c r="U1878" s="0" t="s">
        <v>31</v>
      </c>
    </row>
    <row r="1879" customFormat="false" ht="14.25" hidden="false" customHeight="false" outlineLevel="0" collapsed="false">
      <c r="A1879" s="0" t="n">
        <v>458</v>
      </c>
      <c r="B1879" s="0" t="str">
        <f aca="false">_xlfn.xlookup(A1879, artists!A$2:A$836, artists!B$2:B$836)</f>
        <v>Jason Derulo</v>
      </c>
      <c r="C1879" s="1" t="s">
        <v>1899</v>
      </c>
      <c r="D1879" s="2" t="n">
        <v>193295</v>
      </c>
      <c r="E1879" s="2" t="n">
        <f aca="false">D1879/1000</f>
        <v>193.295</v>
      </c>
      <c r="F1879" s="10" t="b">
        <f aca="false">FALSE()</f>
        <v>0</v>
      </c>
      <c r="G1879" s="0" t="n">
        <v>16</v>
      </c>
      <c r="H1879" s="0" t="n">
        <f aca="false">_xlfn.xlookup(G1879, years!A$2:A$836, years!B$2:B$836)</f>
        <v>2013</v>
      </c>
      <c r="I1879" s="2" t="n">
        <v>66</v>
      </c>
      <c r="J1879" s="0" t="n">
        <v>0.697</v>
      </c>
      <c r="K1879" s="0" t="n">
        <v>0.621</v>
      </c>
      <c r="L1879" s="3" t="str">
        <f aca="false">IF(K1879&gt;0.66,"High",IF(K1879&gt;0.33&amp;K1879&lt;=0.66,"Medium","Low"))</f>
        <v>Low</v>
      </c>
      <c r="M1879" s="0" t="n">
        <v>-6.886</v>
      </c>
      <c r="N1879" s="3" t="n">
        <v>0.25</v>
      </c>
      <c r="O1879" s="3" t="n">
        <v>0.0802</v>
      </c>
      <c r="P1879" s="4" t="n">
        <v>0</v>
      </c>
      <c r="Q1879" s="3" t="n">
        <v>0.162</v>
      </c>
      <c r="R1879" s="3" t="n">
        <v>0.721</v>
      </c>
      <c r="S1879" s="3" t="str">
        <f aca="false">IF(R1879 &gt;= 0.5, "Positive", "Negative")</f>
        <v>Positive</v>
      </c>
      <c r="T1879" s="2" t="n">
        <v>81.946</v>
      </c>
      <c r="U1879" s="0" t="s">
        <v>24</v>
      </c>
    </row>
    <row r="1880" customFormat="false" ht="14.25" hidden="false" customHeight="false" outlineLevel="0" collapsed="false">
      <c r="A1880" s="0" t="n">
        <v>397</v>
      </c>
      <c r="B1880" s="0" t="str">
        <f aca="false">_xlfn.xlookup(A1880, artists!A$2:A$836, artists!B$2:B$836)</f>
        <v>Flo Rida</v>
      </c>
      <c r="C1880" s="1" t="s">
        <v>1900</v>
      </c>
      <c r="D1880" s="2" t="n">
        <v>232946</v>
      </c>
      <c r="E1880" s="2" t="n">
        <f aca="false">D1880/1000</f>
        <v>232.946</v>
      </c>
      <c r="F1880" s="10" t="b">
        <f aca="false">FALSE()</f>
        <v>0</v>
      </c>
      <c r="G1880" s="0" t="n">
        <v>15</v>
      </c>
      <c r="H1880" s="0" t="n">
        <f aca="false">_xlfn.xlookup(G1880, years!A$2:A$836, years!B$2:B$836)</f>
        <v>2012</v>
      </c>
      <c r="I1880" s="2" t="n">
        <v>77</v>
      </c>
      <c r="J1880" s="0" t="n">
        <v>0.608</v>
      </c>
      <c r="K1880" s="0" t="n">
        <v>0.86</v>
      </c>
      <c r="L1880" s="3" t="str">
        <f aca="false">IF(K1880&gt;0.66,"High",IF(K1880&gt;0.33&amp;K1880&lt;=0.66,"Medium","Low"))</f>
        <v>High</v>
      </c>
      <c r="M1880" s="0" t="n">
        <v>-5.324</v>
      </c>
      <c r="N1880" s="3" t="n">
        <v>0.0554</v>
      </c>
      <c r="O1880" s="3" t="n">
        <v>0.0991</v>
      </c>
      <c r="P1880" s="4" t="n">
        <v>0</v>
      </c>
      <c r="Q1880" s="3" t="n">
        <v>0.262</v>
      </c>
      <c r="R1880" s="3" t="n">
        <v>0.437</v>
      </c>
      <c r="S1880" s="3" t="str">
        <f aca="false">IF(R1880 &gt;= 0.5, "Positive", "Negative")</f>
        <v>Negative</v>
      </c>
      <c r="T1880" s="2" t="n">
        <v>127.075</v>
      </c>
      <c r="U1880" s="0" t="s">
        <v>24</v>
      </c>
    </row>
    <row r="1881" customFormat="false" ht="14.25" hidden="false" customHeight="false" outlineLevel="0" collapsed="false">
      <c r="A1881" s="0" t="n">
        <v>751</v>
      </c>
      <c r="B1881" s="0" t="str">
        <f aca="false">_xlfn.xlookup(A1881, artists!A$2:A$836, artists!B$2:B$836)</f>
        <v>Liam Payne</v>
      </c>
      <c r="C1881" s="1" t="s">
        <v>1901</v>
      </c>
      <c r="D1881" s="2" t="n">
        <v>245453</v>
      </c>
      <c r="E1881" s="2" t="n">
        <f aca="false">D1881/1000</f>
        <v>245.453</v>
      </c>
      <c r="F1881" s="10" t="b">
        <f aca="false">FALSE()</f>
        <v>0</v>
      </c>
      <c r="G1881" s="0" t="n">
        <v>21</v>
      </c>
      <c r="H1881" s="0" t="n">
        <f aca="false">_xlfn.xlookup(G1881, years!A$2:A$836, years!B$2:B$836)</f>
        <v>2018</v>
      </c>
      <c r="I1881" s="2" t="n">
        <v>62</v>
      </c>
      <c r="J1881" s="0" t="n">
        <v>0.541</v>
      </c>
      <c r="K1881" s="0" t="n">
        <v>0.787</v>
      </c>
      <c r="L1881" s="3" t="str">
        <f aca="false">IF(K1881&gt;0.66,"High",IF(K1881&gt;0.33&amp;K1881&lt;=0.66,"Medium","Low"))</f>
        <v>High</v>
      </c>
      <c r="M1881" s="0" t="n">
        <v>-4.618</v>
      </c>
      <c r="N1881" s="3" t="n">
        <v>0.0331</v>
      </c>
      <c r="O1881" s="3" t="n">
        <v>0.0167</v>
      </c>
      <c r="P1881" s="4" t="n">
        <v>0</v>
      </c>
      <c r="Q1881" s="3" t="n">
        <v>0.157</v>
      </c>
      <c r="R1881" s="3" t="n">
        <v>0.2</v>
      </c>
      <c r="S1881" s="3" t="str">
        <f aca="false">IF(R1881 &gt;= 0.5, "Positive", "Negative")</f>
        <v>Negative</v>
      </c>
      <c r="T1881" s="2" t="n">
        <v>113</v>
      </c>
      <c r="U1881" s="0" t="s">
        <v>39</v>
      </c>
    </row>
    <row r="1882" customFormat="false" ht="14.25" hidden="false" customHeight="false" outlineLevel="0" collapsed="false">
      <c r="A1882" s="0" t="n">
        <v>439</v>
      </c>
      <c r="B1882" s="0" t="str">
        <f aca="false">_xlfn.xlookup(A1882, artists!A$2:A$836, artists!B$2:B$836)</f>
        <v>Taylor Swift</v>
      </c>
      <c r="C1882" s="1" t="s">
        <v>1902</v>
      </c>
      <c r="D1882" s="2" t="n">
        <v>220440</v>
      </c>
      <c r="E1882" s="2" t="n">
        <f aca="false">D1882/1000</f>
        <v>220.44</v>
      </c>
      <c r="F1882" s="10" t="b">
        <f aca="false">FALSE()</f>
        <v>0</v>
      </c>
      <c r="G1882" s="0" t="n">
        <v>17</v>
      </c>
      <c r="H1882" s="0" t="n">
        <f aca="false">_xlfn.xlookup(G1882, years!A$2:A$836, years!B$2:B$836)</f>
        <v>2014</v>
      </c>
      <c r="I1882" s="2" t="n">
        <v>78</v>
      </c>
      <c r="J1882" s="0" t="n">
        <v>0.553</v>
      </c>
      <c r="K1882" s="0" t="n">
        <v>0.664</v>
      </c>
      <c r="L1882" s="3" t="str">
        <f aca="false">IF(K1882&gt;0.66,"High",IF(K1882&gt;0.33&amp;K1882&lt;=0.66,"Medium","Low"))</f>
        <v>High</v>
      </c>
      <c r="M1882" s="0" t="n">
        <v>-7.417</v>
      </c>
      <c r="N1882" s="3" t="n">
        <v>0.0741</v>
      </c>
      <c r="O1882" s="3" t="n">
        <v>0.0709</v>
      </c>
      <c r="P1882" s="4" t="n">
        <v>0.0056</v>
      </c>
      <c r="Q1882" s="3" t="n">
        <v>0.106</v>
      </c>
      <c r="R1882" s="3" t="n">
        <v>0.467</v>
      </c>
      <c r="S1882" s="3" t="str">
        <f aca="false">IF(R1882 &gt;= 0.5, "Positive", "Negative")</f>
        <v>Negative</v>
      </c>
      <c r="T1882" s="2" t="n">
        <v>140.06</v>
      </c>
      <c r="U1882" s="0" t="s">
        <v>39</v>
      </c>
    </row>
    <row r="1883" customFormat="false" ht="14.25" hidden="false" customHeight="false" outlineLevel="0" collapsed="false">
      <c r="A1883" s="0" t="n">
        <v>567</v>
      </c>
      <c r="B1883" s="0" t="str">
        <f aca="false">_xlfn.xlookup(A1883, artists!A$2:A$836, artists!B$2:B$836)</f>
        <v>Little Mix</v>
      </c>
      <c r="C1883" s="1" t="s">
        <v>1903</v>
      </c>
      <c r="D1883" s="2" t="n">
        <v>219733</v>
      </c>
      <c r="E1883" s="2" t="n">
        <f aca="false">D1883/1000</f>
        <v>219.733</v>
      </c>
      <c r="F1883" s="10" t="b">
        <f aca="false">FALSE()</f>
        <v>0</v>
      </c>
      <c r="G1883" s="0" t="n">
        <v>15</v>
      </c>
      <c r="H1883" s="0" t="n">
        <f aca="false">_xlfn.xlookup(G1883, years!A$2:A$836, years!B$2:B$836)</f>
        <v>2012</v>
      </c>
      <c r="I1883" s="2" t="n">
        <v>0</v>
      </c>
      <c r="J1883" s="0" t="n">
        <v>0.738</v>
      </c>
      <c r="K1883" s="0" t="n">
        <v>0.875</v>
      </c>
      <c r="L1883" s="3" t="str">
        <f aca="false">IF(K1883&gt;0.66,"High",IF(K1883&gt;0.33&amp;K1883&lt;=0.66,"Medium","Low"))</f>
        <v>High</v>
      </c>
      <c r="M1883" s="0" t="n">
        <v>-3.141</v>
      </c>
      <c r="N1883" s="3" t="n">
        <v>0.127</v>
      </c>
      <c r="O1883" s="3" t="n">
        <v>0.000673</v>
      </c>
      <c r="P1883" s="4" t="n">
        <v>0.000556</v>
      </c>
      <c r="Q1883" s="3" t="n">
        <v>0.285</v>
      </c>
      <c r="R1883" s="3" t="n">
        <v>0.538</v>
      </c>
      <c r="S1883" s="3" t="str">
        <f aca="false">IF(R1883 &gt;= 0.5, "Positive", "Negative")</f>
        <v>Positive</v>
      </c>
      <c r="T1883" s="2" t="n">
        <v>114.962</v>
      </c>
      <c r="U1883" s="0" t="s">
        <v>39</v>
      </c>
    </row>
    <row r="1884" customFormat="false" ht="14.25" hidden="false" customHeight="false" outlineLevel="0" collapsed="false">
      <c r="A1884" s="0" t="n">
        <v>591</v>
      </c>
      <c r="B1884" s="0" t="str">
        <f aca="false">_xlfn.xlookup(A1884, artists!A$2:A$836, artists!B$2:B$836)</f>
        <v>Birdy</v>
      </c>
      <c r="C1884" s="1" t="s">
        <v>1903</v>
      </c>
      <c r="D1884" s="2" t="n">
        <v>252106</v>
      </c>
      <c r="E1884" s="2" t="n">
        <f aca="false">D1884/1000</f>
        <v>252.106</v>
      </c>
      <c r="F1884" s="10" t="b">
        <f aca="false">FALSE()</f>
        <v>0</v>
      </c>
      <c r="G1884" s="0" t="n">
        <v>16</v>
      </c>
      <c r="H1884" s="0" t="n">
        <f aca="false">_xlfn.xlookup(G1884, years!A$2:A$836, years!B$2:B$836)</f>
        <v>2013</v>
      </c>
      <c r="I1884" s="2" t="n">
        <v>48</v>
      </c>
      <c r="J1884" s="0" t="n">
        <v>0.474</v>
      </c>
      <c r="K1884" s="0" t="n">
        <v>0.707</v>
      </c>
      <c r="L1884" s="3" t="str">
        <f aca="false">IF(K1884&gt;0.66,"High",IF(K1884&gt;0.33&amp;K1884&lt;=0.66,"Medium","Low"))</f>
        <v>High</v>
      </c>
      <c r="M1884" s="0" t="n">
        <v>-4.534</v>
      </c>
      <c r="N1884" s="3" t="n">
        <v>0.0253</v>
      </c>
      <c r="O1884" s="3" t="n">
        <v>0.0831</v>
      </c>
      <c r="P1884" s="4" t="n">
        <v>0</v>
      </c>
      <c r="Q1884" s="3" t="n">
        <v>0.162</v>
      </c>
      <c r="R1884" s="3" t="n">
        <v>0.224</v>
      </c>
      <c r="S1884" s="3" t="str">
        <f aca="false">IF(R1884 &gt;= 0.5, "Positive", "Negative")</f>
        <v>Negative</v>
      </c>
      <c r="T1884" s="2" t="n">
        <v>83.235</v>
      </c>
      <c r="U1884" s="0" t="s">
        <v>39</v>
      </c>
    </row>
    <row r="1885" customFormat="false" ht="14.25" hidden="false" customHeight="false" outlineLevel="0" collapsed="false">
      <c r="A1885" s="0" t="n">
        <v>682</v>
      </c>
      <c r="B1885" s="0" t="str">
        <f aca="false">_xlfn.xlookup(A1885, artists!A$2:A$836, artists!B$2:B$836)</f>
        <v>Sigala</v>
      </c>
      <c r="C1885" s="1" t="s">
        <v>1904</v>
      </c>
      <c r="D1885" s="2" t="n">
        <v>205653</v>
      </c>
      <c r="E1885" s="2" t="n">
        <f aca="false">D1885/1000</f>
        <v>205.653</v>
      </c>
      <c r="F1885" s="10" t="b">
        <f aca="false">FALSE()</f>
        <v>0</v>
      </c>
      <c r="G1885" s="0" t="n">
        <v>22</v>
      </c>
      <c r="H1885" s="0" t="n">
        <f aca="false">_xlfn.xlookup(G1885, years!A$2:A$836, years!B$2:B$836)</f>
        <v>2019</v>
      </c>
      <c r="I1885" s="2" t="n">
        <v>64</v>
      </c>
      <c r="J1885" s="0" t="n">
        <v>0.669</v>
      </c>
      <c r="K1885" s="0" t="n">
        <v>0.895</v>
      </c>
      <c r="L1885" s="3" t="str">
        <f aca="false">IF(K1885&gt;0.66,"High",IF(K1885&gt;0.33&amp;K1885&lt;=0.66,"Medium","Low"))</f>
        <v>High</v>
      </c>
      <c r="M1885" s="0" t="n">
        <v>-3.787</v>
      </c>
      <c r="N1885" s="3" t="n">
        <v>0.0575</v>
      </c>
      <c r="O1885" s="3" t="n">
        <v>0.128</v>
      </c>
      <c r="P1885" s="4" t="n">
        <v>0</v>
      </c>
      <c r="Q1885" s="3" t="n">
        <v>0.297</v>
      </c>
      <c r="R1885" s="3" t="n">
        <v>0.576</v>
      </c>
      <c r="S1885" s="3" t="str">
        <f aca="false">IF(R1885 &gt;= 0.5, "Positive", "Negative")</f>
        <v>Positive</v>
      </c>
      <c r="T1885" s="2" t="n">
        <v>124.975</v>
      </c>
      <c r="U1885" s="0" t="s">
        <v>22</v>
      </c>
    </row>
    <row r="1886" customFormat="false" ht="14.25" hidden="false" customHeight="false" outlineLevel="0" collapsed="false">
      <c r="A1886" s="0" t="n">
        <v>648</v>
      </c>
      <c r="B1886" s="0" t="str">
        <f aca="false">_xlfn.xlookup(A1886, artists!A$2:A$836, artists!B$2:B$836)</f>
        <v>Philip George</v>
      </c>
      <c r="C1886" s="1" t="s">
        <v>1905</v>
      </c>
      <c r="D1886" s="2" t="n">
        <v>177560</v>
      </c>
      <c r="E1886" s="2" t="n">
        <f aca="false">D1886/1000</f>
        <v>177.56</v>
      </c>
      <c r="F1886" s="10" t="b">
        <f aca="false">FALSE()</f>
        <v>0</v>
      </c>
      <c r="G1886" s="0" t="n">
        <v>17</v>
      </c>
      <c r="H1886" s="0" t="n">
        <f aca="false">_xlfn.xlookup(G1886, years!A$2:A$836, years!B$2:B$836)</f>
        <v>2014</v>
      </c>
      <c r="I1886" s="2" t="n">
        <v>65</v>
      </c>
      <c r="J1886" s="0" t="n">
        <v>0.654</v>
      </c>
      <c r="K1886" s="0" t="n">
        <v>0.832</v>
      </c>
      <c r="L1886" s="3" t="str">
        <f aca="false">IF(K1886&gt;0.66,"High",IF(K1886&gt;0.33&amp;K1886&lt;=0.66,"Medium","Low"))</f>
        <v>High</v>
      </c>
      <c r="M1886" s="0" t="n">
        <v>-4.164</v>
      </c>
      <c r="N1886" s="3" t="n">
        <v>0.0293</v>
      </c>
      <c r="O1886" s="3" t="n">
        <v>0.0126</v>
      </c>
      <c r="P1886" s="4" t="n">
        <v>0.0901</v>
      </c>
      <c r="Q1886" s="3" t="n">
        <v>0.102</v>
      </c>
      <c r="R1886" s="3" t="n">
        <v>0.407</v>
      </c>
      <c r="S1886" s="3" t="str">
        <f aca="false">IF(R1886 &gt;= 0.5, "Positive", "Negative")</f>
        <v>Negative</v>
      </c>
      <c r="T1886" s="2" t="n">
        <v>123.002</v>
      </c>
      <c r="U1886" s="0" t="s">
        <v>22</v>
      </c>
    </row>
    <row r="1887" customFormat="false" ht="14.25" hidden="false" customHeight="false" outlineLevel="0" collapsed="false">
      <c r="A1887" s="0" t="n">
        <v>77</v>
      </c>
      <c r="B1887" s="0" t="str">
        <f aca="false">_xlfn.xlookup(A1887, artists!A$2:A$836, artists!B$2:B$836)</f>
        <v>Creed</v>
      </c>
      <c r="C1887" s="1" t="s">
        <v>1906</v>
      </c>
      <c r="D1887" s="2" t="n">
        <v>274800</v>
      </c>
      <c r="E1887" s="2" t="n">
        <f aca="false">D1887/1000</f>
        <v>274.8</v>
      </c>
      <c r="F1887" s="10" t="b">
        <f aca="false">FALSE()</f>
        <v>0</v>
      </c>
      <c r="G1887" s="0" t="n">
        <v>2</v>
      </c>
      <c r="H1887" s="0" t="n">
        <f aca="false">_xlfn.xlookup(G1887, years!A$2:A$836, years!B$2:B$836)</f>
        <v>1999</v>
      </c>
      <c r="I1887" s="2" t="n">
        <v>64</v>
      </c>
      <c r="J1887" s="0" t="n">
        <v>0.41</v>
      </c>
      <c r="K1887" s="0" t="n">
        <v>0.539</v>
      </c>
      <c r="L1887" s="3" t="str">
        <f aca="false">IF(K1887&gt;0.66,"High",IF(K1887&gt;0.33&amp;K1887&lt;=0.66,"Medium","Low"))</f>
        <v>Low</v>
      </c>
      <c r="M1887" s="0" t="n">
        <v>-8.412</v>
      </c>
      <c r="N1887" s="3" t="n">
        <v>0.0302</v>
      </c>
      <c r="O1887" s="3" t="n">
        <v>0.00425</v>
      </c>
      <c r="P1887" s="4" t="n">
        <v>0.00089</v>
      </c>
      <c r="Q1887" s="3" t="n">
        <v>0.117</v>
      </c>
      <c r="R1887" s="3" t="n">
        <v>0.141</v>
      </c>
      <c r="S1887" s="3" t="str">
        <f aca="false">IF(R1887 &gt;= 0.5, "Positive", "Negative")</f>
        <v>Negative</v>
      </c>
      <c r="T1887" s="2" t="n">
        <v>138.852</v>
      </c>
      <c r="U1887" s="0" t="s">
        <v>221</v>
      </c>
    </row>
    <row r="1888" customFormat="false" ht="14.25" hidden="false" customHeight="false" outlineLevel="0" collapsed="false">
      <c r="A1888" s="0" t="n">
        <v>380</v>
      </c>
      <c r="B1888" s="0" t="str">
        <f aca="false">_xlfn.xlookup(A1888, artists!A$2:A$836, artists!B$2:B$836)</f>
        <v>Robyn</v>
      </c>
      <c r="C1888" s="1" t="s">
        <v>1907</v>
      </c>
      <c r="D1888" s="2" t="n">
        <v>254920</v>
      </c>
      <c r="E1888" s="2" t="n">
        <f aca="false">D1888/1000</f>
        <v>254.92</v>
      </c>
      <c r="F1888" s="10" t="b">
        <f aca="false">FALSE()</f>
        <v>0</v>
      </c>
      <c r="G1888" s="0" t="n">
        <v>8</v>
      </c>
      <c r="H1888" s="0" t="n">
        <f aca="false">_xlfn.xlookup(G1888, years!A$2:A$836, years!B$2:B$836)</f>
        <v>2005</v>
      </c>
      <c r="I1888" s="2" t="n">
        <v>36</v>
      </c>
      <c r="J1888" s="0" t="n">
        <v>0.477</v>
      </c>
      <c r="K1888" s="0" t="n">
        <v>0.865</v>
      </c>
      <c r="L1888" s="3" t="str">
        <f aca="false">IF(K1888&gt;0.66,"High",IF(K1888&gt;0.33&amp;K1888&lt;=0.66,"Medium","Low"))</f>
        <v>High</v>
      </c>
      <c r="M1888" s="0" t="n">
        <v>-4.462</v>
      </c>
      <c r="N1888" s="3" t="n">
        <v>0.0395</v>
      </c>
      <c r="O1888" s="3" t="n">
        <v>0.00877</v>
      </c>
      <c r="P1888" s="4" t="n">
        <v>4.52E-005</v>
      </c>
      <c r="Q1888" s="3" t="n">
        <v>0.271</v>
      </c>
      <c r="R1888" s="3" t="n">
        <v>0.413</v>
      </c>
      <c r="S1888" s="3" t="str">
        <f aca="false">IF(R1888 &gt;= 0.5, "Positive", "Negative")</f>
        <v>Negative</v>
      </c>
      <c r="T1888" s="2" t="n">
        <v>120.872</v>
      </c>
      <c r="U1888" s="0" t="s">
        <v>22</v>
      </c>
    </row>
    <row r="1889" customFormat="false" ht="14.25" hidden="false" customHeight="false" outlineLevel="0" collapsed="false">
      <c r="A1889" s="0" t="n">
        <v>96</v>
      </c>
      <c r="B1889" s="0" t="str">
        <f aca="false">_xlfn.xlookup(A1889, artists!A$2:A$836, artists!B$2:B$836)</f>
        <v>Jessica Simpson</v>
      </c>
      <c r="C1889" s="1" t="s">
        <v>1908</v>
      </c>
      <c r="D1889" s="2" t="n">
        <v>191826</v>
      </c>
      <c r="E1889" s="2" t="n">
        <f aca="false">D1889/1000</f>
        <v>191.826</v>
      </c>
      <c r="F1889" s="10" t="b">
        <f aca="false">FALSE()</f>
        <v>0</v>
      </c>
      <c r="G1889" s="0" t="n">
        <v>6</v>
      </c>
      <c r="H1889" s="0" t="n">
        <f aca="false">_xlfn.xlookup(G1889, years!A$2:A$836, years!B$2:B$836)</f>
        <v>2003</v>
      </c>
      <c r="I1889" s="2" t="n">
        <v>57</v>
      </c>
      <c r="J1889" s="0" t="n">
        <v>0.553</v>
      </c>
      <c r="K1889" s="0" t="n">
        <v>0.756</v>
      </c>
      <c r="L1889" s="3" t="str">
        <f aca="false">IF(K1889&gt;0.66,"High",IF(K1889&gt;0.33&amp;K1889&lt;=0.66,"Medium","Low"))</f>
        <v>High</v>
      </c>
      <c r="M1889" s="0" t="n">
        <v>-4.583</v>
      </c>
      <c r="N1889" s="3" t="n">
        <v>0.108</v>
      </c>
      <c r="O1889" s="3" t="n">
        <v>0.0923</v>
      </c>
      <c r="P1889" s="4" t="n">
        <v>0</v>
      </c>
      <c r="Q1889" s="3" t="n">
        <v>0.215</v>
      </c>
      <c r="R1889" s="3" t="n">
        <v>0.605</v>
      </c>
      <c r="S1889" s="3" t="str">
        <f aca="false">IF(R1889 &gt;= 0.5, "Positive", "Negative")</f>
        <v>Positive</v>
      </c>
      <c r="T1889" s="2" t="n">
        <v>94.487</v>
      </c>
      <c r="U1889" s="0" t="s">
        <v>33</v>
      </c>
    </row>
    <row r="1890" customFormat="false" ht="14.25" hidden="false" customHeight="false" outlineLevel="0" collapsed="false">
      <c r="A1890" s="0" t="n">
        <v>291</v>
      </c>
      <c r="B1890" s="0" t="str">
        <f aca="false">_xlfn.xlookup(A1890, artists!A$2:A$836, artists!B$2:B$836)</f>
        <v>Chris Brown</v>
      </c>
      <c r="C1890" s="1" t="s">
        <v>1908</v>
      </c>
      <c r="D1890" s="2" t="n">
        <v>252120</v>
      </c>
      <c r="E1890" s="2" t="n">
        <f aca="false">D1890/1000</f>
        <v>252.12</v>
      </c>
      <c r="F1890" s="10" t="b">
        <f aca="false">FALSE()</f>
        <v>0</v>
      </c>
      <c r="G1890" s="0" t="n">
        <v>10</v>
      </c>
      <c r="H1890" s="0" t="n">
        <f aca="false">_xlfn.xlookup(G1890, years!A$2:A$836, years!B$2:B$836)</f>
        <v>2007</v>
      </c>
      <c r="I1890" s="2" t="n">
        <v>70</v>
      </c>
      <c r="J1890" s="0" t="n">
        <v>0.662</v>
      </c>
      <c r="K1890" s="0" t="n">
        <v>0.693</v>
      </c>
      <c r="L1890" s="3" t="str">
        <f aca="false">IF(K1890&gt;0.66,"High",IF(K1890&gt;0.33&amp;K1890&lt;=0.66,"Medium","Low"))</f>
        <v>High</v>
      </c>
      <c r="M1890" s="0" t="n">
        <v>-4.298</v>
      </c>
      <c r="N1890" s="3" t="n">
        <v>0.0698</v>
      </c>
      <c r="O1890" s="3" t="n">
        <v>0.134</v>
      </c>
      <c r="P1890" s="4" t="n">
        <v>0</v>
      </c>
      <c r="Q1890" s="3" t="n">
        <v>0.145</v>
      </c>
      <c r="R1890" s="3" t="n">
        <v>0.655</v>
      </c>
      <c r="S1890" s="3" t="str">
        <f aca="false">IF(R1890 &gt;= 0.5, "Positive", "Negative")</f>
        <v>Positive</v>
      </c>
      <c r="T1890" s="2" t="n">
        <v>86.009</v>
      </c>
      <c r="U1890" s="0" t="s">
        <v>31</v>
      </c>
    </row>
    <row r="1891" customFormat="false" ht="14.25" hidden="false" customHeight="false" outlineLevel="0" collapsed="false">
      <c r="A1891" s="0" t="n">
        <v>7</v>
      </c>
      <c r="B1891" s="0" t="str">
        <f aca="false">_xlfn.xlookup(A1891, artists!A$2:A$836, artists!B$2:B$836)</f>
        <v>Eminem</v>
      </c>
      <c r="C1891" s="1" t="s">
        <v>1909</v>
      </c>
      <c r="D1891" s="2" t="n">
        <v>290320</v>
      </c>
      <c r="E1891" s="2" t="n">
        <f aca="false">D1891/1000</f>
        <v>290.32</v>
      </c>
      <c r="F1891" s="10" t="b">
        <f aca="false">TRUE()</f>
        <v>1</v>
      </c>
      <c r="G1891" s="0" t="n">
        <v>5</v>
      </c>
      <c r="H1891" s="0" t="n">
        <f aca="false">_xlfn.xlookup(G1891, years!A$2:A$836, years!B$2:B$836)</f>
        <v>2002</v>
      </c>
      <c r="I1891" s="2" t="n">
        <v>87</v>
      </c>
      <c r="J1891" s="0" t="n">
        <v>0.908</v>
      </c>
      <c r="K1891" s="0" t="n">
        <v>0.669</v>
      </c>
      <c r="L1891" s="3" t="str">
        <f aca="false">IF(K1891&gt;0.66,"High",IF(K1891&gt;0.33&amp;K1891&lt;=0.66,"Medium","Low"))</f>
        <v>High</v>
      </c>
      <c r="M1891" s="0" t="n">
        <v>-2.827</v>
      </c>
      <c r="N1891" s="3" t="n">
        <v>0.0738</v>
      </c>
      <c r="O1891" s="3" t="n">
        <v>0.00286</v>
      </c>
      <c r="P1891" s="4" t="n">
        <v>0</v>
      </c>
      <c r="Q1891" s="3" t="n">
        <v>0.237</v>
      </c>
      <c r="R1891" s="3" t="n">
        <v>0.662</v>
      </c>
      <c r="S1891" s="3" t="str">
        <f aca="false">IF(R1891 &gt;= 0.5, "Positive", "Negative")</f>
        <v>Positive</v>
      </c>
      <c r="T1891" s="2" t="n">
        <v>112.238</v>
      </c>
      <c r="U1891" s="0" t="s">
        <v>29</v>
      </c>
    </row>
    <row r="1892" customFormat="false" ht="14.25" hidden="false" customHeight="false" outlineLevel="0" collapsed="false">
      <c r="A1892" s="0" t="n">
        <v>786</v>
      </c>
      <c r="B1892" s="0" t="str">
        <f aca="false">_xlfn.xlookup(A1892, artists!A$2:A$836, artists!B$2:B$836)</f>
        <v>Halsey</v>
      </c>
      <c r="C1892" s="1" t="s">
        <v>1909</v>
      </c>
      <c r="D1892" s="2" t="n">
        <v>201660</v>
      </c>
      <c r="E1892" s="2" t="n">
        <f aca="false">D1892/1000</f>
        <v>201.66</v>
      </c>
      <c r="F1892" s="10" t="b">
        <f aca="false">TRUE()</f>
        <v>1</v>
      </c>
      <c r="G1892" s="0" t="n">
        <v>21</v>
      </c>
      <c r="H1892" s="0" t="n">
        <f aca="false">_xlfn.xlookup(G1892, years!A$2:A$836, years!B$2:B$836)</f>
        <v>2018</v>
      </c>
      <c r="I1892" s="2" t="n">
        <v>77</v>
      </c>
      <c r="J1892" s="0" t="n">
        <v>0.752</v>
      </c>
      <c r="K1892" s="0" t="n">
        <v>0.488</v>
      </c>
      <c r="L1892" s="3" t="str">
        <f aca="false">IF(K1892&gt;0.66,"High",IF(K1892&gt;0.33&amp;K1892&lt;=0.66,"Medium","Low"))</f>
        <v>Low</v>
      </c>
      <c r="M1892" s="0" t="n">
        <v>-7.05</v>
      </c>
      <c r="N1892" s="3" t="n">
        <v>0.0705</v>
      </c>
      <c r="O1892" s="3" t="n">
        <v>0.297</v>
      </c>
      <c r="P1892" s="4" t="n">
        <v>9.11E-006</v>
      </c>
      <c r="Q1892" s="3" t="n">
        <v>0.0936</v>
      </c>
      <c r="R1892" s="3" t="n">
        <v>0.533</v>
      </c>
      <c r="S1892" s="3" t="str">
        <f aca="false">IF(R1892 &gt;= 0.5, "Positive", "Negative")</f>
        <v>Positive</v>
      </c>
      <c r="T1892" s="2" t="n">
        <v>136.041</v>
      </c>
      <c r="U1892" s="0" t="s">
        <v>22</v>
      </c>
    </row>
    <row r="1893" customFormat="false" ht="14.25" hidden="false" customHeight="false" outlineLevel="0" collapsed="false">
      <c r="A1893" s="0" t="n">
        <v>542</v>
      </c>
      <c r="B1893" s="0" t="str">
        <f aca="false">_xlfn.xlookup(A1893, artists!A$2:A$836, artists!B$2:B$836)</f>
        <v>Avicii</v>
      </c>
      <c r="C1893" s="1" t="s">
        <v>1910</v>
      </c>
      <c r="D1893" s="2" t="n">
        <v>181672</v>
      </c>
      <c r="E1893" s="2" t="n">
        <f aca="false">D1893/1000</f>
        <v>181.672</v>
      </c>
      <c r="F1893" s="10" t="b">
        <f aca="false">TRUE()</f>
        <v>1</v>
      </c>
      <c r="G1893" s="0" t="n">
        <v>20</v>
      </c>
      <c r="H1893" s="0" t="n">
        <f aca="false">_xlfn.xlookup(G1893, years!A$2:A$836, years!B$2:B$836)</f>
        <v>2017</v>
      </c>
      <c r="I1893" s="2" t="n">
        <v>77</v>
      </c>
      <c r="J1893" s="0" t="n">
        <v>0.662</v>
      </c>
      <c r="K1893" s="0" t="n">
        <v>0.858</v>
      </c>
      <c r="L1893" s="3" t="str">
        <f aca="false">IF(K1893&gt;0.66,"High",IF(K1893&gt;0.33&amp;K1893&lt;=0.66,"Medium","Low"))</f>
        <v>High</v>
      </c>
      <c r="M1893" s="0" t="n">
        <v>-4.844</v>
      </c>
      <c r="N1893" s="3" t="n">
        <v>0.0428</v>
      </c>
      <c r="O1893" s="3" t="n">
        <v>0.00163</v>
      </c>
      <c r="P1893" s="4" t="n">
        <v>0</v>
      </c>
      <c r="Q1893" s="3" t="n">
        <v>0.0456</v>
      </c>
      <c r="R1893" s="3" t="n">
        <v>0.295</v>
      </c>
      <c r="S1893" s="3" t="str">
        <f aca="false">IF(R1893 &gt;= 0.5, "Positive", "Negative")</f>
        <v>Negative</v>
      </c>
      <c r="T1893" s="2" t="n">
        <v>133.993</v>
      </c>
      <c r="U1893" s="0" t="s">
        <v>22</v>
      </c>
    </row>
    <row r="1894" customFormat="false" ht="14.25" hidden="false" customHeight="false" outlineLevel="0" collapsed="false">
      <c r="A1894" s="0" t="n">
        <v>438</v>
      </c>
      <c r="B1894" s="0" t="str">
        <f aca="false">_xlfn.xlookup(A1894, artists!A$2:A$836, artists!B$2:B$836)</f>
        <v>David Guetta</v>
      </c>
      <c r="C1894" s="1" t="s">
        <v>1911</v>
      </c>
      <c r="D1894" s="2" t="n">
        <v>208133</v>
      </c>
      <c r="E1894" s="2" t="n">
        <f aca="false">D1894/1000</f>
        <v>208.133</v>
      </c>
      <c r="F1894" s="10" t="b">
        <f aca="false">FALSE()</f>
        <v>0</v>
      </c>
      <c r="G1894" s="0" t="n">
        <v>15</v>
      </c>
      <c r="H1894" s="0" t="n">
        <f aca="false">_xlfn.xlookup(G1894, years!A$2:A$836, years!B$2:B$836)</f>
        <v>2012</v>
      </c>
      <c r="I1894" s="2" t="n">
        <v>70</v>
      </c>
      <c r="J1894" s="0" t="n">
        <v>0.608</v>
      </c>
      <c r="K1894" s="0" t="n">
        <v>0.614</v>
      </c>
      <c r="L1894" s="3" t="str">
        <f aca="false">IF(K1894&gt;0.66,"High",IF(K1894&gt;0.33&amp;K1894&lt;=0.66,"Medium","Low"))</f>
        <v>Low</v>
      </c>
      <c r="M1894" s="0" t="n">
        <v>-3.727</v>
      </c>
      <c r="N1894" s="3" t="n">
        <v>0.0285</v>
      </c>
      <c r="O1894" s="3" t="n">
        <v>0.227</v>
      </c>
      <c r="P1894" s="4" t="n">
        <v>4.06E-006</v>
      </c>
      <c r="Q1894" s="3" t="n">
        <v>0.157</v>
      </c>
      <c r="R1894" s="3" t="n">
        <v>0.402</v>
      </c>
      <c r="S1894" s="3" t="str">
        <f aca="false">IF(R1894 &gt;= 0.5, "Positive", "Negative")</f>
        <v>Negative</v>
      </c>
      <c r="T1894" s="2" t="n">
        <v>127.884</v>
      </c>
      <c r="U1894" s="0" t="s">
        <v>53</v>
      </c>
    </row>
    <row r="1895" customFormat="false" ht="14.25" hidden="false" customHeight="false" outlineLevel="0" collapsed="false">
      <c r="A1895" s="0" t="n">
        <v>582</v>
      </c>
      <c r="B1895" s="0" t="str">
        <f aca="false">_xlfn.xlookup(A1895, artists!A$2:A$836, artists!B$2:B$836)</f>
        <v>Selena Gomez</v>
      </c>
      <c r="C1895" s="1" t="s">
        <v>1912</v>
      </c>
      <c r="D1895" s="2" t="n">
        <v>197993</v>
      </c>
      <c r="E1895" s="2" t="n">
        <f aca="false">D1895/1000</f>
        <v>197.993</v>
      </c>
      <c r="F1895" s="10" t="b">
        <f aca="false">FALSE()</f>
        <v>0</v>
      </c>
      <c r="G1895" s="0" t="n">
        <v>20</v>
      </c>
      <c r="H1895" s="0" t="n">
        <f aca="false">_xlfn.xlookup(G1895, years!A$2:A$836, years!B$2:B$836)</f>
        <v>2017</v>
      </c>
      <c r="I1895" s="2" t="n">
        <v>78</v>
      </c>
      <c r="J1895" s="0" t="n">
        <v>0.724</v>
      </c>
      <c r="K1895" s="0" t="n">
        <v>0.804</v>
      </c>
      <c r="L1895" s="3" t="str">
        <f aca="false">IF(K1895&gt;0.66,"High",IF(K1895&gt;0.33&amp;K1895&lt;=0.66,"Medium","Low"))</f>
        <v>High</v>
      </c>
      <c r="M1895" s="0" t="n">
        <v>-4.614</v>
      </c>
      <c r="N1895" s="3" t="n">
        <v>0.0448</v>
      </c>
      <c r="O1895" s="3" t="n">
        <v>0.124</v>
      </c>
      <c r="P1895" s="4" t="n">
        <v>0</v>
      </c>
      <c r="Q1895" s="3" t="n">
        <v>0.204</v>
      </c>
      <c r="R1895" s="3" t="n">
        <v>0.306</v>
      </c>
      <c r="S1895" s="3" t="str">
        <f aca="false">IF(R1895 &gt;= 0.5, "Positive", "Negative")</f>
        <v>Negative</v>
      </c>
      <c r="T1895" s="2" t="n">
        <v>124.987</v>
      </c>
      <c r="U1895" s="0" t="s">
        <v>39</v>
      </c>
    </row>
    <row r="1896" customFormat="false" ht="14.25" hidden="false" customHeight="false" outlineLevel="0" collapsed="false">
      <c r="A1896" s="0" t="n">
        <v>1</v>
      </c>
      <c r="B1896" s="0" t="str">
        <f aca="false">_xlfn.xlookup(A1896, artists!A$2:A$836, artists!B$2:B$836)</f>
        <v>Britney Spears</v>
      </c>
      <c r="C1896" s="1" t="s">
        <v>1913</v>
      </c>
      <c r="D1896" s="2" t="n">
        <v>224400</v>
      </c>
      <c r="E1896" s="2" t="n">
        <f aca="false">D1896/1000</f>
        <v>224.4</v>
      </c>
      <c r="F1896" s="10" t="b">
        <f aca="false">FALSE()</f>
        <v>0</v>
      </c>
      <c r="G1896" s="0" t="n">
        <v>11</v>
      </c>
      <c r="H1896" s="0" t="n">
        <f aca="false">_xlfn.xlookup(G1896, years!A$2:A$836, years!B$2:B$836)</f>
        <v>2008</v>
      </c>
      <c r="I1896" s="2" t="n">
        <v>76</v>
      </c>
      <c r="J1896" s="0" t="n">
        <v>0.724</v>
      </c>
      <c r="K1896" s="0" t="n">
        <v>0.695</v>
      </c>
      <c r="L1896" s="3" t="str">
        <f aca="false">IF(K1896&gt;0.66,"High",IF(K1896&gt;0.33&amp;K1896&lt;=0.66,"Medium","Low"))</f>
        <v>High</v>
      </c>
      <c r="M1896" s="0" t="n">
        <v>-5.226</v>
      </c>
      <c r="N1896" s="3" t="n">
        <v>0.0622</v>
      </c>
      <c r="O1896" s="3" t="n">
        <v>0.073</v>
      </c>
      <c r="P1896" s="4" t="n">
        <v>0</v>
      </c>
      <c r="Q1896" s="3" t="n">
        <v>0.0889</v>
      </c>
      <c r="R1896" s="3" t="n">
        <v>0.235</v>
      </c>
      <c r="S1896" s="3" t="str">
        <f aca="false">IF(R1896 &gt;= 0.5, "Positive", "Negative")</f>
        <v>Negative</v>
      </c>
      <c r="T1896" s="2" t="n">
        <v>139</v>
      </c>
      <c r="U1896" s="0" t="s">
        <v>39</v>
      </c>
    </row>
    <row r="1897" customFormat="false" ht="14.25" hidden="false" customHeight="false" outlineLevel="0" collapsed="false">
      <c r="A1897" s="0" t="n">
        <v>353</v>
      </c>
      <c r="B1897" s="0" t="str">
        <f aca="false">_xlfn.xlookup(A1897, artists!A$2:A$836, artists!B$2:B$836)</f>
        <v>James Morrison</v>
      </c>
      <c r="C1897" s="1" t="s">
        <v>1914</v>
      </c>
      <c r="D1897" s="2" t="n">
        <v>210066</v>
      </c>
      <c r="E1897" s="2" t="n">
        <f aca="false">D1897/1000</f>
        <v>210.066</v>
      </c>
      <c r="F1897" s="10" t="b">
        <f aca="false">FALSE()</f>
        <v>0</v>
      </c>
      <c r="G1897" s="0" t="n">
        <v>9</v>
      </c>
      <c r="H1897" s="0" t="n">
        <f aca="false">_xlfn.xlookup(G1897, years!A$2:A$836, years!B$2:B$836)</f>
        <v>2006</v>
      </c>
      <c r="I1897" s="2" t="n">
        <v>49</v>
      </c>
      <c r="J1897" s="0" t="n">
        <v>0.474</v>
      </c>
      <c r="K1897" s="0" t="n">
        <v>0.71</v>
      </c>
      <c r="L1897" s="3" t="str">
        <f aca="false">IF(K1897&gt;0.66,"High",IF(K1897&gt;0.33&amp;K1897&lt;=0.66,"Medium","Low"))</f>
        <v>High</v>
      </c>
      <c r="M1897" s="0" t="n">
        <v>-4.606</v>
      </c>
      <c r="N1897" s="3" t="n">
        <v>0.029</v>
      </c>
      <c r="O1897" s="3" t="n">
        <v>0.0548</v>
      </c>
      <c r="P1897" s="4" t="n">
        <v>0</v>
      </c>
      <c r="Q1897" s="3" t="n">
        <v>0.0974</v>
      </c>
      <c r="R1897" s="3" t="n">
        <v>0.591</v>
      </c>
      <c r="S1897" s="3" t="str">
        <f aca="false">IF(R1897 &gt;= 0.5, "Positive", "Negative")</f>
        <v>Positive</v>
      </c>
      <c r="T1897" s="2" t="n">
        <v>78.969</v>
      </c>
      <c r="U1897" s="0" t="s">
        <v>33</v>
      </c>
    </row>
    <row r="1898" customFormat="false" ht="14.25" hidden="false" customHeight="false" outlineLevel="0" collapsed="false">
      <c r="A1898" s="0" t="n">
        <v>223</v>
      </c>
      <c r="B1898" s="0" t="str">
        <f aca="false">_xlfn.xlookup(A1898, artists!A$2:A$836, artists!B$2:B$836)</f>
        <v>Kelly Rowland</v>
      </c>
      <c r="C1898" s="1" t="s">
        <v>1915</v>
      </c>
      <c r="D1898" s="2" t="n">
        <v>207920</v>
      </c>
      <c r="E1898" s="2" t="n">
        <f aca="false">D1898/1000</f>
        <v>207.92</v>
      </c>
      <c r="F1898" s="10" t="b">
        <f aca="false">FALSE()</f>
        <v>0</v>
      </c>
      <c r="G1898" s="0" t="n">
        <v>13</v>
      </c>
      <c r="H1898" s="0" t="n">
        <f aca="false">_xlfn.xlookup(G1898, years!A$2:A$836, years!B$2:B$836)</f>
        <v>2010</v>
      </c>
      <c r="I1898" s="2" t="n">
        <v>34</v>
      </c>
      <c r="J1898" s="0" t="n">
        <v>0.888</v>
      </c>
      <c r="K1898" s="0" t="n">
        <v>0.823</v>
      </c>
      <c r="L1898" s="3" t="str">
        <f aca="false">IF(K1898&gt;0.66,"High",IF(K1898&gt;0.33&amp;K1898&lt;=0.66,"Medium","Low"))</f>
        <v>High</v>
      </c>
      <c r="M1898" s="0" t="n">
        <v>-6.351</v>
      </c>
      <c r="N1898" s="3" t="n">
        <v>0.0538</v>
      </c>
      <c r="O1898" s="3" t="n">
        <v>0.00499</v>
      </c>
      <c r="P1898" s="4" t="n">
        <v>0</v>
      </c>
      <c r="Q1898" s="3" t="n">
        <v>0.291</v>
      </c>
      <c r="R1898" s="3" t="n">
        <v>0.623</v>
      </c>
      <c r="S1898" s="3" t="str">
        <f aca="false">IF(R1898 &gt;= 0.5, "Positive", "Negative")</f>
        <v>Positive</v>
      </c>
      <c r="T1898" s="2" t="n">
        <v>102.757</v>
      </c>
      <c r="U1898" s="0" t="s">
        <v>31</v>
      </c>
    </row>
    <row r="1899" customFormat="false" ht="14.25" hidden="false" customHeight="false" outlineLevel="0" collapsed="false">
      <c r="A1899" s="0" t="n">
        <v>283</v>
      </c>
      <c r="B1899" s="0" t="str">
        <f aca="false">_xlfn.xlookup(A1899, artists!A$2:A$836, artists!B$2:B$836)</f>
        <v>Rihanna</v>
      </c>
      <c r="C1899" s="1" t="s">
        <v>1915</v>
      </c>
      <c r="D1899" s="2" t="n">
        <v>219320</v>
      </c>
      <c r="E1899" s="2" t="n">
        <f aca="false">D1899/1000</f>
        <v>219.32</v>
      </c>
      <c r="F1899" s="10" t="b">
        <f aca="false">TRUE()</f>
        <v>1</v>
      </c>
      <c r="G1899" s="0" t="n">
        <v>19</v>
      </c>
      <c r="H1899" s="0" t="n">
        <f aca="false">_xlfn.xlookup(G1899, years!A$2:A$836, years!B$2:B$836)</f>
        <v>2016</v>
      </c>
      <c r="I1899" s="2" t="n">
        <v>75</v>
      </c>
      <c r="J1899" s="0" t="n">
        <v>0.725</v>
      </c>
      <c r="K1899" s="0" t="n">
        <v>0.534</v>
      </c>
      <c r="L1899" s="3" t="str">
        <f aca="false">IF(K1899&gt;0.66,"High",IF(K1899&gt;0.33&amp;K1899&lt;=0.66,"Medium","Low"))</f>
        <v>Low</v>
      </c>
      <c r="M1899" s="0" t="n">
        <v>-6.238</v>
      </c>
      <c r="N1899" s="3" t="n">
        <v>0.0946</v>
      </c>
      <c r="O1899" s="3" t="n">
        <v>0.0752</v>
      </c>
      <c r="P1899" s="4" t="n">
        <v>0</v>
      </c>
      <c r="Q1899" s="3" t="n">
        <v>0.0919</v>
      </c>
      <c r="R1899" s="3" t="n">
        <v>0.558</v>
      </c>
      <c r="S1899" s="3" t="str">
        <f aca="false">IF(R1899 &gt;= 0.5, "Positive", "Negative")</f>
        <v>Positive</v>
      </c>
      <c r="T1899" s="2" t="n">
        <v>91.974</v>
      </c>
      <c r="U1899" s="0" t="s">
        <v>31</v>
      </c>
    </row>
    <row r="1900" customFormat="false" ht="14.25" hidden="false" customHeight="false" outlineLevel="0" collapsed="false">
      <c r="A1900" s="0" t="n">
        <v>1</v>
      </c>
      <c r="B1900" s="0" t="str">
        <f aca="false">_xlfn.xlookup(A1900, artists!A$2:A$836, artists!B$2:B$836)</f>
        <v>Britney Spears</v>
      </c>
      <c r="C1900" s="1" t="s">
        <v>1916</v>
      </c>
      <c r="D1900" s="2" t="n">
        <v>198600</v>
      </c>
      <c r="E1900" s="2" t="n">
        <f aca="false">D1900/1000</f>
        <v>198.6</v>
      </c>
      <c r="F1900" s="10" t="b">
        <f aca="false">FALSE()</f>
        <v>0</v>
      </c>
      <c r="G1900" s="0" t="n">
        <v>4</v>
      </c>
      <c r="H1900" s="0" t="n">
        <f aca="false">_xlfn.xlookup(G1900, years!A$2:A$836, years!B$2:B$836)</f>
        <v>2001</v>
      </c>
      <c r="I1900" s="2" t="n">
        <v>61</v>
      </c>
      <c r="J1900" s="0" t="n">
        <v>0.682</v>
      </c>
      <c r="K1900" s="0" t="n">
        <v>0.894</v>
      </c>
      <c r="L1900" s="3" t="str">
        <f aca="false">IF(K1900&gt;0.66,"High",IF(K1900&gt;0.33&amp;K1900&lt;=0.66,"Medium","Low"))</f>
        <v>High</v>
      </c>
      <c r="M1900" s="0" t="n">
        <v>-1.73</v>
      </c>
      <c r="N1900" s="3" t="n">
        <v>0.0727</v>
      </c>
      <c r="O1900" s="3" t="n">
        <v>0.0381</v>
      </c>
      <c r="P1900" s="4" t="n">
        <v>0</v>
      </c>
      <c r="Q1900" s="3" t="n">
        <v>0.416</v>
      </c>
      <c r="R1900" s="3" t="n">
        <v>0.845</v>
      </c>
      <c r="S1900" s="3" t="str">
        <f aca="false">IF(R1900 &gt;= 0.5, "Positive", "Negative")</f>
        <v>Positive</v>
      </c>
      <c r="T1900" s="2" t="n">
        <v>95.992</v>
      </c>
      <c r="U1900" s="0" t="s">
        <v>39</v>
      </c>
    </row>
    <row r="1901" customFormat="false" ht="14.25" hidden="false" customHeight="false" outlineLevel="0" collapsed="false">
      <c r="A1901" s="0" t="n">
        <v>652</v>
      </c>
      <c r="B1901" s="0" t="str">
        <f aca="false">_xlfn.xlookup(A1901, artists!A$2:A$836, artists!B$2:B$836)</f>
        <v>Fifth Harmony</v>
      </c>
      <c r="C1901" s="1" t="s">
        <v>1917</v>
      </c>
      <c r="D1901" s="2" t="n">
        <v>214480</v>
      </c>
      <c r="E1901" s="2" t="n">
        <f aca="false">D1901/1000</f>
        <v>214.48</v>
      </c>
      <c r="F1901" s="10" t="b">
        <f aca="false">FALSE()</f>
        <v>0</v>
      </c>
      <c r="G1901" s="0" t="n">
        <v>19</v>
      </c>
      <c r="H1901" s="0" t="n">
        <f aca="false">_xlfn.xlookup(G1901, years!A$2:A$836, years!B$2:B$836)</f>
        <v>2016</v>
      </c>
      <c r="I1901" s="2" t="n">
        <v>75</v>
      </c>
      <c r="J1901" s="0" t="n">
        <v>0.803</v>
      </c>
      <c r="K1901" s="0" t="n">
        <v>0.585</v>
      </c>
      <c r="L1901" s="3" t="str">
        <f aca="false">IF(K1901&gt;0.66,"High",IF(K1901&gt;0.33&amp;K1901&lt;=0.66,"Medium","Low"))</f>
        <v>Low</v>
      </c>
      <c r="M1901" s="0" t="n">
        <v>-5.861</v>
      </c>
      <c r="N1901" s="3" t="n">
        <v>0.0432</v>
      </c>
      <c r="O1901" s="3" t="n">
        <v>0.103</v>
      </c>
      <c r="P1901" s="4" t="n">
        <v>3.94E-006</v>
      </c>
      <c r="Q1901" s="3" t="n">
        <v>0.0644</v>
      </c>
      <c r="R1901" s="3" t="n">
        <v>0.593</v>
      </c>
      <c r="S1901" s="3" t="str">
        <f aca="false">IF(R1901 &gt;= 0.5, "Positive", "Negative")</f>
        <v>Positive</v>
      </c>
      <c r="T1901" s="2" t="n">
        <v>105.017</v>
      </c>
      <c r="U1901" s="0" t="s">
        <v>39</v>
      </c>
    </row>
    <row r="1902" customFormat="false" ht="14.25" hidden="false" customHeight="false" outlineLevel="0" collapsed="false">
      <c r="A1902" s="0" t="n">
        <v>512</v>
      </c>
      <c r="B1902" s="0" t="str">
        <f aca="false">_xlfn.xlookup(A1902, artists!A$2:A$836, artists!B$2:B$836)</f>
        <v>Wiz Khalifa</v>
      </c>
      <c r="C1902" s="1" t="s">
        <v>1918</v>
      </c>
      <c r="D1902" s="2" t="n">
        <v>219026</v>
      </c>
      <c r="E1902" s="2" t="n">
        <f aca="false">D1902/1000</f>
        <v>219.026</v>
      </c>
      <c r="F1902" s="10" t="b">
        <f aca="false">TRUE()</f>
        <v>1</v>
      </c>
      <c r="G1902" s="0" t="n">
        <v>15</v>
      </c>
      <c r="H1902" s="0" t="n">
        <f aca="false">_xlfn.xlookup(G1902, years!A$2:A$836, years!B$2:B$836)</f>
        <v>2012</v>
      </c>
      <c r="I1902" s="2" t="n">
        <v>62</v>
      </c>
      <c r="J1902" s="0" t="n">
        <v>0.787</v>
      </c>
      <c r="K1902" s="0" t="n">
        <v>0.666</v>
      </c>
      <c r="L1902" s="3" t="str">
        <f aca="false">IF(K1902&gt;0.66,"High",IF(K1902&gt;0.33&amp;K1902&lt;=0.66,"Medium","Low"))</f>
        <v>High</v>
      </c>
      <c r="M1902" s="0" t="n">
        <v>-4.475</v>
      </c>
      <c r="N1902" s="3" t="n">
        <v>0.0485</v>
      </c>
      <c r="O1902" s="3" t="n">
        <v>0.0409</v>
      </c>
      <c r="P1902" s="4" t="n">
        <v>1.91E-005</v>
      </c>
      <c r="Q1902" s="3" t="n">
        <v>0.296</v>
      </c>
      <c r="R1902" s="3" t="n">
        <v>0.485</v>
      </c>
      <c r="S1902" s="3" t="str">
        <f aca="false">IF(R1902 &gt;= 0.5, "Positive", "Negative")</f>
        <v>Negative</v>
      </c>
      <c r="T1902" s="2" t="n">
        <v>140.008</v>
      </c>
      <c r="U1902" s="0" t="s">
        <v>24</v>
      </c>
    </row>
    <row r="1903" customFormat="false" ht="14.25" hidden="false" customHeight="false" outlineLevel="0" collapsed="false">
      <c r="A1903" s="0" t="n">
        <v>41</v>
      </c>
      <c r="B1903" s="0" t="str">
        <f aca="false">_xlfn.xlookup(A1903, artists!A$2:A$836, artists!B$2:B$836)</f>
        <v>Missy Elliott</v>
      </c>
      <c r="C1903" s="1" t="s">
        <v>1919</v>
      </c>
      <c r="D1903" s="2" t="n">
        <v>263226</v>
      </c>
      <c r="E1903" s="2" t="n">
        <f aca="false">D1903/1000</f>
        <v>263.226</v>
      </c>
      <c r="F1903" s="10" t="b">
        <f aca="false">TRUE()</f>
        <v>1</v>
      </c>
      <c r="G1903" s="0" t="n">
        <v>5</v>
      </c>
      <c r="H1903" s="0" t="n">
        <f aca="false">_xlfn.xlookup(G1903, years!A$2:A$836, years!B$2:B$836)</f>
        <v>2002</v>
      </c>
      <c r="I1903" s="2" t="n">
        <v>70</v>
      </c>
      <c r="J1903" s="0" t="n">
        <v>0.884</v>
      </c>
      <c r="K1903" s="0" t="n">
        <v>0.677</v>
      </c>
      <c r="L1903" s="3" t="str">
        <f aca="false">IF(K1903&gt;0.66,"High",IF(K1903&gt;0.33&amp;K1903&lt;=0.66,"Medium","Low"))</f>
        <v>High</v>
      </c>
      <c r="M1903" s="0" t="n">
        <v>-5.603</v>
      </c>
      <c r="N1903" s="3" t="n">
        <v>0.283</v>
      </c>
      <c r="O1903" s="3" t="n">
        <v>0.0778</v>
      </c>
      <c r="P1903" s="4" t="n">
        <v>0</v>
      </c>
      <c r="Q1903" s="3" t="n">
        <v>0.0732</v>
      </c>
      <c r="R1903" s="3" t="n">
        <v>0.584</v>
      </c>
      <c r="S1903" s="3" t="str">
        <f aca="false">IF(R1903 &gt;= 0.5, "Positive", "Negative")</f>
        <v>Positive</v>
      </c>
      <c r="T1903" s="2" t="n">
        <v>101.868</v>
      </c>
      <c r="U1903" s="0" t="s">
        <v>31</v>
      </c>
    </row>
    <row r="1904" customFormat="false" ht="14.25" hidden="false" customHeight="false" outlineLevel="0" collapsed="false">
      <c r="A1904" s="0" t="n">
        <v>787</v>
      </c>
      <c r="B1904" s="0" t="str">
        <f aca="false">_xlfn.xlookup(A1904, artists!A$2:A$836, artists!B$2:B$836)</f>
        <v>M.O</v>
      </c>
      <c r="C1904" s="1" t="s">
        <v>1920</v>
      </c>
      <c r="D1904" s="2" t="n">
        <v>214253</v>
      </c>
      <c r="E1904" s="2" t="n">
        <f aca="false">D1904/1000</f>
        <v>214.253</v>
      </c>
      <c r="F1904" s="10" t="b">
        <f aca="false">FALSE()</f>
        <v>0</v>
      </c>
      <c r="G1904" s="0" t="n">
        <v>21</v>
      </c>
      <c r="H1904" s="0" t="n">
        <f aca="false">_xlfn.xlookup(G1904, years!A$2:A$836, years!B$2:B$836)</f>
        <v>2018</v>
      </c>
      <c r="I1904" s="2" t="n">
        <v>54</v>
      </c>
      <c r="J1904" s="0" t="n">
        <v>0.813</v>
      </c>
      <c r="K1904" s="0" t="n">
        <v>0.701</v>
      </c>
      <c r="L1904" s="3" t="str">
        <f aca="false">IF(K1904&gt;0.66,"High",IF(K1904&gt;0.33&amp;K1904&lt;=0.66,"Medium","Low"))</f>
        <v>High</v>
      </c>
      <c r="M1904" s="0" t="n">
        <v>-4.428</v>
      </c>
      <c r="N1904" s="3" t="n">
        <v>0.0449</v>
      </c>
      <c r="O1904" s="3" t="n">
        <v>0.178</v>
      </c>
      <c r="P1904" s="4" t="n">
        <v>0</v>
      </c>
      <c r="Q1904" s="3" t="n">
        <v>0.0962</v>
      </c>
      <c r="R1904" s="3" t="n">
        <v>0.758</v>
      </c>
      <c r="S1904" s="3" t="str">
        <f aca="false">IF(R1904 &gt;= 0.5, "Positive", "Negative")</f>
        <v>Positive</v>
      </c>
      <c r="T1904" s="2" t="n">
        <v>110.009</v>
      </c>
      <c r="U1904" s="0" t="s">
        <v>22</v>
      </c>
    </row>
    <row r="1905" customFormat="false" ht="14.25" hidden="false" customHeight="false" outlineLevel="0" collapsed="false">
      <c r="A1905" s="0" t="n">
        <v>34</v>
      </c>
      <c r="B1905" s="0" t="str">
        <f aca="false">_xlfn.xlookup(A1905, artists!A$2:A$836, artists!B$2:B$836)</f>
        <v>Kylie Minogue</v>
      </c>
      <c r="C1905" s="1" t="s">
        <v>1921</v>
      </c>
      <c r="D1905" s="2" t="n">
        <v>190973</v>
      </c>
      <c r="E1905" s="2" t="n">
        <f aca="false">D1905/1000</f>
        <v>190.973</v>
      </c>
      <c r="F1905" s="10" t="b">
        <f aca="false">FALSE()</f>
        <v>0</v>
      </c>
      <c r="G1905" s="0" t="n">
        <v>10</v>
      </c>
      <c r="H1905" s="0" t="n">
        <f aca="false">_xlfn.xlookup(G1905, years!A$2:A$836, years!B$2:B$836)</f>
        <v>2007</v>
      </c>
      <c r="I1905" s="2" t="n">
        <v>47</v>
      </c>
      <c r="J1905" s="0" t="n">
        <v>0.654</v>
      </c>
      <c r="K1905" s="0" t="n">
        <v>0.884</v>
      </c>
      <c r="L1905" s="3" t="str">
        <f aca="false">IF(K1905&gt;0.66,"High",IF(K1905&gt;0.33&amp;K1905&lt;=0.66,"Medium","Low"))</f>
        <v>High</v>
      </c>
      <c r="M1905" s="0" t="n">
        <v>-5.466</v>
      </c>
      <c r="N1905" s="3" t="n">
        <v>0.202</v>
      </c>
      <c r="O1905" s="3" t="n">
        <v>0.151</v>
      </c>
      <c r="P1905" s="4" t="n">
        <v>0.000268</v>
      </c>
      <c r="Q1905" s="3" t="n">
        <v>0.379</v>
      </c>
      <c r="R1905" s="3" t="n">
        <v>0.851</v>
      </c>
      <c r="S1905" s="3" t="str">
        <f aca="false">IF(R1905 &gt;= 0.5, "Positive", "Negative")</f>
        <v>Positive</v>
      </c>
      <c r="T1905" s="2" t="n">
        <v>124.072</v>
      </c>
      <c r="U1905" s="0" t="s">
        <v>22</v>
      </c>
    </row>
    <row r="1906" customFormat="false" ht="14.25" hidden="false" customHeight="false" outlineLevel="0" collapsed="false">
      <c r="A1906" s="0" t="n">
        <v>746</v>
      </c>
      <c r="B1906" s="0" t="str">
        <f aca="false">_xlfn.xlookup(A1906, artists!A$2:A$836, artists!B$2:B$836)</f>
        <v>Post Malone</v>
      </c>
      <c r="C1906" s="1" t="s">
        <v>1922</v>
      </c>
      <c r="D1906" s="2" t="n">
        <v>149546</v>
      </c>
      <c r="E1906" s="2" t="n">
        <f aca="false">D1906/1000</f>
        <v>149.546</v>
      </c>
      <c r="F1906" s="10" t="b">
        <f aca="false">TRUE()</f>
        <v>1</v>
      </c>
      <c r="G1906" s="0" t="n">
        <v>22</v>
      </c>
      <c r="H1906" s="0" t="n">
        <f aca="false">_xlfn.xlookup(G1906, years!A$2:A$836, years!B$2:B$836)</f>
        <v>2019</v>
      </c>
      <c r="I1906" s="2" t="n">
        <v>79</v>
      </c>
      <c r="J1906" s="0" t="n">
        <v>0.829</v>
      </c>
      <c r="K1906" s="0" t="n">
        <v>0.539</v>
      </c>
      <c r="L1906" s="3" t="str">
        <f aca="false">IF(K1906&gt;0.66,"High",IF(K1906&gt;0.33&amp;K1906&lt;=0.66,"Medium","Low"))</f>
        <v>Low</v>
      </c>
      <c r="M1906" s="0" t="n">
        <v>-7.359</v>
      </c>
      <c r="N1906" s="3" t="n">
        <v>0.208</v>
      </c>
      <c r="O1906" s="3" t="n">
        <v>0.136</v>
      </c>
      <c r="P1906" s="4" t="n">
        <v>1.78E-006</v>
      </c>
      <c r="Q1906" s="3" t="n">
        <v>0.103</v>
      </c>
      <c r="R1906" s="3" t="n">
        <v>0.388</v>
      </c>
      <c r="S1906" s="3" t="str">
        <f aca="false">IF(R1906 &gt;= 0.5, "Positive", "Negative")</f>
        <v>Negative</v>
      </c>
      <c r="T1906" s="2" t="n">
        <v>99.96</v>
      </c>
      <c r="U1906" s="0" t="s">
        <v>29</v>
      </c>
    </row>
    <row r="1907" customFormat="false" ht="14.25" hidden="false" customHeight="false" outlineLevel="0" collapsed="false">
      <c r="A1907" s="0" t="n">
        <v>514</v>
      </c>
      <c r="B1907" s="0" t="str">
        <f aca="false">_xlfn.xlookup(A1907, artists!A$2:A$836, artists!B$2:B$836)</f>
        <v>Olly Murs</v>
      </c>
      <c r="C1907" s="1" t="s">
        <v>1923</v>
      </c>
      <c r="D1907" s="2" t="n">
        <v>185640</v>
      </c>
      <c r="E1907" s="2" t="n">
        <f aca="false">D1907/1000</f>
        <v>185.64</v>
      </c>
      <c r="F1907" s="10" t="b">
        <f aca="false">FALSE()</f>
        <v>0</v>
      </c>
      <c r="G1907" s="0" t="n">
        <v>17</v>
      </c>
      <c r="H1907" s="0" t="n">
        <f aca="false">_xlfn.xlookup(G1907, years!A$2:A$836, years!B$2:B$836)</f>
        <v>2014</v>
      </c>
      <c r="I1907" s="2" t="n">
        <v>0</v>
      </c>
      <c r="J1907" s="0" t="n">
        <v>0.787</v>
      </c>
      <c r="K1907" s="0" t="n">
        <v>0.848</v>
      </c>
      <c r="L1907" s="3" t="str">
        <f aca="false">IF(K1907&gt;0.66,"High",IF(K1907&gt;0.33&amp;K1907&lt;=0.66,"Medium","Low"))</f>
        <v>High</v>
      </c>
      <c r="M1907" s="0" t="n">
        <v>-4.696</v>
      </c>
      <c r="N1907" s="3" t="n">
        <v>0.0549</v>
      </c>
      <c r="O1907" s="3" t="n">
        <v>0.0915</v>
      </c>
      <c r="P1907" s="4" t="n">
        <v>0</v>
      </c>
      <c r="Q1907" s="3" t="n">
        <v>0.15</v>
      </c>
      <c r="R1907" s="3" t="n">
        <v>0.947</v>
      </c>
      <c r="S1907" s="3" t="str">
        <f aca="false">IF(R1907 &gt;= 0.5, "Positive", "Negative")</f>
        <v>Positive</v>
      </c>
      <c r="T1907" s="2" t="n">
        <v>121.989</v>
      </c>
      <c r="U1907" s="0" t="s">
        <v>22</v>
      </c>
    </row>
    <row r="1908" customFormat="false" ht="14.25" hidden="false" customHeight="false" outlineLevel="0" collapsed="false">
      <c r="A1908" s="0" t="n">
        <v>406</v>
      </c>
      <c r="B1908" s="0" t="str">
        <f aca="false">_xlfn.xlookup(A1908, artists!A$2:A$836, artists!B$2:B$836)</f>
        <v>Miley Cyrus</v>
      </c>
      <c r="C1908" s="1" t="s">
        <v>1924</v>
      </c>
      <c r="D1908" s="2" t="n">
        <v>221360</v>
      </c>
      <c r="E1908" s="2" t="n">
        <f aca="false">D1908/1000</f>
        <v>221.36</v>
      </c>
      <c r="F1908" s="10" t="b">
        <f aca="false">FALSE()</f>
        <v>0</v>
      </c>
      <c r="G1908" s="0" t="n">
        <v>16</v>
      </c>
      <c r="H1908" s="0" t="n">
        <f aca="false">_xlfn.xlookup(G1908, years!A$2:A$836, years!B$2:B$836)</f>
        <v>2013</v>
      </c>
      <c r="I1908" s="2" t="n">
        <v>77</v>
      </c>
      <c r="J1908" s="0" t="n">
        <v>0.53</v>
      </c>
      <c r="K1908" s="0" t="n">
        <v>0.422</v>
      </c>
      <c r="L1908" s="3" t="str">
        <f aca="false">IF(K1908&gt;0.66,"High",IF(K1908&gt;0.33&amp;K1908&lt;=0.66,"Medium","Low"))</f>
        <v>Low</v>
      </c>
      <c r="M1908" s="0" t="n">
        <v>-6.262</v>
      </c>
      <c r="N1908" s="3" t="n">
        <v>0.0342</v>
      </c>
      <c r="O1908" s="3" t="n">
        <v>0.407</v>
      </c>
      <c r="P1908" s="4" t="n">
        <v>0</v>
      </c>
      <c r="Q1908" s="3" t="n">
        <v>0.107</v>
      </c>
      <c r="R1908" s="3" t="n">
        <v>0.349</v>
      </c>
      <c r="S1908" s="3" t="str">
        <f aca="false">IF(R1908 &gt;= 0.5, "Positive", "Negative")</f>
        <v>Negative</v>
      </c>
      <c r="T1908" s="2" t="n">
        <v>119.964</v>
      </c>
      <c r="U1908" s="0" t="s">
        <v>39</v>
      </c>
    </row>
    <row r="1909" customFormat="false" ht="14.25" hidden="false" customHeight="false" outlineLevel="0" collapsed="false">
      <c r="A1909" s="0" t="n">
        <v>603</v>
      </c>
      <c r="B1909" s="0" t="str">
        <f aca="false">_xlfn.xlookup(A1909, artists!A$2:A$836, artists!B$2:B$836)</f>
        <v>Sam Smith</v>
      </c>
      <c r="C1909" s="1" t="s">
        <v>1925</v>
      </c>
      <c r="D1909" s="2" t="n">
        <v>278987</v>
      </c>
      <c r="E1909" s="2" t="n">
        <f aca="false">D1909/1000</f>
        <v>278.987</v>
      </c>
      <c r="F1909" s="10" t="b">
        <f aca="false">FALSE()</f>
        <v>0</v>
      </c>
      <c r="G1909" s="0" t="n">
        <v>18</v>
      </c>
      <c r="H1909" s="0" t="n">
        <f aca="false">_xlfn.xlookup(G1909, years!A$2:A$836, years!B$2:B$836)</f>
        <v>2015</v>
      </c>
      <c r="I1909" s="2" t="n">
        <v>66</v>
      </c>
      <c r="J1909" s="0" t="n">
        <v>0.261</v>
      </c>
      <c r="K1909" s="0" t="n">
        <v>0.302</v>
      </c>
      <c r="L1909" s="3" t="str">
        <f aca="false">IF(K1909&gt;0.66,"High",IF(K1909&gt;0.33&amp;K1909&lt;=0.66,"Medium","Low"))</f>
        <v>Low</v>
      </c>
      <c r="M1909" s="0" t="n">
        <v>-8.19</v>
      </c>
      <c r="N1909" s="3" t="n">
        <v>0.0339</v>
      </c>
      <c r="O1909" s="3" t="n">
        <v>0.769</v>
      </c>
      <c r="P1909" s="4" t="n">
        <v>2.57E-006</v>
      </c>
      <c r="Q1909" s="3" t="n">
        <v>0.0863</v>
      </c>
      <c r="R1909" s="3" t="n">
        <v>0.0883</v>
      </c>
      <c r="S1909" s="3" t="str">
        <f aca="false">IF(R1909 &gt;= 0.5, "Positive", "Negative")</f>
        <v>Negative</v>
      </c>
      <c r="T1909" s="2" t="n">
        <v>81.418</v>
      </c>
      <c r="U1909" s="0" t="s">
        <v>39</v>
      </c>
    </row>
    <row r="1910" customFormat="false" ht="14.25" hidden="false" customHeight="false" outlineLevel="0" collapsed="false">
      <c r="A1910" s="0" t="n">
        <v>483</v>
      </c>
      <c r="B1910" s="0" t="str">
        <f aca="false">_xlfn.xlookup(A1910, artists!A$2:A$836, artists!B$2:B$836)</f>
        <v>Tinie Tempah</v>
      </c>
      <c r="C1910" s="1" t="s">
        <v>1926</v>
      </c>
      <c r="D1910" s="2" t="n">
        <v>207653</v>
      </c>
      <c r="E1910" s="2" t="n">
        <f aca="false">D1910/1000</f>
        <v>207.653</v>
      </c>
      <c r="F1910" s="10" t="b">
        <f aca="false">FALSE()</f>
        <v>0</v>
      </c>
      <c r="G1910" s="0" t="n">
        <v>13</v>
      </c>
      <c r="H1910" s="0" t="n">
        <f aca="false">_xlfn.xlookup(G1910, years!A$2:A$836, years!B$2:B$836)</f>
        <v>2010</v>
      </c>
      <c r="I1910" s="2" t="n">
        <v>57</v>
      </c>
      <c r="J1910" s="0" t="n">
        <v>0.656</v>
      </c>
      <c r="K1910" s="0" t="n">
        <v>0.931</v>
      </c>
      <c r="L1910" s="3" t="str">
        <f aca="false">IF(K1910&gt;0.66,"High",IF(K1910&gt;0.33&amp;K1910&lt;=0.66,"Medium","Low"))</f>
        <v>High</v>
      </c>
      <c r="M1910" s="0" t="n">
        <v>-4.188</v>
      </c>
      <c r="N1910" s="3" t="n">
        <v>0.0981</v>
      </c>
      <c r="O1910" s="3" t="n">
        <v>0.0613</v>
      </c>
      <c r="P1910" s="4" t="n">
        <v>0</v>
      </c>
      <c r="Q1910" s="3" t="n">
        <v>0.219</v>
      </c>
      <c r="R1910" s="3" t="n">
        <v>0.534</v>
      </c>
      <c r="S1910" s="3" t="str">
        <f aca="false">IF(R1910 &gt;= 0.5, "Positive", "Negative")</f>
        <v>Positive</v>
      </c>
      <c r="T1910" s="2" t="n">
        <v>91.881</v>
      </c>
      <c r="U1910" s="0" t="s">
        <v>53</v>
      </c>
    </row>
    <row r="1911" customFormat="false" ht="14.25" hidden="false" customHeight="false" outlineLevel="0" collapsed="false">
      <c r="A1911" s="0" t="n">
        <v>683</v>
      </c>
      <c r="B1911" s="0" t="str">
        <f aca="false">_xlfn.xlookup(A1911, artists!A$2:A$836, artists!B$2:B$836)</f>
        <v>Nicky Jam</v>
      </c>
      <c r="C1911" s="1" t="s">
        <v>1927</v>
      </c>
      <c r="D1911" s="2" t="n">
        <v>172854</v>
      </c>
      <c r="E1911" s="2" t="n">
        <f aca="false">D1911/1000</f>
        <v>172.854</v>
      </c>
      <c r="F1911" s="10" t="b">
        <f aca="false">FALSE()</f>
        <v>0</v>
      </c>
      <c r="G1911" s="0" t="n">
        <v>22</v>
      </c>
      <c r="H1911" s="0" t="n">
        <f aca="false">_xlfn.xlookup(G1911, years!A$2:A$836, years!B$2:B$836)</f>
        <v>2019</v>
      </c>
      <c r="I1911" s="2" t="n">
        <v>74</v>
      </c>
      <c r="J1911" s="0" t="n">
        <v>0.594</v>
      </c>
      <c r="K1911" s="0" t="n">
        <v>0.749</v>
      </c>
      <c r="L1911" s="3" t="str">
        <f aca="false">IF(K1911&gt;0.66,"High",IF(K1911&gt;0.33&amp;K1911&lt;=0.66,"Medium","Low"))</f>
        <v>High</v>
      </c>
      <c r="M1911" s="0" t="n">
        <v>-5.298</v>
      </c>
      <c r="N1911" s="3" t="n">
        <v>0.056</v>
      </c>
      <c r="O1911" s="3" t="n">
        <v>0.0338</v>
      </c>
      <c r="P1911" s="4" t="n">
        <v>0.00106</v>
      </c>
      <c r="Q1911" s="3" t="n">
        <v>0.3</v>
      </c>
      <c r="R1911" s="3" t="n">
        <v>0.694</v>
      </c>
      <c r="S1911" s="3" t="str">
        <f aca="false">IF(R1911 &gt;= 0.5, "Positive", "Negative")</f>
        <v>Positive</v>
      </c>
      <c r="T1911" s="2" t="n">
        <v>179.968</v>
      </c>
      <c r="U1911" s="0" t="s">
        <v>312</v>
      </c>
    </row>
    <row r="1912" customFormat="false" ht="14.25" hidden="false" customHeight="false" outlineLevel="0" collapsed="false">
      <c r="A1912" s="0" t="n">
        <v>29</v>
      </c>
      <c r="B1912" s="0" t="str">
        <f aca="false">_xlfn.xlookup(A1912, artists!A$2:A$836, artists!B$2:B$836)</f>
        <v>DMX</v>
      </c>
      <c r="C1912" s="1" t="s">
        <v>1928</v>
      </c>
      <c r="D1912" s="2" t="n">
        <v>217586</v>
      </c>
      <c r="E1912" s="2" t="n">
        <f aca="false">D1912/1000</f>
        <v>217.586</v>
      </c>
      <c r="F1912" s="10" t="b">
        <f aca="false">TRUE()</f>
        <v>1</v>
      </c>
      <c r="G1912" s="0" t="n">
        <v>10</v>
      </c>
      <c r="H1912" s="0" t="n">
        <f aca="false">_xlfn.xlookup(G1912, years!A$2:A$836, years!B$2:B$836)</f>
        <v>2007</v>
      </c>
      <c r="I1912" s="2" t="n">
        <v>70</v>
      </c>
      <c r="J1912" s="0" t="n">
        <v>0.761</v>
      </c>
      <c r="K1912" s="0" t="n">
        <v>0.899</v>
      </c>
      <c r="L1912" s="3" t="str">
        <f aca="false">IF(K1912&gt;0.66,"High",IF(K1912&gt;0.33&amp;K1912&lt;=0.66,"Medium","Low"))</f>
        <v>High</v>
      </c>
      <c r="M1912" s="0" t="n">
        <v>-3.09</v>
      </c>
      <c r="N1912" s="3" t="n">
        <v>0.183</v>
      </c>
      <c r="O1912" s="3" t="n">
        <v>0.0135</v>
      </c>
      <c r="P1912" s="4" t="n">
        <v>0</v>
      </c>
      <c r="Q1912" s="3" t="n">
        <v>0.0719</v>
      </c>
      <c r="R1912" s="3" t="n">
        <v>0.673</v>
      </c>
      <c r="S1912" s="3" t="str">
        <f aca="false">IF(R1912 &gt;= 0.5, "Positive", "Negative")</f>
        <v>Positive</v>
      </c>
      <c r="T1912" s="2" t="n">
        <v>95.027</v>
      </c>
      <c r="U1912" s="0" t="s">
        <v>24</v>
      </c>
    </row>
    <row r="1913" customFormat="false" ht="14.25" hidden="false" customHeight="false" outlineLevel="0" collapsed="false">
      <c r="A1913" s="0" t="n">
        <v>730</v>
      </c>
      <c r="B1913" s="0" t="str">
        <f aca="false">_xlfn.xlookup(A1913, artists!A$2:A$836, artists!B$2:B$836)</f>
        <v>Lil Uzi Vert</v>
      </c>
      <c r="C1913" s="1" t="s">
        <v>1929</v>
      </c>
      <c r="D1913" s="2" t="n">
        <v>182706</v>
      </c>
      <c r="E1913" s="2" t="n">
        <f aca="false">D1913/1000</f>
        <v>182.706</v>
      </c>
      <c r="F1913" s="10" t="b">
        <f aca="false">TRUE()</f>
        <v>1</v>
      </c>
      <c r="G1913" s="0" t="n">
        <v>20</v>
      </c>
      <c r="H1913" s="0" t="n">
        <f aca="false">_xlfn.xlookup(G1913, years!A$2:A$836, years!B$2:B$836)</f>
        <v>2017</v>
      </c>
      <c r="I1913" s="2" t="n">
        <v>81</v>
      </c>
      <c r="J1913" s="0" t="n">
        <v>0.732</v>
      </c>
      <c r="K1913" s="0" t="n">
        <v>0.75</v>
      </c>
      <c r="L1913" s="3" t="str">
        <f aca="false">IF(K1913&gt;0.66,"High",IF(K1913&gt;0.33&amp;K1913&lt;=0.66,"Medium","Low"))</f>
        <v>High</v>
      </c>
      <c r="M1913" s="0" t="n">
        <v>-6.366</v>
      </c>
      <c r="N1913" s="3" t="n">
        <v>0.231</v>
      </c>
      <c r="O1913" s="3" t="n">
        <v>0.00264</v>
      </c>
      <c r="P1913" s="4" t="n">
        <v>0</v>
      </c>
      <c r="Q1913" s="3" t="n">
        <v>0.109</v>
      </c>
      <c r="R1913" s="3" t="n">
        <v>0.401</v>
      </c>
      <c r="S1913" s="3" t="str">
        <f aca="false">IF(R1913 &gt;= 0.5, "Positive", "Negative")</f>
        <v>Negative</v>
      </c>
      <c r="T1913" s="2" t="n">
        <v>155.096</v>
      </c>
      <c r="U1913" s="0" t="s">
        <v>29</v>
      </c>
    </row>
    <row r="1914" customFormat="false" ht="14.25" hidden="false" customHeight="false" outlineLevel="0" collapsed="false">
      <c r="A1914" s="0" t="n">
        <v>291</v>
      </c>
      <c r="B1914" s="0" t="str">
        <f aca="false">_xlfn.xlookup(A1914, artists!A$2:A$836, artists!B$2:B$836)</f>
        <v>Chris Brown</v>
      </c>
      <c r="C1914" s="1" t="s">
        <v>1930</v>
      </c>
      <c r="D1914" s="2" t="n">
        <v>241666</v>
      </c>
      <c r="E1914" s="2" t="n">
        <f aca="false">D1914/1000</f>
        <v>241.666</v>
      </c>
      <c r="F1914" s="10" t="b">
        <f aca="false">TRUE()</f>
        <v>1</v>
      </c>
      <c r="G1914" s="0" t="n">
        <v>14</v>
      </c>
      <c r="H1914" s="0" t="n">
        <f aca="false">_xlfn.xlookup(G1914, years!A$2:A$836, years!B$2:B$836)</f>
        <v>2011</v>
      </c>
      <c r="I1914" s="2" t="n">
        <v>69</v>
      </c>
      <c r="J1914" s="0" t="n">
        <v>0.705</v>
      </c>
      <c r="K1914" s="0" t="n">
        <v>0.882</v>
      </c>
      <c r="L1914" s="3" t="str">
        <f aca="false">IF(K1914&gt;0.66,"High",IF(K1914&gt;0.33&amp;K1914&lt;=0.66,"Medium","Low"))</f>
        <v>High</v>
      </c>
      <c r="M1914" s="0" t="n">
        <v>-3.201</v>
      </c>
      <c r="N1914" s="3" t="n">
        <v>0.0445</v>
      </c>
      <c r="O1914" s="3" t="n">
        <v>0.000369</v>
      </c>
      <c r="P1914" s="4" t="n">
        <v>1.16E-006</v>
      </c>
      <c r="Q1914" s="3" t="n">
        <v>0.0934</v>
      </c>
      <c r="R1914" s="3" t="n">
        <v>0.7</v>
      </c>
      <c r="S1914" s="3" t="str">
        <f aca="false">IF(R1914 &gt;= 0.5, "Positive", "Negative")</f>
        <v>Positive</v>
      </c>
      <c r="T1914" s="2" t="n">
        <v>130</v>
      </c>
      <c r="U1914" s="0" t="s">
        <v>31</v>
      </c>
    </row>
    <row r="1915" customFormat="false" ht="14.25" hidden="false" customHeight="false" outlineLevel="0" collapsed="false">
      <c r="A1915" s="0" t="n">
        <v>120</v>
      </c>
      <c r="B1915" s="0" t="str">
        <f aca="false">_xlfn.xlookup(A1915, artists!A$2:A$836, artists!B$2:B$836)</f>
        <v>Usher</v>
      </c>
      <c r="C1915" s="1" t="s">
        <v>1931</v>
      </c>
      <c r="D1915" s="2" t="n">
        <v>250373</v>
      </c>
      <c r="E1915" s="2" t="n">
        <f aca="false">D1915/1000</f>
        <v>250.373</v>
      </c>
      <c r="F1915" s="10" t="b">
        <f aca="false">FALSE()</f>
        <v>0</v>
      </c>
      <c r="G1915" s="0" t="n">
        <v>7</v>
      </c>
      <c r="H1915" s="0" t="n">
        <f aca="false">_xlfn.xlookup(G1915, years!A$2:A$836, years!B$2:B$836)</f>
        <v>2004</v>
      </c>
      <c r="I1915" s="2" t="n">
        <v>81</v>
      </c>
      <c r="J1915" s="0" t="n">
        <v>0.894</v>
      </c>
      <c r="K1915" s="0" t="n">
        <v>0.791</v>
      </c>
      <c r="L1915" s="3" t="str">
        <f aca="false">IF(K1915&gt;0.66,"High",IF(K1915&gt;0.33&amp;K1915&lt;=0.66,"Medium","Low"))</f>
        <v>High</v>
      </c>
      <c r="M1915" s="0" t="n">
        <v>-4.699</v>
      </c>
      <c r="N1915" s="3" t="n">
        <v>0.112</v>
      </c>
      <c r="O1915" s="3" t="n">
        <v>0.0183</v>
      </c>
      <c r="P1915" s="4" t="n">
        <v>0</v>
      </c>
      <c r="Q1915" s="3" t="n">
        <v>0.0388</v>
      </c>
      <c r="R1915" s="3" t="n">
        <v>0.583</v>
      </c>
      <c r="S1915" s="3" t="str">
        <f aca="false">IF(R1915 &gt;= 0.5, "Positive", "Negative")</f>
        <v>Positive</v>
      </c>
      <c r="T1915" s="2" t="n">
        <v>105.018</v>
      </c>
      <c r="U1915" s="0" t="s">
        <v>31</v>
      </c>
    </row>
    <row r="1916" customFormat="false" ht="14.25" hidden="false" customHeight="false" outlineLevel="0" collapsed="false">
      <c r="A1916" s="0" t="n">
        <v>557</v>
      </c>
      <c r="B1916" s="0" t="str">
        <f aca="false">_xlfn.xlookup(A1916, artists!A$2:A$836, artists!B$2:B$836)</f>
        <v>Alesso</v>
      </c>
      <c r="C1916" s="1" t="s">
        <v>1932</v>
      </c>
      <c r="D1916" s="2" t="n">
        <v>195480</v>
      </c>
      <c r="E1916" s="2" t="n">
        <f aca="false">D1916/1000</f>
        <v>195.48</v>
      </c>
      <c r="F1916" s="10" t="b">
        <f aca="false">FALSE()</f>
        <v>0</v>
      </c>
      <c r="G1916" s="0" t="n">
        <v>15</v>
      </c>
      <c r="H1916" s="0" t="n">
        <f aca="false">_xlfn.xlookup(G1916, years!A$2:A$836, years!B$2:B$836)</f>
        <v>2012</v>
      </c>
      <c r="I1916" s="2" t="n">
        <v>0</v>
      </c>
      <c r="J1916" s="0" t="n">
        <v>0.37</v>
      </c>
      <c r="K1916" s="0" t="n">
        <v>0.823</v>
      </c>
      <c r="L1916" s="3" t="str">
        <f aca="false">IF(K1916&gt;0.66,"High",IF(K1916&gt;0.33&amp;K1916&lt;=0.66,"Medium","Low"))</f>
        <v>High</v>
      </c>
      <c r="M1916" s="0" t="n">
        <v>-6.245</v>
      </c>
      <c r="N1916" s="3" t="n">
        <v>0.0805</v>
      </c>
      <c r="O1916" s="3" t="n">
        <v>0.00234</v>
      </c>
      <c r="P1916" s="4" t="n">
        <v>1.91E-006</v>
      </c>
      <c r="Q1916" s="3" t="n">
        <v>0.174</v>
      </c>
      <c r="R1916" s="3" t="n">
        <v>0.323</v>
      </c>
      <c r="S1916" s="3" t="str">
        <f aca="false">IF(R1916 &gt;= 0.5, "Positive", "Negative")</f>
        <v>Negative</v>
      </c>
      <c r="T1916" s="2" t="n">
        <v>128.008</v>
      </c>
      <c r="U1916" s="0" t="s">
        <v>22</v>
      </c>
    </row>
    <row r="1917" customFormat="false" ht="14.25" hidden="false" customHeight="false" outlineLevel="0" collapsed="false">
      <c r="A1917" s="0" t="n">
        <v>773</v>
      </c>
      <c r="B1917" s="0" t="str">
        <f aca="false">_xlfn.xlookup(A1917, artists!A$2:A$836, artists!B$2:B$836)</f>
        <v>Lil Baby</v>
      </c>
      <c r="C1917" s="1" t="s">
        <v>1933</v>
      </c>
      <c r="D1917" s="2" t="n">
        <v>142273</v>
      </c>
      <c r="E1917" s="2" t="n">
        <f aca="false">D1917/1000</f>
        <v>142.273</v>
      </c>
      <c r="F1917" s="10" t="b">
        <f aca="false">TRUE()</f>
        <v>1</v>
      </c>
      <c r="G1917" s="0" t="n">
        <v>21</v>
      </c>
      <c r="H1917" s="0" t="n">
        <f aca="false">_xlfn.xlookup(G1917, years!A$2:A$836, years!B$2:B$836)</f>
        <v>2018</v>
      </c>
      <c r="I1917" s="2" t="n">
        <v>79</v>
      </c>
      <c r="J1917" s="0" t="n">
        <v>0.963</v>
      </c>
      <c r="K1917" s="0" t="n">
        <v>0.346</v>
      </c>
      <c r="L1917" s="3" t="str">
        <f aca="false">IF(K1917&gt;0.66,"High",IF(K1917&gt;0.33&amp;K1917&lt;=0.66,"Medium","Low"))</f>
        <v>Low</v>
      </c>
      <c r="M1917" s="0" t="n">
        <v>-9.309</v>
      </c>
      <c r="N1917" s="3" t="n">
        <v>0.53</v>
      </c>
      <c r="O1917" s="3" t="n">
        <v>0.0355</v>
      </c>
      <c r="P1917" s="4" t="n">
        <v>0</v>
      </c>
      <c r="Q1917" s="3" t="n">
        <v>0.108</v>
      </c>
      <c r="R1917" s="3" t="n">
        <v>0.562</v>
      </c>
      <c r="S1917" s="3" t="str">
        <f aca="false">IF(R1917 &gt;= 0.5, "Positive", "Negative")</f>
        <v>Positive</v>
      </c>
      <c r="T1917" s="2" t="n">
        <v>119.957</v>
      </c>
      <c r="U1917" s="0" t="s">
        <v>29</v>
      </c>
    </row>
    <row r="1918" customFormat="false" ht="14.25" hidden="false" customHeight="false" outlineLevel="0" collapsed="false">
      <c r="A1918" s="0" t="n">
        <v>291</v>
      </c>
      <c r="B1918" s="0" t="str">
        <f aca="false">_xlfn.xlookup(A1918, artists!A$2:A$836, artists!B$2:B$836)</f>
        <v>Chris Brown</v>
      </c>
      <c r="C1918" s="1" t="s">
        <v>1934</v>
      </c>
      <c r="D1918" s="2" t="n">
        <v>229040</v>
      </c>
      <c r="E1918" s="2" t="n">
        <f aca="false">D1918/1000</f>
        <v>229.04</v>
      </c>
      <c r="F1918" s="10" t="b">
        <f aca="false">FALSE()</f>
        <v>0</v>
      </c>
      <c r="G1918" s="0" t="n">
        <v>8</v>
      </c>
      <c r="H1918" s="0" t="n">
        <f aca="false">_xlfn.xlookup(G1918, years!A$2:A$836, years!B$2:B$836)</f>
        <v>2005</v>
      </c>
      <c r="I1918" s="2" t="n">
        <v>69</v>
      </c>
      <c r="J1918" s="0" t="n">
        <v>0.536</v>
      </c>
      <c r="K1918" s="0" t="n">
        <v>0.612</v>
      </c>
      <c r="L1918" s="3" t="str">
        <f aca="false">IF(K1918&gt;0.66,"High",IF(K1918&gt;0.33&amp;K1918&lt;=0.66,"Medium","Low"))</f>
        <v>Low</v>
      </c>
      <c r="M1918" s="0" t="n">
        <v>-5.847</v>
      </c>
      <c r="N1918" s="3" t="n">
        <v>0.272</v>
      </c>
      <c r="O1918" s="3" t="n">
        <v>0.119</v>
      </c>
      <c r="P1918" s="4" t="n">
        <v>0</v>
      </c>
      <c r="Q1918" s="3" t="n">
        <v>0.209</v>
      </c>
      <c r="R1918" s="3" t="n">
        <v>0.57</v>
      </c>
      <c r="S1918" s="3" t="str">
        <f aca="false">IF(R1918 &gt;= 0.5, "Positive", "Negative")</f>
        <v>Positive</v>
      </c>
      <c r="T1918" s="2" t="n">
        <v>86.768</v>
      </c>
      <c r="U1918" s="0" t="s">
        <v>31</v>
      </c>
    </row>
    <row r="1919" customFormat="false" ht="14.25" hidden="false" customHeight="false" outlineLevel="0" collapsed="false">
      <c r="A1919" s="0" t="n">
        <v>276</v>
      </c>
      <c r="B1919" s="0" t="str">
        <f aca="false">_xlfn.xlookup(A1919, artists!A$2:A$836, artists!B$2:B$836)</f>
        <v>Lloyd</v>
      </c>
      <c r="C1919" s="1" t="s">
        <v>1935</v>
      </c>
      <c r="D1919" s="2" t="n">
        <v>273133</v>
      </c>
      <c r="E1919" s="2" t="n">
        <f aca="false">D1919/1000</f>
        <v>273.133</v>
      </c>
      <c r="F1919" s="10" t="b">
        <f aca="false">FALSE()</f>
        <v>0</v>
      </c>
      <c r="G1919" s="0" t="n">
        <v>10</v>
      </c>
      <c r="H1919" s="0" t="n">
        <f aca="false">_xlfn.xlookup(G1919, years!A$2:A$836, years!B$2:B$836)</f>
        <v>2007</v>
      </c>
      <c r="I1919" s="2" t="n">
        <v>70</v>
      </c>
      <c r="J1919" s="0" t="n">
        <v>0.412</v>
      </c>
      <c r="K1919" s="0" t="n">
        <v>0.876</v>
      </c>
      <c r="L1919" s="3" t="str">
        <f aca="false">IF(K1919&gt;0.66,"High",IF(K1919&gt;0.33&amp;K1919&lt;=0.66,"Medium","Low"))</f>
        <v>High</v>
      </c>
      <c r="M1919" s="0" t="n">
        <v>-6.008</v>
      </c>
      <c r="N1919" s="3" t="n">
        <v>0.47</v>
      </c>
      <c r="O1919" s="3" t="n">
        <v>0.102</v>
      </c>
      <c r="P1919" s="4" t="n">
        <v>0</v>
      </c>
      <c r="Q1919" s="3" t="n">
        <v>0.297</v>
      </c>
      <c r="R1919" s="3" t="n">
        <v>0.703</v>
      </c>
      <c r="S1919" s="3" t="str">
        <f aca="false">IF(R1919 &gt;= 0.5, "Positive", "Negative")</f>
        <v>Positive</v>
      </c>
      <c r="T1919" s="2" t="n">
        <v>130.159</v>
      </c>
      <c r="U1919" s="0" t="s">
        <v>31</v>
      </c>
    </row>
    <row r="1920" customFormat="false" ht="14.25" hidden="false" customHeight="false" outlineLevel="0" collapsed="false">
      <c r="A1920" s="0" t="n">
        <v>439</v>
      </c>
      <c r="B1920" s="0" t="str">
        <f aca="false">_xlfn.xlookup(A1920, artists!A$2:A$836, artists!B$2:B$836)</f>
        <v>Taylor Swift</v>
      </c>
      <c r="C1920" s="1" t="s">
        <v>1936</v>
      </c>
      <c r="D1920" s="2" t="n">
        <v>231146</v>
      </c>
      <c r="E1920" s="2" t="n">
        <f aca="false">D1920/1000</f>
        <v>231.146</v>
      </c>
      <c r="F1920" s="10" t="b">
        <f aca="false">FALSE()</f>
        <v>0</v>
      </c>
      <c r="G1920" s="0" t="n">
        <v>11</v>
      </c>
      <c r="H1920" s="0" t="n">
        <f aca="false">_xlfn.xlookup(G1920, years!A$2:A$836, years!B$2:B$836)</f>
        <v>2008</v>
      </c>
      <c r="I1920" s="2" t="n">
        <v>55</v>
      </c>
      <c r="J1920" s="0" t="n">
        <v>0.687</v>
      </c>
      <c r="K1920" s="0" t="n">
        <v>0.771</v>
      </c>
      <c r="L1920" s="3" t="str">
        <f aca="false">IF(K1920&gt;0.66,"High",IF(K1920&gt;0.33&amp;K1920&lt;=0.66,"Medium","Low"))</f>
        <v>High</v>
      </c>
      <c r="M1920" s="0" t="n">
        <v>-4.424</v>
      </c>
      <c r="N1920" s="3" t="n">
        <v>0.0384</v>
      </c>
      <c r="O1920" s="3" t="n">
        <v>0.164</v>
      </c>
      <c r="P1920" s="4" t="n">
        <v>2.46E-005</v>
      </c>
      <c r="Q1920" s="3" t="n">
        <v>0.112</v>
      </c>
      <c r="R1920" s="3" t="n">
        <v>0.445</v>
      </c>
      <c r="S1920" s="3" t="str">
        <f aca="false">IF(R1920 &gt;= 0.5, "Positive", "Negative")</f>
        <v>Negative</v>
      </c>
      <c r="T1920" s="2" t="n">
        <v>129.964</v>
      </c>
      <c r="U1920" s="0" t="s">
        <v>39</v>
      </c>
    </row>
    <row r="1921" customFormat="false" ht="14.25" hidden="false" customHeight="false" outlineLevel="0" collapsed="false">
      <c r="A1921" s="0" t="n">
        <v>779</v>
      </c>
      <c r="B1921" s="0" t="str">
        <f aca="false">_xlfn.xlookup(A1921, artists!A$2:A$836, artists!B$2:B$836)</f>
        <v>Reik</v>
      </c>
      <c r="C1921" s="1" t="s">
        <v>1937</v>
      </c>
      <c r="D1921" s="2" t="n">
        <v>221653</v>
      </c>
      <c r="E1921" s="2" t="n">
        <f aca="false">D1921/1000</f>
        <v>221.653</v>
      </c>
      <c r="F1921" s="10" t="b">
        <f aca="false">FALSE()</f>
        <v>0</v>
      </c>
      <c r="G1921" s="0" t="n">
        <v>21</v>
      </c>
      <c r="H1921" s="0" t="n">
        <f aca="false">_xlfn.xlookup(G1921, years!A$2:A$836, years!B$2:B$836)</f>
        <v>2018</v>
      </c>
      <c r="I1921" s="2" t="n">
        <v>1</v>
      </c>
      <c r="J1921" s="0" t="n">
        <v>0.777</v>
      </c>
      <c r="K1921" s="0" t="n">
        <v>0.779</v>
      </c>
      <c r="L1921" s="3" t="str">
        <f aca="false">IF(K1921&gt;0.66,"High",IF(K1921&gt;0.33&amp;K1921&lt;=0.66,"Medium","Low"))</f>
        <v>High</v>
      </c>
      <c r="M1921" s="0" t="n">
        <v>-4.449</v>
      </c>
      <c r="N1921" s="3" t="n">
        <v>0.0972</v>
      </c>
      <c r="O1921" s="3" t="n">
        <v>0.0543</v>
      </c>
      <c r="P1921" s="4" t="n">
        <v>0</v>
      </c>
      <c r="Q1921" s="3" t="n">
        <v>0.636</v>
      </c>
      <c r="R1921" s="3" t="n">
        <v>0.768</v>
      </c>
      <c r="S1921" s="3" t="str">
        <f aca="false">IF(R1921 &gt;= 0.5, "Positive", "Negative")</f>
        <v>Positive</v>
      </c>
      <c r="T1921" s="2" t="n">
        <v>94.023</v>
      </c>
      <c r="U1921" s="0" t="s">
        <v>75</v>
      </c>
    </row>
    <row r="1922" customFormat="false" ht="14.25" hidden="false" customHeight="false" outlineLevel="0" collapsed="false">
      <c r="A1922" s="0" t="n">
        <v>179</v>
      </c>
      <c r="B1922" s="0" t="str">
        <f aca="false">_xlfn.xlookup(A1922, artists!A$2:A$836, artists!B$2:B$836)</f>
        <v>Alicia Keys</v>
      </c>
      <c r="C1922" s="1" t="s">
        <v>1938</v>
      </c>
      <c r="D1922" s="2" t="n">
        <v>366733</v>
      </c>
      <c r="E1922" s="2" t="n">
        <f aca="false">D1922/1000</f>
        <v>366.733</v>
      </c>
      <c r="F1922" s="10" t="b">
        <f aca="false">FALSE()</f>
        <v>0</v>
      </c>
      <c r="G1922" s="0" t="n">
        <v>6</v>
      </c>
      <c r="H1922" s="0" t="n">
        <f aca="false">_xlfn.xlookup(G1922, years!A$2:A$836, years!B$2:B$836)</f>
        <v>2003</v>
      </c>
      <c r="I1922" s="2" t="n">
        <v>61</v>
      </c>
      <c r="J1922" s="0" t="n">
        <v>0.264</v>
      </c>
      <c r="K1922" s="0" t="n">
        <v>0.663</v>
      </c>
      <c r="L1922" s="3" t="str">
        <f aca="false">IF(K1922&gt;0.66,"High",IF(K1922&gt;0.33&amp;K1922&lt;=0.66,"Medium","Low"))</f>
        <v>High</v>
      </c>
      <c r="M1922" s="0" t="n">
        <v>-8.264</v>
      </c>
      <c r="N1922" s="3" t="n">
        <v>0.187</v>
      </c>
      <c r="O1922" s="3" t="n">
        <v>0.59</v>
      </c>
      <c r="P1922" s="4" t="n">
        <v>0.00443</v>
      </c>
      <c r="Q1922" s="3" t="n">
        <v>0.342</v>
      </c>
      <c r="R1922" s="3" t="n">
        <v>0.249</v>
      </c>
      <c r="S1922" s="3" t="str">
        <f aca="false">IF(R1922 &gt;= 0.5, "Positive", "Negative")</f>
        <v>Negative</v>
      </c>
      <c r="T1922" s="2" t="n">
        <v>167.078</v>
      </c>
      <c r="U1922" s="0" t="s">
        <v>33</v>
      </c>
    </row>
    <row r="1923" customFormat="false" ht="14.25" hidden="false" customHeight="false" outlineLevel="0" collapsed="false">
      <c r="A1923" s="0" t="n">
        <v>665</v>
      </c>
      <c r="B1923" s="0" t="str">
        <f aca="false">_xlfn.xlookup(A1923, artists!A$2:A$836, artists!B$2:B$836)</f>
        <v>SAYGRACE</v>
      </c>
      <c r="C1923" s="1" t="s">
        <v>1939</v>
      </c>
      <c r="D1923" s="2" t="n">
        <v>199314</v>
      </c>
      <c r="E1923" s="2" t="n">
        <f aca="false">D1923/1000</f>
        <v>199.314</v>
      </c>
      <c r="F1923" s="10" t="b">
        <f aca="false">FALSE()</f>
        <v>0</v>
      </c>
      <c r="G1923" s="0" t="n">
        <v>18</v>
      </c>
      <c r="H1923" s="0" t="n">
        <f aca="false">_xlfn.xlookup(G1923, years!A$2:A$836, years!B$2:B$836)</f>
        <v>2015</v>
      </c>
      <c r="I1923" s="2" t="n">
        <v>55</v>
      </c>
      <c r="J1923" s="0" t="n">
        <v>0.336</v>
      </c>
      <c r="K1923" s="0" t="n">
        <v>0.664</v>
      </c>
      <c r="L1923" s="3" t="str">
        <f aca="false">IF(K1923&gt;0.66,"High",IF(K1923&gt;0.33&amp;K1923&lt;=0.66,"Medium","Low"))</f>
        <v>High</v>
      </c>
      <c r="M1923" s="0" t="n">
        <v>-5.68</v>
      </c>
      <c r="N1923" s="3" t="n">
        <v>0.102</v>
      </c>
      <c r="O1923" s="3" t="n">
        <v>0.166</v>
      </c>
      <c r="P1923" s="4" t="n">
        <v>1.31E-006</v>
      </c>
      <c r="Q1923" s="3" t="n">
        <v>0.0575</v>
      </c>
      <c r="R1923" s="3" t="n">
        <v>0.294</v>
      </c>
      <c r="S1923" s="3" t="str">
        <f aca="false">IF(R1923 &gt;= 0.5, "Positive", "Negative")</f>
        <v>Negative</v>
      </c>
      <c r="T1923" s="2" t="n">
        <v>186.394</v>
      </c>
      <c r="U1923" s="0" t="s">
        <v>33</v>
      </c>
    </row>
    <row r="1924" customFormat="false" ht="14.25" hidden="false" customHeight="false" outlineLevel="0" collapsed="false">
      <c r="A1924" s="0" t="n">
        <v>665</v>
      </c>
      <c r="B1924" s="0" t="str">
        <f aca="false">_xlfn.xlookup(A1924, artists!A$2:A$836, artists!B$2:B$836)</f>
        <v>SAYGRACE</v>
      </c>
      <c r="C1924" s="1" t="s">
        <v>1939</v>
      </c>
      <c r="D1924" s="2" t="n">
        <v>201493</v>
      </c>
      <c r="E1924" s="2" t="n">
        <f aca="false">D1924/1000</f>
        <v>201.493</v>
      </c>
      <c r="F1924" s="10" t="b">
        <f aca="false">FALSE()</f>
        <v>0</v>
      </c>
      <c r="G1924" s="0" t="n">
        <v>19</v>
      </c>
      <c r="H1924" s="0" t="n">
        <f aca="false">_xlfn.xlookup(G1924, years!A$2:A$836, years!B$2:B$836)</f>
        <v>2016</v>
      </c>
      <c r="I1924" s="2" t="n">
        <v>69</v>
      </c>
      <c r="J1924" s="0" t="n">
        <v>0.332</v>
      </c>
      <c r="K1924" s="0" t="n">
        <v>0.635</v>
      </c>
      <c r="L1924" s="3" t="str">
        <f aca="false">IF(K1924&gt;0.66,"High",IF(K1924&gt;0.33&amp;K1924&lt;=0.66,"Medium","Low"))</f>
        <v>Low</v>
      </c>
      <c r="M1924" s="0" t="n">
        <v>-5.653</v>
      </c>
      <c r="N1924" s="3" t="n">
        <v>0.0898</v>
      </c>
      <c r="O1924" s="3" t="n">
        <v>0.159</v>
      </c>
      <c r="P1924" s="4" t="n">
        <v>2.79E-006</v>
      </c>
      <c r="Q1924" s="3" t="n">
        <v>0.0599</v>
      </c>
      <c r="R1924" s="3" t="n">
        <v>0.261</v>
      </c>
      <c r="S1924" s="3" t="str">
        <f aca="false">IF(R1924 &gt;= 0.5, "Positive", "Negative")</f>
        <v>Negative</v>
      </c>
      <c r="T1924" s="2" t="n">
        <v>186.249</v>
      </c>
      <c r="U1924" s="0" t="s">
        <v>33</v>
      </c>
    </row>
    <row r="1925" customFormat="false" ht="14.25" hidden="false" customHeight="false" outlineLevel="0" collapsed="false">
      <c r="A1925" s="0" t="n">
        <v>355</v>
      </c>
      <c r="B1925" s="0" t="str">
        <f aca="false">_xlfn.xlookup(A1925, artists!A$2:A$836, artists!B$2:B$836)</f>
        <v>The Fray</v>
      </c>
      <c r="C1925" s="1" t="s">
        <v>1940</v>
      </c>
      <c r="D1925" s="2" t="n">
        <v>241853</v>
      </c>
      <c r="E1925" s="2" t="n">
        <f aca="false">D1925/1000</f>
        <v>241.853</v>
      </c>
      <c r="F1925" s="10" t="b">
        <f aca="false">FALSE()</f>
        <v>0</v>
      </c>
      <c r="G1925" s="0" t="n">
        <v>12</v>
      </c>
      <c r="H1925" s="0" t="n">
        <f aca="false">_xlfn.xlookup(G1925, years!A$2:A$836, years!B$2:B$836)</f>
        <v>2009</v>
      </c>
      <c r="I1925" s="2" t="n">
        <v>73</v>
      </c>
      <c r="J1925" s="0" t="n">
        <v>0.338</v>
      </c>
      <c r="K1925" s="0" t="n">
        <v>0.803</v>
      </c>
      <c r="L1925" s="3" t="str">
        <f aca="false">IF(K1925&gt;0.66,"High",IF(K1925&gt;0.33&amp;K1925&lt;=0.66,"Medium","Low"))</f>
        <v>High</v>
      </c>
      <c r="M1925" s="0" t="n">
        <v>-5.412</v>
      </c>
      <c r="N1925" s="3" t="n">
        <v>0.0413</v>
      </c>
      <c r="O1925" s="3" t="n">
        <v>0.0187</v>
      </c>
      <c r="P1925" s="4" t="n">
        <v>0</v>
      </c>
      <c r="Q1925" s="3" t="n">
        <v>0.136</v>
      </c>
      <c r="R1925" s="3" t="n">
        <v>0.4</v>
      </c>
      <c r="S1925" s="3" t="str">
        <f aca="false">IF(R1925 &gt;= 0.5, "Positive", "Negative")</f>
        <v>Negative</v>
      </c>
      <c r="T1925" s="2" t="n">
        <v>151.994</v>
      </c>
      <c r="U1925" s="0" t="s">
        <v>39</v>
      </c>
    </row>
    <row r="1926" customFormat="false" ht="14.25" hidden="false" customHeight="false" outlineLevel="0" collapsed="false">
      <c r="A1926" s="0" t="n">
        <v>353</v>
      </c>
      <c r="B1926" s="0" t="str">
        <f aca="false">_xlfn.xlookup(A1926, artists!A$2:A$836, artists!B$2:B$836)</f>
        <v>James Morrison</v>
      </c>
      <c r="C1926" s="1" t="s">
        <v>1941</v>
      </c>
      <c r="D1926" s="2" t="n">
        <v>213173</v>
      </c>
      <c r="E1926" s="2" t="n">
        <f aca="false">D1926/1000</f>
        <v>213.173</v>
      </c>
      <c r="F1926" s="10" t="b">
        <f aca="false">FALSE()</f>
        <v>0</v>
      </c>
      <c r="G1926" s="0" t="n">
        <v>9</v>
      </c>
      <c r="H1926" s="0" t="n">
        <f aca="false">_xlfn.xlookup(G1926, years!A$2:A$836, years!B$2:B$836)</f>
        <v>2006</v>
      </c>
      <c r="I1926" s="2" t="n">
        <v>64</v>
      </c>
      <c r="J1926" s="0" t="n">
        <v>0.559</v>
      </c>
      <c r="K1926" s="0" t="n">
        <v>0.688</v>
      </c>
      <c r="L1926" s="3" t="str">
        <f aca="false">IF(K1926&gt;0.66,"High",IF(K1926&gt;0.33&amp;K1926&lt;=0.66,"Medium","Low"))</f>
        <v>High</v>
      </c>
      <c r="M1926" s="0" t="n">
        <v>-6.496</v>
      </c>
      <c r="N1926" s="3" t="n">
        <v>0.114</v>
      </c>
      <c r="O1926" s="3" t="n">
        <v>0.216</v>
      </c>
      <c r="P1926" s="4" t="n">
        <v>0</v>
      </c>
      <c r="Q1926" s="3" t="n">
        <v>0.0855</v>
      </c>
      <c r="R1926" s="3" t="n">
        <v>0.578</v>
      </c>
      <c r="S1926" s="3" t="str">
        <f aca="false">IF(R1926 &gt;= 0.5, "Positive", "Negative")</f>
        <v>Positive</v>
      </c>
      <c r="T1926" s="2" t="n">
        <v>79.753</v>
      </c>
      <c r="U1926" s="0" t="s">
        <v>33</v>
      </c>
    </row>
    <row r="1927" customFormat="false" ht="14.25" hidden="false" customHeight="false" outlineLevel="0" collapsed="false">
      <c r="A1927" s="0" t="n">
        <v>317</v>
      </c>
      <c r="B1927" s="0" t="str">
        <f aca="false">_xlfn.xlookup(A1927, artists!A$2:A$836, artists!B$2:B$836)</f>
        <v>Amy Winehouse</v>
      </c>
      <c r="C1927" s="1" t="s">
        <v>1942</v>
      </c>
      <c r="D1927" s="2" t="n">
        <v>256946</v>
      </c>
      <c r="E1927" s="2" t="n">
        <f aca="false">D1927/1000</f>
        <v>256.946</v>
      </c>
      <c r="F1927" s="10" t="b">
        <f aca="false">FALSE()</f>
        <v>0</v>
      </c>
      <c r="G1927" s="0" t="n">
        <v>9</v>
      </c>
      <c r="H1927" s="0" t="n">
        <f aca="false">_xlfn.xlookup(G1927, years!A$2:A$836, years!B$2:B$836)</f>
        <v>2006</v>
      </c>
      <c r="I1927" s="2" t="n">
        <v>63</v>
      </c>
      <c r="J1927" s="0" t="n">
        <v>0.705</v>
      </c>
      <c r="K1927" s="0" t="n">
        <v>0.806</v>
      </c>
      <c r="L1927" s="3" t="str">
        <f aca="false">IF(K1927&gt;0.66,"High",IF(K1927&gt;0.33&amp;K1927&lt;=0.66,"Medium","Low"))</f>
        <v>High</v>
      </c>
      <c r="M1927" s="0" t="n">
        <v>-3.607</v>
      </c>
      <c r="N1927" s="3" t="n">
        <v>0.0309</v>
      </c>
      <c r="O1927" s="3" t="n">
        <v>0.0132</v>
      </c>
      <c r="P1927" s="4" t="n">
        <v>0.00428</v>
      </c>
      <c r="Q1927" s="3" t="n">
        <v>0.0701</v>
      </c>
      <c r="R1927" s="3" t="n">
        <v>0.734</v>
      </c>
      <c r="S1927" s="3" t="str">
        <f aca="false">IF(R1927 &gt;= 0.5, "Positive", "Negative")</f>
        <v>Positive</v>
      </c>
      <c r="T1927" s="2" t="n">
        <v>103.383</v>
      </c>
      <c r="U1927" s="0" t="s">
        <v>128</v>
      </c>
    </row>
    <row r="1928" customFormat="false" ht="14.25" hidden="false" customHeight="false" outlineLevel="0" collapsed="false">
      <c r="A1928" s="0" t="n">
        <v>610</v>
      </c>
      <c r="B1928" s="0" t="str">
        <f aca="false">_xlfn.xlookup(A1928, artists!A$2:A$836, artists!B$2:B$836)</f>
        <v>DJ Snake</v>
      </c>
      <c r="C1928" s="1" t="s">
        <v>1943</v>
      </c>
      <c r="D1928" s="2" t="n">
        <v>247266</v>
      </c>
      <c r="E1928" s="2" t="n">
        <f aca="false">D1928/1000</f>
        <v>247.266</v>
      </c>
      <c r="F1928" s="10" t="b">
        <f aca="false">FALSE()</f>
        <v>0</v>
      </c>
      <c r="G1928" s="0" t="n">
        <v>17</v>
      </c>
      <c r="H1928" s="0" t="n">
        <f aca="false">_xlfn.xlookup(G1928, years!A$2:A$836, years!B$2:B$836)</f>
        <v>2014</v>
      </c>
      <c r="I1928" s="2" t="n">
        <v>69</v>
      </c>
      <c r="J1928" s="0" t="n">
        <v>0.407</v>
      </c>
      <c r="K1928" s="0" t="n">
        <v>0.725</v>
      </c>
      <c r="L1928" s="3" t="str">
        <f aca="false">IF(K1928&gt;0.66,"High",IF(K1928&gt;0.33&amp;K1928&lt;=0.66,"Medium","Low"))</f>
        <v>High</v>
      </c>
      <c r="M1928" s="0" t="n">
        <v>-5.346</v>
      </c>
      <c r="N1928" s="3" t="n">
        <v>0.188</v>
      </c>
      <c r="O1928" s="3" t="n">
        <v>0.0141</v>
      </c>
      <c r="P1928" s="4" t="n">
        <v>2.46E-006</v>
      </c>
      <c r="Q1928" s="3" t="n">
        <v>0.306</v>
      </c>
      <c r="R1928" s="3" t="n">
        <v>0.247</v>
      </c>
      <c r="S1928" s="3" t="str">
        <f aca="false">IF(R1928 &gt;= 0.5, "Positive", "Negative")</f>
        <v>Negative</v>
      </c>
      <c r="T1928" s="2" t="n">
        <v>196.093</v>
      </c>
      <c r="U1928" s="0" t="s">
        <v>53</v>
      </c>
    </row>
    <row r="1929" customFormat="false" ht="14.25" hidden="false" customHeight="false" outlineLevel="0" collapsed="false">
      <c r="A1929" s="0" t="n">
        <v>460</v>
      </c>
      <c r="B1929" s="0" t="str">
        <f aca="false">_xlfn.xlookup(A1929, artists!A$2:A$836, artists!B$2:B$836)</f>
        <v>Cobra Starship</v>
      </c>
      <c r="C1929" s="1" t="s">
        <v>1944</v>
      </c>
      <c r="D1929" s="2" t="n">
        <v>215693</v>
      </c>
      <c r="E1929" s="2" t="n">
        <f aca="false">D1929/1000</f>
        <v>215.693</v>
      </c>
      <c r="F1929" s="10" t="b">
        <f aca="false">FALSE()</f>
        <v>0</v>
      </c>
      <c r="G1929" s="0" t="n">
        <v>14</v>
      </c>
      <c r="H1929" s="0" t="n">
        <f aca="false">_xlfn.xlookup(G1929, years!A$2:A$836, years!B$2:B$836)</f>
        <v>2011</v>
      </c>
      <c r="I1929" s="2" t="n">
        <v>70</v>
      </c>
      <c r="J1929" s="0" t="n">
        <v>0.668</v>
      </c>
      <c r="K1929" s="0" t="n">
        <v>0.857</v>
      </c>
      <c r="L1929" s="3" t="str">
        <f aca="false">IF(K1929&gt;0.66,"High",IF(K1929&gt;0.33&amp;K1929&lt;=0.66,"Medium","Low"))</f>
        <v>High</v>
      </c>
      <c r="M1929" s="0" t="n">
        <v>-2.944</v>
      </c>
      <c r="N1929" s="3" t="n">
        <v>0.0535</v>
      </c>
      <c r="O1929" s="3" t="n">
        <v>0.0191</v>
      </c>
      <c r="P1929" s="4" t="n">
        <v>6.71E-006</v>
      </c>
      <c r="Q1929" s="3" t="n">
        <v>0.0385</v>
      </c>
      <c r="R1929" s="3" t="n">
        <v>0.748</v>
      </c>
      <c r="S1929" s="3" t="str">
        <f aca="false">IF(R1929 &gt;= 0.5, "Positive", "Negative")</f>
        <v>Positive</v>
      </c>
      <c r="T1929" s="2" t="n">
        <v>131.959</v>
      </c>
      <c r="U1929" s="0" t="s">
        <v>22</v>
      </c>
    </row>
    <row r="1930" customFormat="false" ht="14.25" hidden="false" customHeight="false" outlineLevel="0" collapsed="false">
      <c r="A1930" s="0" t="n">
        <v>71</v>
      </c>
      <c r="B1930" s="0" t="str">
        <f aca="false">_xlfn.xlookup(A1930, artists!A$2:A$836, artists!B$2:B$836)</f>
        <v>Westlife</v>
      </c>
      <c r="C1930" s="1" t="s">
        <v>1945</v>
      </c>
      <c r="D1930" s="2" t="n">
        <v>241066</v>
      </c>
      <c r="E1930" s="2" t="n">
        <f aca="false">D1930/1000</f>
        <v>241.066</v>
      </c>
      <c r="F1930" s="10" t="b">
        <f aca="false">FALSE()</f>
        <v>0</v>
      </c>
      <c r="G1930" s="0" t="n">
        <v>8</v>
      </c>
      <c r="H1930" s="0" t="n">
        <f aca="false">_xlfn.xlookup(G1930, years!A$2:A$836, years!B$2:B$836)</f>
        <v>2005</v>
      </c>
      <c r="I1930" s="2" t="n">
        <v>1</v>
      </c>
      <c r="J1930" s="0" t="n">
        <v>0.129</v>
      </c>
      <c r="K1930" s="0" t="n">
        <v>0.358</v>
      </c>
      <c r="L1930" s="3" t="str">
        <f aca="false">IF(K1930&gt;0.66,"High",IF(K1930&gt;0.33&amp;K1930&lt;=0.66,"Medium","Low"))</f>
        <v>Low</v>
      </c>
      <c r="M1930" s="0" t="n">
        <v>-6.596</v>
      </c>
      <c r="N1930" s="3" t="n">
        <v>0.0314</v>
      </c>
      <c r="O1930" s="3" t="n">
        <v>0.631</v>
      </c>
      <c r="P1930" s="4" t="n">
        <v>0</v>
      </c>
      <c r="Q1930" s="3" t="n">
        <v>0.0886</v>
      </c>
      <c r="R1930" s="3" t="n">
        <v>0.172</v>
      </c>
      <c r="S1930" s="3" t="str">
        <f aca="false">IF(R1930 &gt;= 0.5, "Positive", "Negative")</f>
        <v>Negative</v>
      </c>
      <c r="T1930" s="2" t="n">
        <v>75.048</v>
      </c>
      <c r="U1930" s="0" t="s">
        <v>39</v>
      </c>
    </row>
    <row r="1931" customFormat="false" ht="14.25" hidden="false" customHeight="false" outlineLevel="0" collapsed="false">
      <c r="A1931" s="0" t="n">
        <v>98</v>
      </c>
      <c r="B1931" s="0" t="str">
        <f aca="false">_xlfn.xlookup(A1931, artists!A$2:A$836, artists!B$2:B$836)</f>
        <v>Michael Jackson</v>
      </c>
      <c r="C1931" s="1" t="s">
        <v>1946</v>
      </c>
      <c r="D1931" s="2" t="n">
        <v>337733</v>
      </c>
      <c r="E1931" s="2" t="n">
        <f aca="false">D1931/1000</f>
        <v>337.733</v>
      </c>
      <c r="F1931" s="10" t="b">
        <f aca="false">FALSE()</f>
        <v>0</v>
      </c>
      <c r="G1931" s="0" t="n">
        <v>4</v>
      </c>
      <c r="H1931" s="0" t="n">
        <f aca="false">_xlfn.xlookup(G1931, years!A$2:A$836, years!B$2:B$836)</f>
        <v>2001</v>
      </c>
      <c r="I1931" s="2" t="n">
        <v>64</v>
      </c>
      <c r="J1931" s="0" t="n">
        <v>0.854</v>
      </c>
      <c r="K1931" s="0" t="n">
        <v>0.673</v>
      </c>
      <c r="L1931" s="3" t="str">
        <f aca="false">IF(K1931&gt;0.66,"High",IF(K1931&gt;0.33&amp;K1931&lt;=0.66,"Medium","Low"))</f>
        <v>High</v>
      </c>
      <c r="M1931" s="0" t="n">
        <v>-3.132</v>
      </c>
      <c r="N1931" s="3" t="n">
        <v>0.185</v>
      </c>
      <c r="O1931" s="3" t="n">
        <v>0.038</v>
      </c>
      <c r="P1931" s="4" t="n">
        <v>0.000227</v>
      </c>
      <c r="Q1931" s="3" t="n">
        <v>0.255</v>
      </c>
      <c r="R1931" s="3" t="n">
        <v>0.955</v>
      </c>
      <c r="S1931" s="3" t="str">
        <f aca="false">IF(R1931 &gt;= 0.5, "Positive", "Negative")</f>
        <v>Positive</v>
      </c>
      <c r="T1931" s="2" t="n">
        <v>95</v>
      </c>
      <c r="U1931" s="0" t="s">
        <v>33</v>
      </c>
    </row>
    <row r="1932" customFormat="false" ht="14.25" hidden="false" customHeight="false" outlineLevel="0" collapsed="false">
      <c r="A1932" s="0" t="n">
        <v>74</v>
      </c>
      <c r="B1932" s="0" t="str">
        <f aca="false">_xlfn.xlookup(A1932, artists!A$2:A$836, artists!B$2:B$836)</f>
        <v>Marc Anthony</v>
      </c>
      <c r="C1932" s="1" t="s">
        <v>1947</v>
      </c>
      <c r="D1932" s="2" t="n">
        <v>347106</v>
      </c>
      <c r="E1932" s="2" t="n">
        <f aca="false">D1932/1000</f>
        <v>347.106</v>
      </c>
      <c r="F1932" s="10" t="b">
        <f aca="false">FALSE()</f>
        <v>0</v>
      </c>
      <c r="G1932" s="0" t="n">
        <v>2</v>
      </c>
      <c r="H1932" s="0" t="n">
        <f aca="false">_xlfn.xlookup(G1932, years!A$2:A$836, years!B$2:B$836)</f>
        <v>1999</v>
      </c>
      <c r="I1932" s="2" t="n">
        <v>56</v>
      </c>
      <c r="J1932" s="0" t="n">
        <v>0.578</v>
      </c>
      <c r="K1932" s="0" t="n">
        <v>0.894</v>
      </c>
      <c r="L1932" s="3" t="str">
        <f aca="false">IF(K1932&gt;0.66,"High",IF(K1932&gt;0.33&amp;K1932&lt;=0.66,"Medium","Low"))</f>
        <v>High</v>
      </c>
      <c r="M1932" s="0" t="n">
        <v>-5.42</v>
      </c>
      <c r="N1932" s="3" t="n">
        <v>0.0296</v>
      </c>
      <c r="O1932" s="3" t="n">
        <v>0.0103</v>
      </c>
      <c r="P1932" s="4" t="n">
        <v>2.66E-006</v>
      </c>
      <c r="Q1932" s="3" t="n">
        <v>0.216</v>
      </c>
      <c r="R1932" s="3" t="n">
        <v>0.741</v>
      </c>
      <c r="S1932" s="3" t="str">
        <f aca="false">IF(R1932 &gt;= 0.5, "Positive", "Negative")</f>
        <v>Positive</v>
      </c>
      <c r="T1932" s="2" t="n">
        <v>165.98</v>
      </c>
      <c r="U1932" s="0" t="s">
        <v>75</v>
      </c>
    </row>
    <row r="1933" customFormat="false" ht="14.25" hidden="false" customHeight="false" outlineLevel="0" collapsed="false">
      <c r="A1933" s="0" t="n">
        <v>35</v>
      </c>
      <c r="B1933" s="0" t="str">
        <f aca="false">_xlfn.xlookup(A1933, artists!A$2:A$836, artists!B$2:B$836)</f>
        <v>JAY-Z</v>
      </c>
      <c r="C1933" s="1" t="s">
        <v>1948</v>
      </c>
      <c r="D1933" s="2" t="n">
        <v>253906</v>
      </c>
      <c r="E1933" s="2" t="n">
        <f aca="false">D1933/1000</f>
        <v>253.906</v>
      </c>
      <c r="F1933" s="10" t="b">
        <f aca="false">TRUE()</f>
        <v>1</v>
      </c>
      <c r="G1933" s="0" t="n">
        <v>12</v>
      </c>
      <c r="H1933" s="0" t="n">
        <f aca="false">_xlfn.xlookup(G1933, years!A$2:A$836, years!B$2:B$836)</f>
        <v>2009</v>
      </c>
      <c r="I1933" s="2" t="n">
        <v>65</v>
      </c>
      <c r="J1933" s="0" t="n">
        <v>0.637</v>
      </c>
      <c r="K1933" s="0" t="n">
        <v>0.69</v>
      </c>
      <c r="L1933" s="3" t="str">
        <f aca="false">IF(K1933&gt;0.66,"High",IF(K1933&gt;0.33&amp;K1933&lt;=0.66,"Medium","Low"))</f>
        <v>High</v>
      </c>
      <c r="M1933" s="0" t="n">
        <v>-3.214</v>
      </c>
      <c r="N1933" s="3" t="n">
        <v>0.0693</v>
      </c>
      <c r="O1933" s="3" t="n">
        <v>0.417</v>
      </c>
      <c r="P1933" s="4" t="n">
        <v>0</v>
      </c>
      <c r="Q1933" s="3" t="n">
        <v>0.211</v>
      </c>
      <c r="R1933" s="3" t="n">
        <v>0.103</v>
      </c>
      <c r="S1933" s="3" t="str">
        <f aca="false">IF(R1933 &gt;= 0.5, "Positive", "Negative")</f>
        <v>Negative</v>
      </c>
      <c r="T1933" s="2" t="n">
        <v>140.329</v>
      </c>
      <c r="U1933" s="0" t="s">
        <v>29</v>
      </c>
    </row>
    <row r="1934" customFormat="false" ht="14.25" hidden="false" customHeight="false" outlineLevel="0" collapsed="false">
      <c r="A1934" s="0" t="n">
        <v>216</v>
      </c>
      <c r="B1934" s="0" t="str">
        <f aca="false">_xlfn.xlookup(A1934, artists!A$2:A$836, artists!B$2:B$836)</f>
        <v>Snoop Dogg</v>
      </c>
      <c r="C1934" s="1" t="s">
        <v>1949</v>
      </c>
      <c r="D1934" s="2" t="n">
        <v>207333</v>
      </c>
      <c r="E1934" s="2" t="n">
        <f aca="false">D1934/1000</f>
        <v>207.333</v>
      </c>
      <c r="F1934" s="10" t="b">
        <f aca="false">TRUE()</f>
        <v>1</v>
      </c>
      <c r="G1934" s="0" t="n">
        <v>14</v>
      </c>
      <c r="H1934" s="0" t="n">
        <f aca="false">_xlfn.xlookup(G1934, years!A$2:A$836, years!B$2:B$836)</f>
        <v>2011</v>
      </c>
      <c r="I1934" s="2" t="n">
        <v>77</v>
      </c>
      <c r="J1934" s="0" t="n">
        <v>0.715</v>
      </c>
      <c r="K1934" s="0" t="n">
        <v>0.655</v>
      </c>
      <c r="L1934" s="3" t="str">
        <f aca="false">IF(K1934&gt;0.66,"High",IF(K1934&gt;0.33&amp;K1934&lt;=0.66,"Medium","Low"))</f>
        <v>Low</v>
      </c>
      <c r="M1934" s="0" t="n">
        <v>-6.425</v>
      </c>
      <c r="N1934" s="3" t="n">
        <v>0.137</v>
      </c>
      <c r="O1934" s="3" t="n">
        <v>0.0525</v>
      </c>
      <c r="P1934" s="4" t="n">
        <v>0</v>
      </c>
      <c r="Q1934" s="3" t="n">
        <v>0.115</v>
      </c>
      <c r="R1934" s="3" t="n">
        <v>0.531</v>
      </c>
      <c r="S1934" s="3" t="str">
        <f aca="false">IF(R1934 &gt;= 0.5, "Positive", "Negative")</f>
        <v>Positive</v>
      </c>
      <c r="T1934" s="2" t="n">
        <v>95.078</v>
      </c>
      <c r="U1934" s="0" t="s">
        <v>24</v>
      </c>
    </row>
    <row r="1935" customFormat="false" ht="14.25" hidden="false" customHeight="false" outlineLevel="0" collapsed="false">
      <c r="A1935" s="0" t="n">
        <v>131</v>
      </c>
      <c r="B1935" s="0" t="str">
        <f aca="false">_xlfn.xlookup(A1935, artists!A$2:A$836, artists!B$2:B$836)</f>
        <v>DB Boulevard</v>
      </c>
      <c r="C1935" s="1" t="s">
        <v>1950</v>
      </c>
      <c r="D1935" s="2" t="n">
        <v>231166</v>
      </c>
      <c r="E1935" s="2" t="n">
        <f aca="false">D1935/1000</f>
        <v>231.166</v>
      </c>
      <c r="F1935" s="10" t="b">
        <f aca="false">FALSE()</f>
        <v>0</v>
      </c>
      <c r="G1935" s="0" t="n">
        <v>21</v>
      </c>
      <c r="H1935" s="0" t="n">
        <f aca="false">_xlfn.xlookup(G1935, years!A$2:A$836, years!B$2:B$836)</f>
        <v>2018</v>
      </c>
      <c r="I1935" s="2" t="n">
        <v>0</v>
      </c>
      <c r="J1935" s="0" t="n">
        <v>0.676</v>
      </c>
      <c r="K1935" s="0" t="n">
        <v>0.715</v>
      </c>
      <c r="L1935" s="3" t="str">
        <f aca="false">IF(K1935&gt;0.66,"High",IF(K1935&gt;0.33&amp;K1935&lt;=0.66,"Medium","Low"))</f>
        <v>High</v>
      </c>
      <c r="M1935" s="0" t="n">
        <v>-6.854</v>
      </c>
      <c r="N1935" s="3" t="n">
        <v>0.0287</v>
      </c>
      <c r="O1935" s="3" t="n">
        <v>0.00284</v>
      </c>
      <c r="P1935" s="4" t="n">
        <v>0.0746</v>
      </c>
      <c r="Q1935" s="3" t="n">
        <v>0.0685</v>
      </c>
      <c r="R1935" s="3" t="n">
        <v>0.275</v>
      </c>
      <c r="S1935" s="3" t="str">
        <f aca="false">IF(R1935 &gt;= 0.5, "Positive", "Negative")</f>
        <v>Negative</v>
      </c>
      <c r="T1935" s="2" t="n">
        <v>129.006</v>
      </c>
      <c r="U1935" s="0" t="s">
        <v>48</v>
      </c>
    </row>
    <row r="1936" customFormat="false" ht="14.25" hidden="false" customHeight="false" outlineLevel="0" collapsed="false">
      <c r="A1936" s="0" t="n">
        <v>300</v>
      </c>
      <c r="B1936" s="0" t="str">
        <f aca="false">_xlfn.xlookup(A1936, artists!A$2:A$836, artists!B$2:B$836)</f>
        <v>Pretty Ricky</v>
      </c>
      <c r="C1936" s="1" t="s">
        <v>1951</v>
      </c>
      <c r="D1936" s="2" t="n">
        <v>240040</v>
      </c>
      <c r="E1936" s="2" t="n">
        <f aca="false">D1936/1000</f>
        <v>240.04</v>
      </c>
      <c r="F1936" s="10" t="b">
        <f aca="false">TRUE()</f>
        <v>1</v>
      </c>
      <c r="G1936" s="0" t="n">
        <v>8</v>
      </c>
      <c r="H1936" s="0" t="n">
        <f aca="false">_xlfn.xlookup(G1936, years!A$2:A$836, years!B$2:B$836)</f>
        <v>2005</v>
      </c>
      <c r="I1936" s="2" t="n">
        <v>59</v>
      </c>
      <c r="J1936" s="0" t="n">
        <v>0.838</v>
      </c>
      <c r="K1936" s="0" t="n">
        <v>0.594</v>
      </c>
      <c r="L1936" s="3" t="str">
        <f aca="false">IF(K1936&gt;0.66,"High",IF(K1936&gt;0.33&amp;K1936&lt;=0.66,"Medium","Low"))</f>
        <v>Low</v>
      </c>
      <c r="M1936" s="0" t="n">
        <v>-5.695</v>
      </c>
      <c r="N1936" s="3" t="n">
        <v>0.113</v>
      </c>
      <c r="O1936" s="3" t="n">
        <v>0.176</v>
      </c>
      <c r="P1936" s="4" t="n">
        <v>0</v>
      </c>
      <c r="Q1936" s="3" t="n">
        <v>0.0867</v>
      </c>
      <c r="R1936" s="3" t="n">
        <v>0.507</v>
      </c>
      <c r="S1936" s="3" t="str">
        <f aca="false">IF(R1936 &gt;= 0.5, "Positive", "Negative")</f>
        <v>Positive</v>
      </c>
      <c r="T1936" s="2" t="n">
        <v>90.038</v>
      </c>
      <c r="U1936" s="0" t="s">
        <v>31</v>
      </c>
    </row>
    <row r="1937" customFormat="false" ht="14.25" hidden="false" customHeight="false" outlineLevel="0" collapsed="false">
      <c r="A1937" s="0" t="n">
        <v>392</v>
      </c>
      <c r="B1937" s="0" t="str">
        <f aca="false">_xlfn.xlookup(A1937, artists!A$2:A$836, artists!B$2:B$836)</f>
        <v>Manic Street Preachers</v>
      </c>
      <c r="C1937" s="1" t="s">
        <v>1952</v>
      </c>
      <c r="D1937" s="2" t="n">
        <v>235693</v>
      </c>
      <c r="E1937" s="2" t="n">
        <f aca="false">D1937/1000</f>
        <v>235.693</v>
      </c>
      <c r="F1937" s="10" t="b">
        <f aca="false">FALSE()</f>
        <v>0</v>
      </c>
      <c r="G1937" s="0" t="n">
        <v>10</v>
      </c>
      <c r="H1937" s="0" t="n">
        <f aca="false">_xlfn.xlookup(G1937, years!A$2:A$836, years!B$2:B$836)</f>
        <v>2007</v>
      </c>
      <c r="I1937" s="2" t="n">
        <v>53</v>
      </c>
      <c r="J1937" s="0" t="n">
        <v>0.344</v>
      </c>
      <c r="K1937" s="0" t="n">
        <v>0.921</v>
      </c>
      <c r="L1937" s="3" t="str">
        <f aca="false">IF(K1937&gt;0.66,"High",IF(K1937&gt;0.33&amp;K1937&lt;=0.66,"Medium","Low"))</f>
        <v>High</v>
      </c>
      <c r="M1937" s="0" t="n">
        <v>-3.049</v>
      </c>
      <c r="N1937" s="3" t="n">
        <v>0.0459</v>
      </c>
      <c r="O1937" s="3" t="n">
        <v>0.00143</v>
      </c>
      <c r="P1937" s="4" t="n">
        <v>1.13E-005</v>
      </c>
      <c r="Q1937" s="3" t="n">
        <v>0.38</v>
      </c>
      <c r="R1937" s="3" t="n">
        <v>0.396</v>
      </c>
      <c r="S1937" s="3" t="str">
        <f aca="false">IF(R1937 &gt;= 0.5, "Positive", "Negative")</f>
        <v>Negative</v>
      </c>
      <c r="T1937" s="2" t="n">
        <v>126.766</v>
      </c>
      <c r="U1937" s="0" t="s">
        <v>35</v>
      </c>
    </row>
    <row r="1938" customFormat="false" ht="14.25" hidden="false" customHeight="false" outlineLevel="0" collapsed="false">
      <c r="A1938" s="0" t="n">
        <v>471</v>
      </c>
      <c r="B1938" s="0" t="str">
        <f aca="false">_xlfn.xlookup(A1938, artists!A$2:A$836, artists!B$2:B$836)</f>
        <v>Kesha</v>
      </c>
      <c r="C1938" s="1" t="s">
        <v>1953</v>
      </c>
      <c r="D1938" s="2" t="n">
        <v>187133</v>
      </c>
      <c r="E1938" s="2" t="n">
        <f aca="false">D1938/1000</f>
        <v>187.133</v>
      </c>
      <c r="F1938" s="10" t="b">
        <f aca="false">FALSE()</f>
        <v>0</v>
      </c>
      <c r="G1938" s="0" t="n">
        <v>13</v>
      </c>
      <c r="H1938" s="0" t="n">
        <f aca="false">_xlfn.xlookup(G1938, years!A$2:A$836, years!B$2:B$836)</f>
        <v>2010</v>
      </c>
      <c r="I1938" s="2" t="n">
        <v>69</v>
      </c>
      <c r="J1938" s="0" t="n">
        <v>0.826</v>
      </c>
      <c r="K1938" s="0" t="n">
        <v>0.612</v>
      </c>
      <c r="L1938" s="3" t="str">
        <f aca="false">IF(K1938&gt;0.66,"High",IF(K1938&gt;0.33&amp;K1938&lt;=0.66,"Medium","Low"))</f>
        <v>Low</v>
      </c>
      <c r="M1938" s="0" t="n">
        <v>-3.891</v>
      </c>
      <c r="N1938" s="3" t="n">
        <v>0.0982</v>
      </c>
      <c r="O1938" s="3" t="n">
        <v>0.00681</v>
      </c>
      <c r="P1938" s="4" t="n">
        <v>0</v>
      </c>
      <c r="Q1938" s="3" t="n">
        <v>0.0889</v>
      </c>
      <c r="R1938" s="3" t="n">
        <v>0.756</v>
      </c>
      <c r="S1938" s="3" t="str">
        <f aca="false">IF(R1938 &gt;= 0.5, "Positive", "Negative")</f>
        <v>Positive</v>
      </c>
      <c r="T1938" s="2" t="n">
        <v>120.057</v>
      </c>
      <c r="U1938" s="0" t="s">
        <v>22</v>
      </c>
    </row>
    <row r="1939" customFormat="false" ht="14.25" hidden="false" customHeight="false" outlineLevel="0" collapsed="false">
      <c r="A1939" s="0" t="n">
        <v>354</v>
      </c>
      <c r="B1939" s="0" t="str">
        <f aca="false">_xlfn.xlookup(A1939, artists!A$2:A$836, artists!B$2:B$836)</f>
        <v>Snow Patrol</v>
      </c>
      <c r="C1939" s="1" t="s">
        <v>1954</v>
      </c>
      <c r="D1939" s="2" t="n">
        <v>273333</v>
      </c>
      <c r="E1939" s="2" t="n">
        <f aca="false">D1939/1000</f>
        <v>273.333</v>
      </c>
      <c r="F1939" s="10" t="b">
        <f aca="false">FALSE()</f>
        <v>0</v>
      </c>
      <c r="G1939" s="0" t="n">
        <v>9</v>
      </c>
      <c r="H1939" s="0" t="n">
        <f aca="false">_xlfn.xlookup(G1939, years!A$2:A$836, years!B$2:B$836)</f>
        <v>2006</v>
      </c>
      <c r="I1939" s="2" t="n">
        <v>35</v>
      </c>
      <c r="J1939" s="0" t="n">
        <v>0.467</v>
      </c>
      <c r="K1939" s="0" t="n">
        <v>0.921</v>
      </c>
      <c r="L1939" s="3" t="str">
        <f aca="false">IF(K1939&gt;0.66,"High",IF(K1939&gt;0.33&amp;K1939&lt;=0.66,"Medium","Low"))</f>
        <v>High</v>
      </c>
      <c r="M1939" s="0" t="n">
        <v>-4.554</v>
      </c>
      <c r="N1939" s="3" t="n">
        <v>0.045</v>
      </c>
      <c r="O1939" s="3" t="n">
        <v>5.48E-005</v>
      </c>
      <c r="P1939" s="4" t="n">
        <v>0.0566</v>
      </c>
      <c r="Q1939" s="3" t="n">
        <v>0.176</v>
      </c>
      <c r="R1939" s="3" t="n">
        <v>0.501</v>
      </c>
      <c r="S1939" s="3" t="str">
        <f aca="false">IF(R1939 &gt;= 0.5, "Positive", "Negative")</f>
        <v>Positive</v>
      </c>
      <c r="T1939" s="2" t="n">
        <v>132.013</v>
      </c>
      <c r="U1939" s="0" t="s">
        <v>1858</v>
      </c>
    </row>
    <row r="1940" customFormat="false" ht="14.25" hidden="false" customHeight="false" outlineLevel="0" collapsed="false">
      <c r="A1940" s="0" t="n">
        <v>284</v>
      </c>
      <c r="B1940" s="0" t="str">
        <f aca="false">_xlfn.xlookup(A1940, artists!A$2:A$836, artists!B$2:B$836)</f>
        <v>James Blunt</v>
      </c>
      <c r="C1940" s="1" t="s">
        <v>1955</v>
      </c>
      <c r="D1940" s="2" t="n">
        <v>209493</v>
      </c>
      <c r="E1940" s="2" t="n">
        <f aca="false">D1940/1000</f>
        <v>209.493</v>
      </c>
      <c r="F1940" s="10" t="b">
        <f aca="false">TRUE()</f>
        <v>1</v>
      </c>
      <c r="G1940" s="0" t="n">
        <v>8</v>
      </c>
      <c r="H1940" s="0" t="n">
        <f aca="false">_xlfn.xlookup(G1940, years!A$2:A$836, years!B$2:B$836)</f>
        <v>2005</v>
      </c>
      <c r="I1940" s="2" t="n">
        <v>75</v>
      </c>
      <c r="J1940" s="0" t="n">
        <v>0.675</v>
      </c>
      <c r="K1940" s="0" t="n">
        <v>0.479</v>
      </c>
      <c r="L1940" s="3" t="str">
        <f aca="false">IF(K1940&gt;0.66,"High",IF(K1940&gt;0.33&amp;K1940&lt;=0.66,"Medium","Low"))</f>
        <v>Low</v>
      </c>
      <c r="M1940" s="0" t="n">
        <v>-9.87</v>
      </c>
      <c r="N1940" s="3" t="n">
        <v>0.0278</v>
      </c>
      <c r="O1940" s="3" t="n">
        <v>0.633</v>
      </c>
      <c r="P1940" s="4" t="n">
        <v>1.76E-005</v>
      </c>
      <c r="Q1940" s="3" t="n">
        <v>0.088</v>
      </c>
      <c r="R1940" s="3" t="n">
        <v>0.454</v>
      </c>
      <c r="S1940" s="3" t="str">
        <f aca="false">IF(R1940 &gt;= 0.5, "Positive", "Negative")</f>
        <v>Negative</v>
      </c>
      <c r="T1940" s="2" t="n">
        <v>81.998</v>
      </c>
      <c r="U1940" s="0" t="s">
        <v>39</v>
      </c>
    </row>
    <row r="1941" customFormat="false" ht="14.25" hidden="false" customHeight="false" outlineLevel="0" collapsed="false">
      <c r="A1941" s="0" t="n">
        <v>411</v>
      </c>
      <c r="B1941" s="0" t="str">
        <f aca="false">_xlfn.xlookup(A1941, artists!A$2:A$836, artists!B$2:B$836)</f>
        <v>The Offspring</v>
      </c>
      <c r="C1941" s="1" t="s">
        <v>1956</v>
      </c>
      <c r="D1941" s="2" t="n">
        <v>177826</v>
      </c>
      <c r="E1941" s="2" t="n">
        <f aca="false">D1941/1000</f>
        <v>177.826</v>
      </c>
      <c r="F1941" s="10" t="b">
        <f aca="false">TRUE()</f>
        <v>1</v>
      </c>
      <c r="G1941" s="0" t="n">
        <v>11</v>
      </c>
      <c r="H1941" s="0" t="n">
        <f aca="false">_xlfn.xlookup(G1941, years!A$2:A$836, years!B$2:B$836)</f>
        <v>2008</v>
      </c>
      <c r="I1941" s="2" t="n">
        <v>78</v>
      </c>
      <c r="J1941" s="0" t="n">
        <v>0.55</v>
      </c>
      <c r="K1941" s="0" t="n">
        <v>0.917</v>
      </c>
      <c r="L1941" s="3" t="str">
        <f aca="false">IF(K1941&gt;0.66,"High",IF(K1941&gt;0.33&amp;K1941&lt;=0.66,"Medium","Low"))</f>
        <v>High</v>
      </c>
      <c r="M1941" s="0" t="n">
        <v>-3.159</v>
      </c>
      <c r="N1941" s="3" t="n">
        <v>0.0638</v>
      </c>
      <c r="O1941" s="3" t="n">
        <v>0.00428</v>
      </c>
      <c r="P1941" s="4" t="n">
        <v>0</v>
      </c>
      <c r="Q1941" s="3" t="n">
        <v>0.197</v>
      </c>
      <c r="R1941" s="3" t="n">
        <v>0.601</v>
      </c>
      <c r="S1941" s="3" t="str">
        <f aca="false">IF(R1941 &gt;= 0.5, "Positive", "Negative")</f>
        <v>Positive</v>
      </c>
      <c r="T1941" s="2" t="n">
        <v>126.115</v>
      </c>
      <c r="U1941" s="0" t="s">
        <v>697</v>
      </c>
    </row>
    <row r="1942" customFormat="false" ht="14.25" hidden="false" customHeight="false" outlineLevel="0" collapsed="false">
      <c r="A1942" s="0" t="n">
        <v>107</v>
      </c>
      <c r="B1942" s="0" t="str">
        <f aca="false">_xlfn.xlookup(A1942, artists!A$2:A$836, artists!B$2:B$836)</f>
        <v>P.O.D.</v>
      </c>
      <c r="C1942" s="1" t="s">
        <v>1957</v>
      </c>
      <c r="D1942" s="2" t="n">
        <v>256240</v>
      </c>
      <c r="E1942" s="2" t="n">
        <f aca="false">D1942/1000</f>
        <v>256.24</v>
      </c>
      <c r="F1942" s="10" t="b">
        <f aca="false">FALSE()</f>
        <v>0</v>
      </c>
      <c r="G1942" s="0" t="n">
        <v>4</v>
      </c>
      <c r="H1942" s="0" t="n">
        <f aca="false">_xlfn.xlookup(G1942, years!A$2:A$836, years!B$2:B$836)</f>
        <v>2001</v>
      </c>
      <c r="I1942" s="2" t="n">
        <v>69</v>
      </c>
      <c r="J1942" s="0" t="n">
        <v>0.563</v>
      </c>
      <c r="K1942" s="0" t="n">
        <v>0.86</v>
      </c>
      <c r="L1942" s="3" t="str">
        <f aca="false">IF(K1942&gt;0.66,"High",IF(K1942&gt;0.33&amp;K1942&lt;=0.66,"Medium","Low"))</f>
        <v>High</v>
      </c>
      <c r="M1942" s="0" t="n">
        <v>-7.533</v>
      </c>
      <c r="N1942" s="3" t="n">
        <v>0.0621</v>
      </c>
      <c r="O1942" s="3" t="n">
        <v>0.00834</v>
      </c>
      <c r="P1942" s="4" t="n">
        <v>0.0106</v>
      </c>
      <c r="Q1942" s="3" t="n">
        <v>0.39</v>
      </c>
      <c r="R1942" s="3" t="n">
        <v>0.517</v>
      </c>
      <c r="S1942" s="3" t="str">
        <f aca="false">IF(R1942 &gt;= 0.5, "Positive", "Negative")</f>
        <v>Positive</v>
      </c>
      <c r="T1942" s="2" t="n">
        <v>97.867</v>
      </c>
      <c r="U1942" s="0" t="s">
        <v>81</v>
      </c>
    </row>
    <row r="1943" customFormat="false" ht="14.25" hidden="false" customHeight="false" outlineLevel="0" collapsed="false">
      <c r="A1943" s="0" t="n">
        <v>738</v>
      </c>
      <c r="B1943" s="0" t="str">
        <f aca="false">_xlfn.xlookup(A1943, artists!A$2:A$836, artists!B$2:B$836)</f>
        <v>Kodak Black</v>
      </c>
      <c r="C1943" s="1" t="s">
        <v>1958</v>
      </c>
      <c r="D1943" s="2" t="n">
        <v>228759</v>
      </c>
      <c r="E1943" s="2" t="n">
        <f aca="false">D1943/1000</f>
        <v>228.759</v>
      </c>
      <c r="F1943" s="10" t="b">
        <f aca="false">TRUE()</f>
        <v>1</v>
      </c>
      <c r="G1943" s="0" t="n">
        <v>21</v>
      </c>
      <c r="H1943" s="0" t="n">
        <f aca="false">_xlfn.xlookup(G1943, years!A$2:A$836, years!B$2:B$836)</f>
        <v>2018</v>
      </c>
      <c r="I1943" s="2" t="n">
        <v>77</v>
      </c>
      <c r="J1943" s="0" t="n">
        <v>0.861</v>
      </c>
      <c r="K1943" s="0" t="n">
        <v>0.603</v>
      </c>
      <c r="L1943" s="3" t="str">
        <f aca="false">IF(K1943&gt;0.66,"High",IF(K1943&gt;0.33&amp;K1943&lt;=0.66,"Medium","Low"))</f>
        <v>Low</v>
      </c>
      <c r="M1943" s="0" t="n">
        <v>-5.788</v>
      </c>
      <c r="N1943" s="3" t="n">
        <v>0.176</v>
      </c>
      <c r="O1943" s="3" t="n">
        <v>0.0521</v>
      </c>
      <c r="P1943" s="4" t="n">
        <v>0</v>
      </c>
      <c r="Q1943" s="3" t="n">
        <v>0.0924</v>
      </c>
      <c r="R1943" s="3" t="n">
        <v>0.504</v>
      </c>
      <c r="S1943" s="3" t="str">
        <f aca="false">IF(R1943 &gt;= 0.5, "Positive", "Negative")</f>
        <v>Positive</v>
      </c>
      <c r="T1943" s="2" t="n">
        <v>98.043</v>
      </c>
      <c r="U194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1959</v>
      </c>
    </row>
    <row r="3" customFormat="false" ht="14.25" hidden="false" customHeight="false" outlineLevel="0" collapsed="false">
      <c r="A3" s="0" t="n">
        <v>2</v>
      </c>
      <c r="B3" s="0" t="s">
        <v>1960</v>
      </c>
    </row>
    <row r="4" customFormat="false" ht="14.25" hidden="false" customHeight="false" outlineLevel="0" collapsed="false">
      <c r="A4" s="0" t="n">
        <v>3</v>
      </c>
      <c r="B4" s="0" t="s">
        <v>1961</v>
      </c>
    </row>
    <row r="5" customFormat="false" ht="14.25" hidden="false" customHeight="false" outlineLevel="0" collapsed="false">
      <c r="A5" s="0" t="n">
        <v>4</v>
      </c>
      <c r="B5" s="0" t="s">
        <v>1962</v>
      </c>
    </row>
    <row r="6" customFormat="false" ht="14.25" hidden="false" customHeight="false" outlineLevel="0" collapsed="false">
      <c r="A6" s="0" t="n">
        <v>5</v>
      </c>
      <c r="B6" s="0" t="s">
        <v>1963</v>
      </c>
    </row>
    <row r="7" customFormat="false" ht="14.25" hidden="false" customHeight="false" outlineLevel="0" collapsed="false">
      <c r="A7" s="0" t="n">
        <v>6</v>
      </c>
      <c r="B7" s="0" t="s">
        <v>1964</v>
      </c>
    </row>
    <row r="8" customFormat="false" ht="14.25" hidden="false" customHeight="false" outlineLevel="0" collapsed="false">
      <c r="A8" s="0" t="n">
        <v>7</v>
      </c>
      <c r="B8" s="0" t="s">
        <v>1965</v>
      </c>
    </row>
    <row r="9" customFormat="false" ht="14.25" hidden="false" customHeight="false" outlineLevel="0" collapsed="false">
      <c r="A9" s="0" t="n">
        <v>8</v>
      </c>
      <c r="B9" s="0" t="s">
        <v>1966</v>
      </c>
    </row>
    <row r="10" customFormat="false" ht="14.25" hidden="false" customHeight="false" outlineLevel="0" collapsed="false">
      <c r="A10" s="0" t="n">
        <v>9</v>
      </c>
      <c r="B10" s="0" t="s">
        <v>1967</v>
      </c>
    </row>
    <row r="11" customFormat="false" ht="14.25" hidden="false" customHeight="false" outlineLevel="0" collapsed="false">
      <c r="A11" s="0" t="n">
        <v>10</v>
      </c>
      <c r="B11" s="0" t="s">
        <v>1968</v>
      </c>
    </row>
    <row r="12" customFormat="false" ht="14.25" hidden="false" customHeight="false" outlineLevel="0" collapsed="false">
      <c r="A12" s="0" t="n">
        <v>11</v>
      </c>
      <c r="B12" s="0" t="s">
        <v>1969</v>
      </c>
    </row>
    <row r="13" customFormat="false" ht="14.25" hidden="false" customHeight="false" outlineLevel="0" collapsed="false">
      <c r="A13" s="0" t="n">
        <v>12</v>
      </c>
      <c r="B13" s="0" t="s">
        <v>1970</v>
      </c>
    </row>
    <row r="14" customFormat="false" ht="14.25" hidden="false" customHeight="false" outlineLevel="0" collapsed="false">
      <c r="A14" s="0" t="n">
        <v>13</v>
      </c>
      <c r="B14" s="0" t="s">
        <v>1971</v>
      </c>
    </row>
    <row r="15" customFormat="false" ht="14.25" hidden="false" customHeight="false" outlineLevel="0" collapsed="false">
      <c r="A15" s="0" t="n">
        <v>14</v>
      </c>
      <c r="B15" s="0" t="s">
        <v>1972</v>
      </c>
    </row>
    <row r="16" customFormat="false" ht="14.25" hidden="false" customHeight="false" outlineLevel="0" collapsed="false">
      <c r="A16" s="0" t="n">
        <v>15</v>
      </c>
      <c r="B16" s="0" t="s">
        <v>1973</v>
      </c>
    </row>
    <row r="17" customFormat="false" ht="14.25" hidden="false" customHeight="false" outlineLevel="0" collapsed="false">
      <c r="A17" s="0" t="n">
        <v>16</v>
      </c>
      <c r="B17" s="0" t="s">
        <v>1974</v>
      </c>
    </row>
    <row r="18" customFormat="false" ht="14.25" hidden="false" customHeight="false" outlineLevel="0" collapsed="false">
      <c r="A18" s="0" t="n">
        <v>17</v>
      </c>
      <c r="B18" s="0" t="s">
        <v>1975</v>
      </c>
    </row>
    <row r="19" customFormat="false" ht="14.25" hidden="false" customHeight="false" outlineLevel="0" collapsed="false">
      <c r="A19" s="0" t="n">
        <v>18</v>
      </c>
      <c r="B19" s="0" t="s">
        <v>1976</v>
      </c>
    </row>
    <row r="20" customFormat="false" ht="14.25" hidden="false" customHeight="false" outlineLevel="0" collapsed="false">
      <c r="A20" s="0" t="n">
        <v>19</v>
      </c>
      <c r="B20" s="0" t="s">
        <v>1977</v>
      </c>
    </row>
    <row r="21" customFormat="false" ht="14.25" hidden="false" customHeight="false" outlineLevel="0" collapsed="false">
      <c r="A21" s="0" t="n">
        <v>20</v>
      </c>
      <c r="B21" s="0" t="s">
        <v>1978</v>
      </c>
    </row>
    <row r="22" customFormat="false" ht="14.25" hidden="false" customHeight="false" outlineLevel="0" collapsed="false">
      <c r="A22" s="0" t="n">
        <v>21</v>
      </c>
      <c r="B22" s="0" t="s">
        <v>1979</v>
      </c>
    </row>
    <row r="23" customFormat="false" ht="14.25" hidden="false" customHeight="false" outlineLevel="0" collapsed="false">
      <c r="A23" s="0" t="n">
        <v>22</v>
      </c>
      <c r="B23" s="0" t="s">
        <v>1980</v>
      </c>
    </row>
    <row r="24" customFormat="false" ht="14.25" hidden="false" customHeight="false" outlineLevel="0" collapsed="false">
      <c r="A24" s="0" t="n">
        <v>23</v>
      </c>
      <c r="B24" s="0" t="s">
        <v>1981</v>
      </c>
    </row>
    <row r="25" customFormat="false" ht="14.25" hidden="false" customHeight="false" outlineLevel="0" collapsed="false">
      <c r="A25" s="0" t="n">
        <v>24</v>
      </c>
      <c r="B25" s="0" t="s">
        <v>1982</v>
      </c>
    </row>
    <row r="26" customFormat="false" ht="14.25" hidden="false" customHeight="false" outlineLevel="0" collapsed="false">
      <c r="A26" s="0" t="n">
        <v>25</v>
      </c>
      <c r="B26" s="0" t="s">
        <v>1983</v>
      </c>
    </row>
    <row r="27" customFormat="false" ht="14.25" hidden="false" customHeight="false" outlineLevel="0" collapsed="false">
      <c r="A27" s="0" t="n">
        <v>26</v>
      </c>
      <c r="B27" s="0" t="s">
        <v>1984</v>
      </c>
    </row>
    <row r="28" customFormat="false" ht="14.25" hidden="false" customHeight="false" outlineLevel="0" collapsed="false">
      <c r="A28" s="0" t="n">
        <v>27</v>
      </c>
      <c r="B28" s="0" t="s">
        <v>1985</v>
      </c>
    </row>
    <row r="29" customFormat="false" ht="14.25" hidden="false" customHeight="false" outlineLevel="0" collapsed="false">
      <c r="A29" s="0" t="n">
        <v>28</v>
      </c>
      <c r="B29" s="0" t="s">
        <v>1986</v>
      </c>
    </row>
    <row r="30" customFormat="false" ht="14.25" hidden="false" customHeight="false" outlineLevel="0" collapsed="false">
      <c r="A30" s="0" t="n">
        <v>29</v>
      </c>
      <c r="B30" s="0" t="s">
        <v>1987</v>
      </c>
    </row>
    <row r="31" customFormat="false" ht="14.25" hidden="false" customHeight="false" outlineLevel="0" collapsed="false">
      <c r="A31" s="0" t="n">
        <v>30</v>
      </c>
      <c r="B31" s="0" t="s">
        <v>1988</v>
      </c>
    </row>
    <row r="32" customFormat="false" ht="14.25" hidden="false" customHeight="false" outlineLevel="0" collapsed="false">
      <c r="A32" s="0" t="n">
        <v>31</v>
      </c>
      <c r="B32" s="0" t="s">
        <v>1989</v>
      </c>
    </row>
    <row r="33" customFormat="false" ht="14.25" hidden="false" customHeight="false" outlineLevel="0" collapsed="false">
      <c r="A33" s="0" t="n">
        <v>32</v>
      </c>
      <c r="B33" s="0" t="s">
        <v>1990</v>
      </c>
    </row>
    <row r="34" customFormat="false" ht="14.25" hidden="false" customHeight="false" outlineLevel="0" collapsed="false">
      <c r="A34" s="0" t="n">
        <v>33</v>
      </c>
      <c r="B34" s="0" t="s">
        <v>1991</v>
      </c>
    </row>
    <row r="35" customFormat="false" ht="14.25" hidden="false" customHeight="false" outlineLevel="0" collapsed="false">
      <c r="A35" s="0" t="n">
        <v>34</v>
      </c>
      <c r="B35" s="0" t="s">
        <v>1992</v>
      </c>
    </row>
    <row r="36" customFormat="false" ht="14.25" hidden="false" customHeight="false" outlineLevel="0" collapsed="false">
      <c r="A36" s="0" t="n">
        <v>35</v>
      </c>
      <c r="B36" s="0" t="s">
        <v>1993</v>
      </c>
    </row>
    <row r="37" customFormat="false" ht="14.25" hidden="false" customHeight="false" outlineLevel="0" collapsed="false">
      <c r="A37" s="0" t="n">
        <v>36</v>
      </c>
      <c r="B37" s="0" t="s">
        <v>1994</v>
      </c>
    </row>
    <row r="38" customFormat="false" ht="14.25" hidden="false" customHeight="false" outlineLevel="0" collapsed="false">
      <c r="A38" s="0" t="n">
        <v>37</v>
      </c>
      <c r="B38" s="0" t="s">
        <v>1995</v>
      </c>
    </row>
    <row r="39" customFormat="false" ht="14.25" hidden="false" customHeight="false" outlineLevel="0" collapsed="false">
      <c r="A39" s="0" t="n">
        <v>38</v>
      </c>
      <c r="B39" s="0" t="s">
        <v>1996</v>
      </c>
    </row>
    <row r="40" customFormat="false" ht="14.25" hidden="false" customHeight="false" outlineLevel="0" collapsed="false">
      <c r="A40" s="0" t="n">
        <v>39</v>
      </c>
      <c r="B40" s="0" t="s">
        <v>1997</v>
      </c>
    </row>
    <row r="41" customFormat="false" ht="14.25" hidden="false" customHeight="false" outlineLevel="0" collapsed="false">
      <c r="A41" s="0" t="n">
        <v>40</v>
      </c>
      <c r="B41" s="0" t="s">
        <v>1998</v>
      </c>
    </row>
    <row r="42" customFormat="false" ht="14.25" hidden="false" customHeight="false" outlineLevel="0" collapsed="false">
      <c r="A42" s="0" t="n">
        <v>41</v>
      </c>
      <c r="B42" s="0" t="s">
        <v>1999</v>
      </c>
    </row>
    <row r="43" customFormat="false" ht="14.25" hidden="false" customHeight="false" outlineLevel="0" collapsed="false">
      <c r="A43" s="0" t="n">
        <v>42</v>
      </c>
      <c r="B43" s="0" t="s">
        <v>2000</v>
      </c>
    </row>
    <row r="44" customFormat="false" ht="14.25" hidden="false" customHeight="false" outlineLevel="0" collapsed="false">
      <c r="A44" s="0" t="n">
        <v>43</v>
      </c>
      <c r="B44" s="0" t="s">
        <v>2001</v>
      </c>
    </row>
    <row r="45" customFormat="false" ht="14.25" hidden="false" customHeight="false" outlineLevel="0" collapsed="false">
      <c r="A45" s="0" t="n">
        <v>44</v>
      </c>
      <c r="B45" s="0" t="s">
        <v>2002</v>
      </c>
    </row>
    <row r="46" customFormat="false" ht="14.25" hidden="false" customHeight="false" outlineLevel="0" collapsed="false">
      <c r="A46" s="0" t="n">
        <v>45</v>
      </c>
      <c r="B46" s="0" t="s">
        <v>2003</v>
      </c>
    </row>
    <row r="47" customFormat="false" ht="14.25" hidden="false" customHeight="false" outlineLevel="0" collapsed="false">
      <c r="A47" s="0" t="n">
        <v>46</v>
      </c>
      <c r="B47" s="0" t="s">
        <v>2004</v>
      </c>
    </row>
    <row r="48" customFormat="false" ht="14.25" hidden="false" customHeight="false" outlineLevel="0" collapsed="false">
      <c r="A48" s="0" t="n">
        <v>47</v>
      </c>
      <c r="B48" s="0" t="s">
        <v>2005</v>
      </c>
    </row>
    <row r="49" customFormat="false" ht="14.25" hidden="false" customHeight="false" outlineLevel="0" collapsed="false">
      <c r="A49" s="0" t="n">
        <v>48</v>
      </c>
      <c r="B49" s="0" t="s">
        <v>2006</v>
      </c>
    </row>
    <row r="50" customFormat="false" ht="14.25" hidden="false" customHeight="false" outlineLevel="0" collapsed="false">
      <c r="A50" s="0" t="n">
        <v>49</v>
      </c>
      <c r="B50" s="0" t="s">
        <v>2007</v>
      </c>
    </row>
    <row r="51" customFormat="false" ht="14.25" hidden="false" customHeight="false" outlineLevel="0" collapsed="false">
      <c r="A51" s="0" t="n">
        <v>50</v>
      </c>
      <c r="B51" s="0" t="s">
        <v>2008</v>
      </c>
    </row>
    <row r="52" customFormat="false" ht="14.25" hidden="false" customHeight="false" outlineLevel="0" collapsed="false">
      <c r="A52" s="0" t="n">
        <v>51</v>
      </c>
      <c r="B52" s="0" t="s">
        <v>2009</v>
      </c>
    </row>
    <row r="53" customFormat="false" ht="14.25" hidden="false" customHeight="false" outlineLevel="0" collapsed="false">
      <c r="A53" s="0" t="n">
        <v>52</v>
      </c>
      <c r="B53" s="0" t="s">
        <v>2010</v>
      </c>
    </row>
    <row r="54" customFormat="false" ht="14.25" hidden="false" customHeight="false" outlineLevel="0" collapsed="false">
      <c r="A54" s="0" t="n">
        <v>53</v>
      </c>
      <c r="B54" s="0" t="s">
        <v>2011</v>
      </c>
    </row>
    <row r="55" customFormat="false" ht="14.25" hidden="false" customHeight="false" outlineLevel="0" collapsed="false">
      <c r="A55" s="0" t="n">
        <v>54</v>
      </c>
      <c r="B55" s="0" t="s">
        <v>2012</v>
      </c>
    </row>
    <row r="56" customFormat="false" ht="14.25" hidden="false" customHeight="false" outlineLevel="0" collapsed="false">
      <c r="A56" s="0" t="n">
        <v>55</v>
      </c>
      <c r="B56" s="0" t="s">
        <v>2013</v>
      </c>
    </row>
    <row r="57" customFormat="false" ht="14.25" hidden="false" customHeight="false" outlineLevel="0" collapsed="false">
      <c r="A57" s="0" t="n">
        <v>56</v>
      </c>
      <c r="B57" s="0" t="s">
        <v>2014</v>
      </c>
    </row>
    <row r="58" customFormat="false" ht="14.25" hidden="false" customHeight="false" outlineLevel="0" collapsed="false">
      <c r="A58" s="0" t="n">
        <v>57</v>
      </c>
      <c r="B58" s="0" t="s">
        <v>2015</v>
      </c>
    </row>
    <row r="59" customFormat="false" ht="14.25" hidden="false" customHeight="false" outlineLevel="0" collapsed="false">
      <c r="A59" s="0" t="n">
        <v>58</v>
      </c>
      <c r="B59" s="0" t="s">
        <v>2016</v>
      </c>
    </row>
    <row r="60" customFormat="false" ht="14.25" hidden="false" customHeight="false" outlineLevel="0" collapsed="false">
      <c r="A60" s="0" t="n">
        <v>59</v>
      </c>
      <c r="B60" s="0" t="s">
        <v>2017</v>
      </c>
    </row>
    <row r="61" customFormat="false" ht="14.25" hidden="false" customHeight="false" outlineLevel="0" collapsed="false">
      <c r="A61" s="0" t="n">
        <v>60</v>
      </c>
      <c r="B61" s="0" t="s">
        <v>2018</v>
      </c>
    </row>
    <row r="62" customFormat="false" ht="14.25" hidden="false" customHeight="false" outlineLevel="0" collapsed="false">
      <c r="A62" s="0" t="n">
        <v>61</v>
      </c>
      <c r="B62" s="0" t="s">
        <v>2019</v>
      </c>
    </row>
    <row r="63" customFormat="false" ht="14.25" hidden="false" customHeight="false" outlineLevel="0" collapsed="false">
      <c r="A63" s="0" t="n">
        <v>62</v>
      </c>
      <c r="B63" s="0" t="s">
        <v>2020</v>
      </c>
    </row>
    <row r="64" customFormat="false" ht="14.25" hidden="false" customHeight="false" outlineLevel="0" collapsed="false">
      <c r="A64" s="0" t="n">
        <v>63</v>
      </c>
      <c r="B64" s="0" t="s">
        <v>2021</v>
      </c>
    </row>
    <row r="65" customFormat="false" ht="14.25" hidden="false" customHeight="false" outlineLevel="0" collapsed="false">
      <c r="A65" s="0" t="n">
        <v>64</v>
      </c>
      <c r="B65" s="0" t="s">
        <v>2022</v>
      </c>
    </row>
    <row r="66" customFormat="false" ht="14.25" hidden="false" customHeight="false" outlineLevel="0" collapsed="false">
      <c r="A66" s="0" t="n">
        <v>65</v>
      </c>
      <c r="B66" s="0" t="s">
        <v>2023</v>
      </c>
    </row>
    <row r="67" customFormat="false" ht="14.25" hidden="false" customHeight="false" outlineLevel="0" collapsed="false">
      <c r="A67" s="0" t="n">
        <v>66</v>
      </c>
      <c r="B67" s="0" t="s">
        <v>2024</v>
      </c>
    </row>
    <row r="68" customFormat="false" ht="14.25" hidden="false" customHeight="false" outlineLevel="0" collapsed="false">
      <c r="A68" s="0" t="n">
        <v>67</v>
      </c>
      <c r="B68" s="0" t="s">
        <v>2025</v>
      </c>
    </row>
    <row r="69" customFormat="false" ht="14.25" hidden="false" customHeight="false" outlineLevel="0" collapsed="false">
      <c r="A69" s="0" t="n">
        <v>68</v>
      </c>
      <c r="B69" s="0" t="s">
        <v>2026</v>
      </c>
    </row>
    <row r="70" customFormat="false" ht="14.25" hidden="false" customHeight="false" outlineLevel="0" collapsed="false">
      <c r="A70" s="0" t="n">
        <v>69</v>
      </c>
      <c r="B70" s="0" t="s">
        <v>2027</v>
      </c>
    </row>
    <row r="71" customFormat="false" ht="14.25" hidden="false" customHeight="false" outlineLevel="0" collapsed="false">
      <c r="A71" s="0" t="n">
        <v>70</v>
      </c>
      <c r="B71" s="0" t="s">
        <v>2028</v>
      </c>
    </row>
    <row r="72" customFormat="false" ht="14.25" hidden="false" customHeight="false" outlineLevel="0" collapsed="false">
      <c r="A72" s="0" t="n">
        <v>71</v>
      </c>
      <c r="B72" s="0" t="s">
        <v>2029</v>
      </c>
    </row>
    <row r="73" customFormat="false" ht="14.25" hidden="false" customHeight="false" outlineLevel="0" collapsed="false">
      <c r="A73" s="0" t="n">
        <v>72</v>
      </c>
      <c r="B73" s="0" t="s">
        <v>2030</v>
      </c>
    </row>
    <row r="74" customFormat="false" ht="14.25" hidden="false" customHeight="false" outlineLevel="0" collapsed="false">
      <c r="A74" s="0" t="n">
        <v>73</v>
      </c>
      <c r="B74" s="0" t="s">
        <v>2031</v>
      </c>
    </row>
    <row r="75" customFormat="false" ht="14.25" hidden="false" customHeight="false" outlineLevel="0" collapsed="false">
      <c r="A75" s="0" t="n">
        <v>74</v>
      </c>
      <c r="B75" s="0" t="s">
        <v>2032</v>
      </c>
    </row>
    <row r="76" customFormat="false" ht="14.25" hidden="false" customHeight="false" outlineLevel="0" collapsed="false">
      <c r="A76" s="0" t="n">
        <v>75</v>
      </c>
      <c r="B76" s="0" t="s">
        <v>2033</v>
      </c>
    </row>
    <row r="77" customFormat="false" ht="14.25" hidden="false" customHeight="false" outlineLevel="0" collapsed="false">
      <c r="A77" s="0" t="n">
        <v>76</v>
      </c>
      <c r="B77" s="0" t="s">
        <v>2034</v>
      </c>
    </row>
    <row r="78" customFormat="false" ht="14.25" hidden="false" customHeight="false" outlineLevel="0" collapsed="false">
      <c r="A78" s="0" t="n">
        <v>77</v>
      </c>
      <c r="B78" s="0" t="s">
        <v>2035</v>
      </c>
    </row>
    <row r="79" customFormat="false" ht="14.25" hidden="false" customHeight="false" outlineLevel="0" collapsed="false">
      <c r="A79" s="0" t="n">
        <v>78</v>
      </c>
      <c r="B79" s="0" t="s">
        <v>2036</v>
      </c>
    </row>
    <row r="80" customFormat="false" ht="14.25" hidden="false" customHeight="false" outlineLevel="0" collapsed="false">
      <c r="A80" s="0" t="n">
        <v>79</v>
      </c>
      <c r="B80" s="0" t="s">
        <v>2037</v>
      </c>
    </row>
    <row r="81" customFormat="false" ht="14.25" hidden="false" customHeight="false" outlineLevel="0" collapsed="false">
      <c r="A81" s="0" t="n">
        <v>80</v>
      </c>
      <c r="B81" s="0" t="s">
        <v>2038</v>
      </c>
    </row>
    <row r="82" customFormat="false" ht="14.25" hidden="false" customHeight="false" outlineLevel="0" collapsed="false">
      <c r="A82" s="0" t="n">
        <v>81</v>
      </c>
      <c r="B82" s="0" t="s">
        <v>2039</v>
      </c>
    </row>
    <row r="83" customFormat="false" ht="14.25" hidden="false" customHeight="false" outlineLevel="0" collapsed="false">
      <c r="A83" s="0" t="n">
        <v>82</v>
      </c>
      <c r="B83" s="0" t="s">
        <v>2040</v>
      </c>
    </row>
    <row r="84" customFormat="false" ht="14.25" hidden="false" customHeight="false" outlineLevel="0" collapsed="false">
      <c r="A84" s="0" t="n">
        <v>83</v>
      </c>
      <c r="B84" s="0" t="s">
        <v>2041</v>
      </c>
    </row>
    <row r="85" customFormat="false" ht="14.25" hidden="false" customHeight="false" outlineLevel="0" collapsed="false">
      <c r="A85" s="0" t="n">
        <v>84</v>
      </c>
      <c r="B85" s="0" t="s">
        <v>2042</v>
      </c>
    </row>
    <row r="86" customFormat="false" ht="14.25" hidden="false" customHeight="false" outlineLevel="0" collapsed="false">
      <c r="A86" s="0" t="n">
        <v>85</v>
      </c>
      <c r="B86" s="0" t="s">
        <v>2043</v>
      </c>
    </row>
    <row r="87" customFormat="false" ht="14.25" hidden="false" customHeight="false" outlineLevel="0" collapsed="false">
      <c r="A87" s="0" t="n">
        <v>86</v>
      </c>
      <c r="B87" s="0" t="s">
        <v>2044</v>
      </c>
    </row>
    <row r="88" customFormat="false" ht="14.25" hidden="false" customHeight="false" outlineLevel="0" collapsed="false">
      <c r="A88" s="0" t="n">
        <v>87</v>
      </c>
      <c r="B88" s="0" t="s">
        <v>2045</v>
      </c>
    </row>
    <row r="89" customFormat="false" ht="14.25" hidden="false" customHeight="false" outlineLevel="0" collapsed="false">
      <c r="A89" s="0" t="n">
        <v>88</v>
      </c>
      <c r="B89" s="0" t="s">
        <v>2046</v>
      </c>
    </row>
    <row r="90" customFormat="false" ht="14.25" hidden="false" customHeight="false" outlineLevel="0" collapsed="false">
      <c r="A90" s="0" t="n">
        <v>89</v>
      </c>
      <c r="B90" s="0" t="s">
        <v>2047</v>
      </c>
    </row>
    <row r="91" customFormat="false" ht="14.25" hidden="false" customHeight="false" outlineLevel="0" collapsed="false">
      <c r="A91" s="0" t="n">
        <v>90</v>
      </c>
      <c r="B91" s="0" t="s">
        <v>2048</v>
      </c>
    </row>
    <row r="92" customFormat="false" ht="14.25" hidden="false" customHeight="false" outlineLevel="0" collapsed="false">
      <c r="A92" s="0" t="n">
        <v>91</v>
      </c>
      <c r="B92" s="0" t="s">
        <v>2049</v>
      </c>
    </row>
    <row r="93" customFormat="false" ht="14.25" hidden="false" customHeight="false" outlineLevel="0" collapsed="false">
      <c r="A93" s="0" t="n">
        <v>92</v>
      </c>
      <c r="B93" s="0" t="s">
        <v>2050</v>
      </c>
    </row>
    <row r="94" customFormat="false" ht="14.25" hidden="false" customHeight="false" outlineLevel="0" collapsed="false">
      <c r="A94" s="0" t="n">
        <v>93</v>
      </c>
      <c r="B94" s="0" t="s">
        <v>2051</v>
      </c>
    </row>
    <row r="95" customFormat="false" ht="14.25" hidden="false" customHeight="false" outlineLevel="0" collapsed="false">
      <c r="A95" s="0" t="n">
        <v>94</v>
      </c>
      <c r="B95" s="0" t="s">
        <v>2052</v>
      </c>
    </row>
    <row r="96" customFormat="false" ht="14.25" hidden="false" customHeight="false" outlineLevel="0" collapsed="false">
      <c r="A96" s="0" t="n">
        <v>95</v>
      </c>
      <c r="B96" s="0" t="s">
        <v>2053</v>
      </c>
    </row>
    <row r="97" customFormat="false" ht="14.25" hidden="false" customHeight="false" outlineLevel="0" collapsed="false">
      <c r="A97" s="0" t="n">
        <v>96</v>
      </c>
      <c r="B97" s="0" t="s">
        <v>2054</v>
      </c>
    </row>
    <row r="98" customFormat="false" ht="14.25" hidden="false" customHeight="false" outlineLevel="0" collapsed="false">
      <c r="A98" s="0" t="n">
        <v>97</v>
      </c>
      <c r="B98" s="0" t="s">
        <v>2055</v>
      </c>
    </row>
    <row r="99" customFormat="false" ht="14.25" hidden="false" customHeight="false" outlineLevel="0" collapsed="false">
      <c r="A99" s="0" t="n">
        <v>98</v>
      </c>
      <c r="B99" s="0" t="s">
        <v>2056</v>
      </c>
    </row>
    <row r="100" customFormat="false" ht="14.25" hidden="false" customHeight="false" outlineLevel="0" collapsed="false">
      <c r="A100" s="0" t="n">
        <v>99</v>
      </c>
      <c r="B100" s="0" t="s">
        <v>2057</v>
      </c>
    </row>
    <row r="101" customFormat="false" ht="14.25" hidden="false" customHeight="false" outlineLevel="0" collapsed="false">
      <c r="A101" s="0" t="n">
        <v>100</v>
      </c>
      <c r="B101" s="0" t="s">
        <v>2058</v>
      </c>
    </row>
    <row r="102" customFormat="false" ht="14.25" hidden="false" customHeight="false" outlineLevel="0" collapsed="false">
      <c r="A102" s="0" t="n">
        <v>101</v>
      </c>
      <c r="B102" s="0" t="s">
        <v>2059</v>
      </c>
    </row>
    <row r="103" customFormat="false" ht="14.25" hidden="false" customHeight="false" outlineLevel="0" collapsed="false">
      <c r="A103" s="0" t="n">
        <v>102</v>
      </c>
      <c r="B103" s="0" t="s">
        <v>2060</v>
      </c>
    </row>
    <row r="104" customFormat="false" ht="14.25" hidden="false" customHeight="false" outlineLevel="0" collapsed="false">
      <c r="A104" s="0" t="n">
        <v>103</v>
      </c>
      <c r="B104" s="0" t="s">
        <v>2061</v>
      </c>
    </row>
    <row r="105" customFormat="false" ht="14.25" hidden="false" customHeight="false" outlineLevel="0" collapsed="false">
      <c r="A105" s="0" t="n">
        <v>104</v>
      </c>
      <c r="B105" s="0" t="s">
        <v>2062</v>
      </c>
    </row>
    <row r="106" customFormat="false" ht="14.25" hidden="false" customHeight="false" outlineLevel="0" collapsed="false">
      <c r="A106" s="0" t="n">
        <v>105</v>
      </c>
      <c r="B106" s="0" t="s">
        <v>2063</v>
      </c>
    </row>
    <row r="107" customFormat="false" ht="14.25" hidden="false" customHeight="false" outlineLevel="0" collapsed="false">
      <c r="A107" s="0" t="n">
        <v>106</v>
      </c>
      <c r="B107" s="0" t="s">
        <v>2064</v>
      </c>
    </row>
    <row r="108" customFormat="false" ht="14.25" hidden="false" customHeight="false" outlineLevel="0" collapsed="false">
      <c r="A108" s="0" t="n">
        <v>107</v>
      </c>
      <c r="B108" s="0" t="s">
        <v>2065</v>
      </c>
    </row>
    <row r="109" customFormat="false" ht="14.25" hidden="false" customHeight="false" outlineLevel="0" collapsed="false">
      <c r="A109" s="0" t="n">
        <v>108</v>
      </c>
      <c r="B109" s="0" t="s">
        <v>2066</v>
      </c>
    </row>
    <row r="110" customFormat="false" ht="14.25" hidden="false" customHeight="false" outlineLevel="0" collapsed="false">
      <c r="A110" s="0" t="n">
        <v>109</v>
      </c>
      <c r="B110" s="0" t="s">
        <v>2067</v>
      </c>
    </row>
    <row r="111" customFormat="false" ht="14.25" hidden="false" customHeight="false" outlineLevel="0" collapsed="false">
      <c r="A111" s="0" t="n">
        <v>110</v>
      </c>
      <c r="B111" s="0" t="s">
        <v>2068</v>
      </c>
    </row>
    <row r="112" customFormat="false" ht="14.25" hidden="false" customHeight="false" outlineLevel="0" collapsed="false">
      <c r="A112" s="0" t="n">
        <v>111</v>
      </c>
      <c r="B112" s="0" t="s">
        <v>2069</v>
      </c>
    </row>
    <row r="113" customFormat="false" ht="14.25" hidden="false" customHeight="false" outlineLevel="0" collapsed="false">
      <c r="A113" s="0" t="n">
        <v>112</v>
      </c>
      <c r="B113" s="0" t="s">
        <v>2070</v>
      </c>
    </row>
    <row r="114" customFormat="false" ht="14.25" hidden="false" customHeight="false" outlineLevel="0" collapsed="false">
      <c r="A114" s="0" t="n">
        <v>113</v>
      </c>
      <c r="B114" s="0" t="s">
        <v>2071</v>
      </c>
    </row>
    <row r="115" customFormat="false" ht="14.25" hidden="false" customHeight="false" outlineLevel="0" collapsed="false">
      <c r="A115" s="0" t="n">
        <v>114</v>
      </c>
      <c r="B115" s="0" t="s">
        <v>2072</v>
      </c>
    </row>
    <row r="116" customFormat="false" ht="14.25" hidden="false" customHeight="false" outlineLevel="0" collapsed="false">
      <c r="A116" s="0" t="n">
        <v>115</v>
      </c>
      <c r="B116" s="0" t="s">
        <v>2073</v>
      </c>
    </row>
    <row r="117" customFormat="false" ht="14.25" hidden="false" customHeight="false" outlineLevel="0" collapsed="false">
      <c r="A117" s="0" t="n">
        <v>116</v>
      </c>
      <c r="B117" s="0" t="s">
        <v>2074</v>
      </c>
    </row>
    <row r="118" customFormat="false" ht="14.25" hidden="false" customHeight="false" outlineLevel="0" collapsed="false">
      <c r="A118" s="0" t="n">
        <v>117</v>
      </c>
      <c r="B118" s="0" t="s">
        <v>2075</v>
      </c>
    </row>
    <row r="119" customFormat="false" ht="14.25" hidden="false" customHeight="false" outlineLevel="0" collapsed="false">
      <c r="A119" s="0" t="n">
        <v>118</v>
      </c>
      <c r="B119" s="0" t="s">
        <v>2076</v>
      </c>
    </row>
    <row r="120" customFormat="false" ht="14.25" hidden="false" customHeight="false" outlineLevel="0" collapsed="false">
      <c r="A120" s="0" t="n">
        <v>119</v>
      </c>
      <c r="B120" s="0" t="s">
        <v>2077</v>
      </c>
    </row>
    <row r="121" customFormat="false" ht="14.25" hidden="false" customHeight="false" outlineLevel="0" collapsed="false">
      <c r="A121" s="0" t="n">
        <v>120</v>
      </c>
      <c r="B121" s="0" t="s">
        <v>2078</v>
      </c>
    </row>
    <row r="122" customFormat="false" ht="14.25" hidden="false" customHeight="false" outlineLevel="0" collapsed="false">
      <c r="A122" s="0" t="n">
        <v>121</v>
      </c>
      <c r="B122" s="0" t="s">
        <v>2079</v>
      </c>
    </row>
    <row r="123" customFormat="false" ht="14.25" hidden="false" customHeight="false" outlineLevel="0" collapsed="false">
      <c r="A123" s="0" t="n">
        <v>122</v>
      </c>
      <c r="B123" s="0" t="s">
        <v>2080</v>
      </c>
    </row>
    <row r="124" customFormat="false" ht="14.25" hidden="false" customHeight="false" outlineLevel="0" collapsed="false">
      <c r="A124" s="0" t="n">
        <v>123</v>
      </c>
      <c r="B124" s="0" t="s">
        <v>2081</v>
      </c>
    </row>
    <row r="125" customFormat="false" ht="14.25" hidden="false" customHeight="false" outlineLevel="0" collapsed="false">
      <c r="A125" s="0" t="n">
        <v>124</v>
      </c>
      <c r="B125" s="0" t="s">
        <v>2082</v>
      </c>
    </row>
    <row r="126" customFormat="false" ht="14.25" hidden="false" customHeight="false" outlineLevel="0" collapsed="false">
      <c r="A126" s="0" t="n">
        <v>125</v>
      </c>
      <c r="B126" s="0" t="s">
        <v>2083</v>
      </c>
    </row>
    <row r="127" customFormat="false" ht="14.25" hidden="false" customHeight="false" outlineLevel="0" collapsed="false">
      <c r="A127" s="0" t="n">
        <v>126</v>
      </c>
      <c r="B127" s="0" t="s">
        <v>2084</v>
      </c>
    </row>
    <row r="128" customFormat="false" ht="14.25" hidden="false" customHeight="false" outlineLevel="0" collapsed="false">
      <c r="A128" s="0" t="n">
        <v>127</v>
      </c>
      <c r="B128" s="0" t="s">
        <v>2085</v>
      </c>
    </row>
    <row r="129" customFormat="false" ht="14.25" hidden="false" customHeight="false" outlineLevel="0" collapsed="false">
      <c r="A129" s="0" t="n">
        <v>128</v>
      </c>
      <c r="B129" s="0" t="s">
        <v>2086</v>
      </c>
    </row>
    <row r="130" customFormat="false" ht="14.25" hidden="false" customHeight="false" outlineLevel="0" collapsed="false">
      <c r="A130" s="0" t="n">
        <v>129</v>
      </c>
      <c r="B130" s="0" t="s">
        <v>2087</v>
      </c>
    </row>
    <row r="131" customFormat="false" ht="14.25" hidden="false" customHeight="false" outlineLevel="0" collapsed="false">
      <c r="A131" s="0" t="n">
        <v>130</v>
      </c>
      <c r="B131" s="0" t="s">
        <v>2088</v>
      </c>
    </row>
    <row r="132" customFormat="false" ht="14.25" hidden="false" customHeight="false" outlineLevel="0" collapsed="false">
      <c r="A132" s="0" t="n">
        <v>131</v>
      </c>
      <c r="B132" s="0" t="s">
        <v>2089</v>
      </c>
    </row>
    <row r="133" customFormat="false" ht="14.25" hidden="false" customHeight="false" outlineLevel="0" collapsed="false">
      <c r="A133" s="0" t="n">
        <v>132</v>
      </c>
      <c r="B133" s="0" t="s">
        <v>2090</v>
      </c>
    </row>
    <row r="134" customFormat="false" ht="14.25" hidden="false" customHeight="false" outlineLevel="0" collapsed="false">
      <c r="A134" s="0" t="n">
        <v>133</v>
      </c>
      <c r="B134" s="0" t="s">
        <v>2091</v>
      </c>
    </row>
    <row r="135" customFormat="false" ht="14.25" hidden="false" customHeight="false" outlineLevel="0" collapsed="false">
      <c r="A135" s="0" t="n">
        <v>134</v>
      </c>
      <c r="B135" s="0" t="s">
        <v>2092</v>
      </c>
    </row>
    <row r="136" customFormat="false" ht="14.25" hidden="false" customHeight="false" outlineLevel="0" collapsed="false">
      <c r="A136" s="0" t="n">
        <v>135</v>
      </c>
      <c r="B136" s="0" t="s">
        <v>2093</v>
      </c>
    </row>
    <row r="137" customFormat="false" ht="14.25" hidden="false" customHeight="false" outlineLevel="0" collapsed="false">
      <c r="A137" s="0" t="n">
        <v>136</v>
      </c>
      <c r="B137" s="0" t="s">
        <v>2094</v>
      </c>
    </row>
    <row r="138" customFormat="false" ht="14.25" hidden="false" customHeight="false" outlineLevel="0" collapsed="false">
      <c r="A138" s="0" t="n">
        <v>137</v>
      </c>
      <c r="B138" s="0" t="s">
        <v>2095</v>
      </c>
    </row>
    <row r="139" customFormat="false" ht="14.25" hidden="false" customHeight="false" outlineLevel="0" collapsed="false">
      <c r="A139" s="0" t="n">
        <v>138</v>
      </c>
      <c r="B139" s="0" t="s">
        <v>2096</v>
      </c>
    </row>
    <row r="140" customFormat="false" ht="14.25" hidden="false" customHeight="false" outlineLevel="0" collapsed="false">
      <c r="A140" s="0" t="n">
        <v>139</v>
      </c>
      <c r="B140" s="0" t="s">
        <v>2097</v>
      </c>
    </row>
    <row r="141" customFormat="false" ht="14.25" hidden="false" customHeight="false" outlineLevel="0" collapsed="false">
      <c r="A141" s="0" t="n">
        <v>140</v>
      </c>
      <c r="B141" s="0" t="s">
        <v>2098</v>
      </c>
    </row>
    <row r="142" customFormat="false" ht="14.25" hidden="false" customHeight="false" outlineLevel="0" collapsed="false">
      <c r="A142" s="0" t="n">
        <v>141</v>
      </c>
      <c r="B142" s="0" t="s">
        <v>2099</v>
      </c>
    </row>
    <row r="143" customFormat="false" ht="14.25" hidden="false" customHeight="false" outlineLevel="0" collapsed="false">
      <c r="A143" s="0" t="n">
        <v>142</v>
      </c>
      <c r="B143" s="0" t="s">
        <v>2100</v>
      </c>
    </row>
    <row r="144" customFormat="false" ht="14.25" hidden="false" customHeight="false" outlineLevel="0" collapsed="false">
      <c r="A144" s="0" t="n">
        <v>143</v>
      </c>
      <c r="B144" s="0" t="s">
        <v>2101</v>
      </c>
    </row>
    <row r="145" customFormat="false" ht="14.25" hidden="false" customHeight="false" outlineLevel="0" collapsed="false">
      <c r="A145" s="0" t="n">
        <v>144</v>
      </c>
      <c r="B145" s="0" t="s">
        <v>2102</v>
      </c>
    </row>
    <row r="146" customFormat="false" ht="14.25" hidden="false" customHeight="false" outlineLevel="0" collapsed="false">
      <c r="A146" s="0" t="n">
        <v>145</v>
      </c>
      <c r="B146" s="0" t="s">
        <v>2103</v>
      </c>
    </row>
    <row r="147" customFormat="false" ht="14.25" hidden="false" customHeight="false" outlineLevel="0" collapsed="false">
      <c r="A147" s="0" t="n">
        <v>146</v>
      </c>
      <c r="B147" s="0" t="s">
        <v>2104</v>
      </c>
    </row>
    <row r="148" customFormat="false" ht="14.25" hidden="false" customHeight="false" outlineLevel="0" collapsed="false">
      <c r="A148" s="0" t="n">
        <v>147</v>
      </c>
      <c r="B148" s="0" t="s">
        <v>2105</v>
      </c>
    </row>
    <row r="149" customFormat="false" ht="14.25" hidden="false" customHeight="false" outlineLevel="0" collapsed="false">
      <c r="A149" s="0" t="n">
        <v>148</v>
      </c>
      <c r="B149" s="0" t="s">
        <v>2106</v>
      </c>
    </row>
    <row r="150" customFormat="false" ht="14.25" hidden="false" customHeight="false" outlineLevel="0" collapsed="false">
      <c r="A150" s="0" t="n">
        <v>149</v>
      </c>
      <c r="B150" s="0" t="s">
        <v>2107</v>
      </c>
    </row>
    <row r="151" customFormat="false" ht="14.25" hidden="false" customHeight="false" outlineLevel="0" collapsed="false">
      <c r="A151" s="0" t="n">
        <v>150</v>
      </c>
      <c r="B151" s="0" t="s">
        <v>2108</v>
      </c>
    </row>
    <row r="152" customFormat="false" ht="14.25" hidden="false" customHeight="false" outlineLevel="0" collapsed="false">
      <c r="A152" s="0" t="n">
        <v>151</v>
      </c>
      <c r="B152" s="0" t="s">
        <v>2109</v>
      </c>
    </row>
    <row r="153" customFormat="false" ht="14.25" hidden="false" customHeight="false" outlineLevel="0" collapsed="false">
      <c r="A153" s="0" t="n">
        <v>152</v>
      </c>
      <c r="B153" s="0" t="s">
        <v>2110</v>
      </c>
    </row>
    <row r="154" customFormat="false" ht="14.25" hidden="false" customHeight="false" outlineLevel="0" collapsed="false">
      <c r="A154" s="0" t="n">
        <v>153</v>
      </c>
      <c r="B154" s="0" t="s">
        <v>2111</v>
      </c>
    </row>
    <row r="155" customFormat="false" ht="14.25" hidden="false" customHeight="false" outlineLevel="0" collapsed="false">
      <c r="A155" s="0" t="n">
        <v>154</v>
      </c>
      <c r="B155" s="0" t="s">
        <v>2112</v>
      </c>
    </row>
    <row r="156" customFormat="false" ht="14.25" hidden="false" customHeight="false" outlineLevel="0" collapsed="false">
      <c r="A156" s="0" t="n">
        <v>155</v>
      </c>
      <c r="B156" s="0" t="s">
        <v>2113</v>
      </c>
    </row>
    <row r="157" customFormat="false" ht="14.25" hidden="false" customHeight="false" outlineLevel="0" collapsed="false">
      <c r="A157" s="0" t="n">
        <v>156</v>
      </c>
      <c r="B157" s="0" t="s">
        <v>2114</v>
      </c>
    </row>
    <row r="158" customFormat="false" ht="14.25" hidden="false" customHeight="false" outlineLevel="0" collapsed="false">
      <c r="A158" s="0" t="n">
        <v>157</v>
      </c>
      <c r="B158" s="0" t="s">
        <v>2115</v>
      </c>
    </row>
    <row r="159" customFormat="false" ht="14.25" hidden="false" customHeight="false" outlineLevel="0" collapsed="false">
      <c r="A159" s="0" t="n">
        <v>158</v>
      </c>
      <c r="B159" s="0" t="s">
        <v>2116</v>
      </c>
    </row>
    <row r="160" customFormat="false" ht="14.25" hidden="false" customHeight="false" outlineLevel="0" collapsed="false">
      <c r="A160" s="0" t="n">
        <v>159</v>
      </c>
      <c r="B160" s="0" t="s">
        <v>2117</v>
      </c>
    </row>
    <row r="161" customFormat="false" ht="14.25" hidden="false" customHeight="false" outlineLevel="0" collapsed="false">
      <c r="A161" s="0" t="n">
        <v>160</v>
      </c>
      <c r="B161" s="0" t="s">
        <v>2118</v>
      </c>
    </row>
    <row r="162" customFormat="false" ht="14.25" hidden="false" customHeight="false" outlineLevel="0" collapsed="false">
      <c r="A162" s="0" t="n">
        <v>161</v>
      </c>
      <c r="B162" s="0" t="s">
        <v>2119</v>
      </c>
    </row>
    <row r="163" customFormat="false" ht="14.25" hidden="false" customHeight="false" outlineLevel="0" collapsed="false">
      <c r="A163" s="0" t="n">
        <v>162</v>
      </c>
      <c r="B163" s="0" t="s">
        <v>2120</v>
      </c>
    </row>
    <row r="164" customFormat="false" ht="14.25" hidden="false" customHeight="false" outlineLevel="0" collapsed="false">
      <c r="A164" s="0" t="n">
        <v>163</v>
      </c>
      <c r="B164" s="0" t="s">
        <v>2121</v>
      </c>
    </row>
    <row r="165" customFormat="false" ht="14.25" hidden="false" customHeight="false" outlineLevel="0" collapsed="false">
      <c r="A165" s="0" t="n">
        <v>164</v>
      </c>
      <c r="B165" s="0" t="s">
        <v>2122</v>
      </c>
    </row>
    <row r="166" customFormat="false" ht="14.25" hidden="false" customHeight="false" outlineLevel="0" collapsed="false">
      <c r="A166" s="0" t="n">
        <v>165</v>
      </c>
      <c r="B166" s="0" t="s">
        <v>2123</v>
      </c>
    </row>
    <row r="167" customFormat="false" ht="14.25" hidden="false" customHeight="false" outlineLevel="0" collapsed="false">
      <c r="A167" s="0" t="n">
        <v>166</v>
      </c>
      <c r="B167" s="0" t="s">
        <v>2124</v>
      </c>
    </row>
    <row r="168" customFormat="false" ht="14.25" hidden="false" customHeight="false" outlineLevel="0" collapsed="false">
      <c r="A168" s="0" t="n">
        <v>167</v>
      </c>
      <c r="B168" s="0" t="s">
        <v>2125</v>
      </c>
    </row>
    <row r="169" customFormat="false" ht="14.25" hidden="false" customHeight="false" outlineLevel="0" collapsed="false">
      <c r="A169" s="0" t="n">
        <v>168</v>
      </c>
      <c r="B169" s="0" t="s">
        <v>2126</v>
      </c>
    </row>
    <row r="170" customFormat="false" ht="14.25" hidden="false" customHeight="false" outlineLevel="0" collapsed="false">
      <c r="A170" s="0" t="n">
        <v>169</v>
      </c>
      <c r="B170" s="0" t="s">
        <v>2127</v>
      </c>
    </row>
    <row r="171" customFormat="false" ht="14.25" hidden="false" customHeight="false" outlineLevel="0" collapsed="false">
      <c r="A171" s="0" t="n">
        <v>170</v>
      </c>
      <c r="B171" s="0" t="s">
        <v>2128</v>
      </c>
    </row>
    <row r="172" customFormat="false" ht="14.25" hidden="false" customHeight="false" outlineLevel="0" collapsed="false">
      <c r="A172" s="0" t="n">
        <v>171</v>
      </c>
      <c r="B172" s="0" t="s">
        <v>2129</v>
      </c>
    </row>
    <row r="173" customFormat="false" ht="14.25" hidden="false" customHeight="false" outlineLevel="0" collapsed="false">
      <c r="A173" s="0" t="n">
        <v>172</v>
      </c>
      <c r="B173" s="0" t="s">
        <v>2130</v>
      </c>
    </row>
    <row r="174" customFormat="false" ht="14.25" hidden="false" customHeight="false" outlineLevel="0" collapsed="false">
      <c r="A174" s="0" t="n">
        <v>173</v>
      </c>
      <c r="B174" s="0" t="s">
        <v>2131</v>
      </c>
    </row>
    <row r="175" customFormat="false" ht="14.25" hidden="false" customHeight="false" outlineLevel="0" collapsed="false">
      <c r="A175" s="0" t="n">
        <v>174</v>
      </c>
      <c r="B175" s="0" t="s">
        <v>2132</v>
      </c>
    </row>
    <row r="176" customFormat="false" ht="14.25" hidden="false" customHeight="false" outlineLevel="0" collapsed="false">
      <c r="A176" s="0" t="n">
        <v>175</v>
      </c>
      <c r="B176" s="0" t="s">
        <v>2133</v>
      </c>
    </row>
    <row r="177" customFormat="false" ht="14.25" hidden="false" customHeight="false" outlineLevel="0" collapsed="false">
      <c r="A177" s="0" t="n">
        <v>176</v>
      </c>
      <c r="B177" s="0" t="s">
        <v>2134</v>
      </c>
    </row>
    <row r="178" customFormat="false" ht="14.25" hidden="false" customHeight="false" outlineLevel="0" collapsed="false">
      <c r="A178" s="0" t="n">
        <v>177</v>
      </c>
      <c r="B178" s="0" t="s">
        <v>2135</v>
      </c>
    </row>
    <row r="179" customFormat="false" ht="14.25" hidden="false" customHeight="false" outlineLevel="0" collapsed="false">
      <c r="A179" s="0" t="n">
        <v>178</v>
      </c>
      <c r="B179" s="0" t="s">
        <v>2136</v>
      </c>
    </row>
    <row r="180" customFormat="false" ht="14.25" hidden="false" customHeight="false" outlineLevel="0" collapsed="false">
      <c r="A180" s="0" t="n">
        <v>179</v>
      </c>
      <c r="B180" s="0" t="s">
        <v>2137</v>
      </c>
    </row>
    <row r="181" customFormat="false" ht="14.25" hidden="false" customHeight="false" outlineLevel="0" collapsed="false">
      <c r="A181" s="0" t="n">
        <v>180</v>
      </c>
      <c r="B181" s="0" t="s">
        <v>2138</v>
      </c>
    </row>
    <row r="182" customFormat="false" ht="14.25" hidden="false" customHeight="false" outlineLevel="0" collapsed="false">
      <c r="A182" s="0" t="n">
        <v>181</v>
      </c>
      <c r="B182" s="0" t="s">
        <v>2139</v>
      </c>
    </row>
    <row r="183" customFormat="false" ht="14.25" hidden="false" customHeight="false" outlineLevel="0" collapsed="false">
      <c r="A183" s="0" t="n">
        <v>182</v>
      </c>
      <c r="B183" s="0" t="s">
        <v>2140</v>
      </c>
    </row>
    <row r="184" customFormat="false" ht="14.25" hidden="false" customHeight="false" outlineLevel="0" collapsed="false">
      <c r="A184" s="0" t="n">
        <v>183</v>
      </c>
      <c r="B184" s="0" t="s">
        <v>2141</v>
      </c>
    </row>
    <row r="185" customFormat="false" ht="14.25" hidden="false" customHeight="false" outlineLevel="0" collapsed="false">
      <c r="A185" s="0" t="n">
        <v>184</v>
      </c>
      <c r="B185" s="0" t="s">
        <v>2142</v>
      </c>
    </row>
    <row r="186" customFormat="false" ht="14.25" hidden="false" customHeight="false" outlineLevel="0" collapsed="false">
      <c r="A186" s="0" t="n">
        <v>185</v>
      </c>
      <c r="B186" s="0" t="s">
        <v>2143</v>
      </c>
    </row>
    <row r="187" customFormat="false" ht="14.25" hidden="false" customHeight="false" outlineLevel="0" collapsed="false">
      <c r="A187" s="0" t="n">
        <v>186</v>
      </c>
      <c r="B187" s="0" t="s">
        <v>2144</v>
      </c>
    </row>
    <row r="188" customFormat="false" ht="14.25" hidden="false" customHeight="false" outlineLevel="0" collapsed="false">
      <c r="A188" s="0" t="n">
        <v>187</v>
      </c>
      <c r="B188" s="0" t="s">
        <v>2145</v>
      </c>
    </row>
    <row r="189" customFormat="false" ht="14.25" hidden="false" customHeight="false" outlineLevel="0" collapsed="false">
      <c r="A189" s="0" t="n">
        <v>188</v>
      </c>
      <c r="B189" s="0" t="s">
        <v>2146</v>
      </c>
    </row>
    <row r="190" customFormat="false" ht="14.25" hidden="false" customHeight="false" outlineLevel="0" collapsed="false">
      <c r="A190" s="0" t="n">
        <v>189</v>
      </c>
      <c r="B190" s="0" t="s">
        <v>2147</v>
      </c>
    </row>
    <row r="191" customFormat="false" ht="14.25" hidden="false" customHeight="false" outlineLevel="0" collapsed="false">
      <c r="A191" s="0" t="n">
        <v>190</v>
      </c>
      <c r="B191" s="0" t="s">
        <v>2148</v>
      </c>
    </row>
    <row r="192" customFormat="false" ht="14.25" hidden="false" customHeight="false" outlineLevel="0" collapsed="false">
      <c r="A192" s="0" t="n">
        <v>191</v>
      </c>
      <c r="B192" s="0" t="s">
        <v>2149</v>
      </c>
    </row>
    <row r="193" customFormat="false" ht="14.25" hidden="false" customHeight="false" outlineLevel="0" collapsed="false">
      <c r="A193" s="0" t="n">
        <v>192</v>
      </c>
      <c r="B193" s="0" t="s">
        <v>2150</v>
      </c>
    </row>
    <row r="194" customFormat="false" ht="14.25" hidden="false" customHeight="false" outlineLevel="0" collapsed="false">
      <c r="A194" s="0" t="n">
        <v>193</v>
      </c>
      <c r="B194" s="0" t="s">
        <v>2151</v>
      </c>
    </row>
    <row r="195" customFormat="false" ht="14.25" hidden="false" customHeight="false" outlineLevel="0" collapsed="false">
      <c r="A195" s="0" t="n">
        <v>194</v>
      </c>
      <c r="B195" s="0" t="s">
        <v>2152</v>
      </c>
    </row>
    <row r="196" customFormat="false" ht="14.25" hidden="false" customHeight="false" outlineLevel="0" collapsed="false">
      <c r="A196" s="0" t="n">
        <v>195</v>
      </c>
      <c r="B196" s="0" t="s">
        <v>2153</v>
      </c>
    </row>
    <row r="197" customFormat="false" ht="14.25" hidden="false" customHeight="false" outlineLevel="0" collapsed="false">
      <c r="A197" s="0" t="n">
        <v>196</v>
      </c>
      <c r="B197" s="0" t="s">
        <v>2154</v>
      </c>
    </row>
    <row r="198" customFormat="false" ht="14.25" hidden="false" customHeight="false" outlineLevel="0" collapsed="false">
      <c r="A198" s="0" t="n">
        <v>197</v>
      </c>
      <c r="B198" s="0" t="s">
        <v>2155</v>
      </c>
    </row>
    <row r="199" customFormat="false" ht="14.25" hidden="false" customHeight="false" outlineLevel="0" collapsed="false">
      <c r="A199" s="0" t="n">
        <v>198</v>
      </c>
      <c r="B199" s="0" t="s">
        <v>2156</v>
      </c>
    </row>
    <row r="200" customFormat="false" ht="14.25" hidden="false" customHeight="false" outlineLevel="0" collapsed="false">
      <c r="A200" s="0" t="n">
        <v>199</v>
      </c>
      <c r="B200" s="0" t="s">
        <v>2157</v>
      </c>
    </row>
    <row r="201" customFormat="false" ht="14.25" hidden="false" customHeight="false" outlineLevel="0" collapsed="false">
      <c r="A201" s="0" t="n">
        <v>200</v>
      </c>
      <c r="B201" s="0" t="s">
        <v>2158</v>
      </c>
    </row>
    <row r="202" customFormat="false" ht="14.25" hidden="false" customHeight="false" outlineLevel="0" collapsed="false">
      <c r="A202" s="0" t="n">
        <v>201</v>
      </c>
      <c r="B202" s="0" t="s">
        <v>2159</v>
      </c>
    </row>
    <row r="203" customFormat="false" ht="14.25" hidden="false" customHeight="false" outlineLevel="0" collapsed="false">
      <c r="A203" s="0" t="n">
        <v>202</v>
      </c>
      <c r="B203" s="0" t="s">
        <v>2160</v>
      </c>
    </row>
    <row r="204" customFormat="false" ht="14.25" hidden="false" customHeight="false" outlineLevel="0" collapsed="false">
      <c r="A204" s="0" t="n">
        <v>203</v>
      </c>
      <c r="B204" s="0" t="s">
        <v>2161</v>
      </c>
    </row>
    <row r="205" customFormat="false" ht="14.25" hidden="false" customHeight="false" outlineLevel="0" collapsed="false">
      <c r="A205" s="0" t="n">
        <v>204</v>
      </c>
      <c r="B205" s="0" t="s">
        <v>2162</v>
      </c>
    </row>
    <row r="206" customFormat="false" ht="14.25" hidden="false" customHeight="false" outlineLevel="0" collapsed="false">
      <c r="A206" s="0" t="n">
        <v>205</v>
      </c>
      <c r="B206" s="0" t="s">
        <v>2163</v>
      </c>
    </row>
    <row r="207" customFormat="false" ht="14.25" hidden="false" customHeight="false" outlineLevel="0" collapsed="false">
      <c r="A207" s="0" t="n">
        <v>206</v>
      </c>
      <c r="B207" s="0" t="s">
        <v>2164</v>
      </c>
    </row>
    <row r="208" customFormat="false" ht="14.25" hidden="false" customHeight="false" outlineLevel="0" collapsed="false">
      <c r="A208" s="0" t="n">
        <v>207</v>
      </c>
      <c r="B208" s="0" t="s">
        <v>2165</v>
      </c>
    </row>
    <row r="209" customFormat="false" ht="14.25" hidden="false" customHeight="false" outlineLevel="0" collapsed="false">
      <c r="A209" s="0" t="n">
        <v>208</v>
      </c>
      <c r="B209" s="0" t="s">
        <v>2166</v>
      </c>
    </row>
    <row r="210" customFormat="false" ht="14.25" hidden="false" customHeight="false" outlineLevel="0" collapsed="false">
      <c r="A210" s="0" t="n">
        <v>209</v>
      </c>
      <c r="B210" s="0" t="s">
        <v>2167</v>
      </c>
    </row>
    <row r="211" customFormat="false" ht="14.25" hidden="false" customHeight="false" outlineLevel="0" collapsed="false">
      <c r="A211" s="0" t="n">
        <v>210</v>
      </c>
      <c r="B211" s="0" t="s">
        <v>2168</v>
      </c>
    </row>
    <row r="212" customFormat="false" ht="14.25" hidden="false" customHeight="false" outlineLevel="0" collapsed="false">
      <c r="A212" s="0" t="n">
        <v>211</v>
      </c>
      <c r="B212" s="0" t="s">
        <v>2169</v>
      </c>
    </row>
    <row r="213" customFormat="false" ht="14.25" hidden="false" customHeight="false" outlineLevel="0" collapsed="false">
      <c r="A213" s="0" t="n">
        <v>212</v>
      </c>
      <c r="B213" s="0" t="s">
        <v>2170</v>
      </c>
    </row>
    <row r="214" customFormat="false" ht="14.25" hidden="false" customHeight="false" outlineLevel="0" collapsed="false">
      <c r="A214" s="0" t="n">
        <v>213</v>
      </c>
      <c r="B214" s="0" t="s">
        <v>2171</v>
      </c>
    </row>
    <row r="215" customFormat="false" ht="14.25" hidden="false" customHeight="false" outlineLevel="0" collapsed="false">
      <c r="A215" s="0" t="n">
        <v>214</v>
      </c>
      <c r="B215" s="0" t="s">
        <v>2172</v>
      </c>
    </row>
    <row r="216" customFormat="false" ht="14.25" hidden="false" customHeight="false" outlineLevel="0" collapsed="false">
      <c r="A216" s="0" t="n">
        <v>215</v>
      </c>
      <c r="B216" s="0" t="s">
        <v>2173</v>
      </c>
    </row>
    <row r="217" customFormat="false" ht="14.25" hidden="false" customHeight="false" outlineLevel="0" collapsed="false">
      <c r="A217" s="0" t="n">
        <v>216</v>
      </c>
      <c r="B217" s="0" t="s">
        <v>2174</v>
      </c>
    </row>
    <row r="218" customFormat="false" ht="14.25" hidden="false" customHeight="false" outlineLevel="0" collapsed="false">
      <c r="A218" s="0" t="n">
        <v>217</v>
      </c>
      <c r="B218" s="0" t="s">
        <v>2175</v>
      </c>
    </row>
    <row r="219" customFormat="false" ht="14.25" hidden="false" customHeight="false" outlineLevel="0" collapsed="false">
      <c r="A219" s="0" t="n">
        <v>218</v>
      </c>
      <c r="B219" s="0" t="s">
        <v>2176</v>
      </c>
    </row>
    <row r="220" customFormat="false" ht="14.25" hidden="false" customHeight="false" outlineLevel="0" collapsed="false">
      <c r="A220" s="0" t="n">
        <v>219</v>
      </c>
      <c r="B220" s="0" t="s">
        <v>2177</v>
      </c>
    </row>
    <row r="221" customFormat="false" ht="14.25" hidden="false" customHeight="false" outlineLevel="0" collapsed="false">
      <c r="A221" s="0" t="n">
        <v>220</v>
      </c>
      <c r="B221" s="0" t="s">
        <v>2178</v>
      </c>
    </row>
    <row r="222" customFormat="false" ht="14.25" hidden="false" customHeight="false" outlineLevel="0" collapsed="false">
      <c r="A222" s="0" t="n">
        <v>221</v>
      </c>
      <c r="B222" s="0" t="s">
        <v>2179</v>
      </c>
    </row>
    <row r="223" customFormat="false" ht="14.25" hidden="false" customHeight="false" outlineLevel="0" collapsed="false">
      <c r="A223" s="0" t="n">
        <v>222</v>
      </c>
      <c r="B223" s="0" t="s">
        <v>2180</v>
      </c>
    </row>
    <row r="224" customFormat="false" ht="14.25" hidden="false" customHeight="false" outlineLevel="0" collapsed="false">
      <c r="A224" s="0" t="n">
        <v>223</v>
      </c>
      <c r="B224" s="0" t="s">
        <v>2181</v>
      </c>
    </row>
    <row r="225" customFormat="false" ht="14.25" hidden="false" customHeight="false" outlineLevel="0" collapsed="false">
      <c r="A225" s="0" t="n">
        <v>224</v>
      </c>
      <c r="B225" s="0" t="s">
        <v>2182</v>
      </c>
    </row>
    <row r="226" customFormat="false" ht="14.25" hidden="false" customHeight="false" outlineLevel="0" collapsed="false">
      <c r="A226" s="0" t="n">
        <v>225</v>
      </c>
      <c r="B226" s="0" t="s">
        <v>2183</v>
      </c>
    </row>
    <row r="227" customFormat="false" ht="14.25" hidden="false" customHeight="false" outlineLevel="0" collapsed="false">
      <c r="A227" s="0" t="n">
        <v>226</v>
      </c>
      <c r="B227" s="0" t="s">
        <v>2184</v>
      </c>
    </row>
    <row r="228" customFormat="false" ht="14.25" hidden="false" customHeight="false" outlineLevel="0" collapsed="false">
      <c r="A228" s="0" t="n">
        <v>227</v>
      </c>
      <c r="B228" s="0" t="s">
        <v>2185</v>
      </c>
    </row>
    <row r="229" customFormat="false" ht="14.25" hidden="false" customHeight="false" outlineLevel="0" collapsed="false">
      <c r="A229" s="0" t="n">
        <v>228</v>
      </c>
      <c r="B229" s="0" t="s">
        <v>2186</v>
      </c>
    </row>
    <row r="230" customFormat="false" ht="14.25" hidden="false" customHeight="false" outlineLevel="0" collapsed="false">
      <c r="A230" s="0" t="n">
        <v>229</v>
      </c>
      <c r="B230" s="0" t="s">
        <v>2187</v>
      </c>
    </row>
    <row r="231" customFormat="false" ht="14.25" hidden="false" customHeight="false" outlineLevel="0" collapsed="false">
      <c r="A231" s="0" t="n">
        <v>230</v>
      </c>
      <c r="B231" s="0" t="s">
        <v>2188</v>
      </c>
    </row>
    <row r="232" customFormat="false" ht="14.25" hidden="false" customHeight="false" outlineLevel="0" collapsed="false">
      <c r="A232" s="0" t="n">
        <v>231</v>
      </c>
      <c r="B232" s="0" t="s">
        <v>2189</v>
      </c>
    </row>
    <row r="233" customFormat="false" ht="14.25" hidden="false" customHeight="false" outlineLevel="0" collapsed="false">
      <c r="A233" s="0" t="n">
        <v>232</v>
      </c>
      <c r="B233" s="0" t="s">
        <v>2190</v>
      </c>
    </row>
    <row r="234" customFormat="false" ht="14.25" hidden="false" customHeight="false" outlineLevel="0" collapsed="false">
      <c r="A234" s="0" t="n">
        <v>233</v>
      </c>
      <c r="B234" s="0" t="s">
        <v>2191</v>
      </c>
    </row>
    <row r="235" customFormat="false" ht="14.25" hidden="false" customHeight="false" outlineLevel="0" collapsed="false">
      <c r="A235" s="0" t="n">
        <v>234</v>
      </c>
      <c r="B235" s="0" t="s">
        <v>2192</v>
      </c>
    </row>
    <row r="236" customFormat="false" ht="14.25" hidden="false" customHeight="false" outlineLevel="0" collapsed="false">
      <c r="A236" s="0" t="n">
        <v>235</v>
      </c>
      <c r="B236" s="0" t="s">
        <v>2193</v>
      </c>
    </row>
    <row r="237" customFormat="false" ht="14.25" hidden="false" customHeight="false" outlineLevel="0" collapsed="false">
      <c r="A237" s="0" t="n">
        <v>236</v>
      </c>
      <c r="B237" s="0" t="s">
        <v>2194</v>
      </c>
    </row>
    <row r="238" customFormat="false" ht="14.25" hidden="false" customHeight="false" outlineLevel="0" collapsed="false">
      <c r="A238" s="0" t="n">
        <v>237</v>
      </c>
      <c r="B238" s="0" t="s">
        <v>2195</v>
      </c>
    </row>
    <row r="239" customFormat="false" ht="14.25" hidden="false" customHeight="false" outlineLevel="0" collapsed="false">
      <c r="A239" s="0" t="n">
        <v>238</v>
      </c>
      <c r="B239" s="0" t="s">
        <v>2196</v>
      </c>
    </row>
    <row r="240" customFormat="false" ht="14.25" hidden="false" customHeight="false" outlineLevel="0" collapsed="false">
      <c r="A240" s="0" t="n">
        <v>239</v>
      </c>
      <c r="B240" s="0" t="s">
        <v>2197</v>
      </c>
    </row>
    <row r="241" customFormat="false" ht="14.25" hidden="false" customHeight="false" outlineLevel="0" collapsed="false">
      <c r="A241" s="0" t="n">
        <v>240</v>
      </c>
      <c r="B241" s="0" t="s">
        <v>2198</v>
      </c>
    </row>
    <row r="242" customFormat="false" ht="14.25" hidden="false" customHeight="false" outlineLevel="0" collapsed="false">
      <c r="A242" s="0" t="n">
        <v>241</v>
      </c>
      <c r="B242" s="0" t="s">
        <v>2199</v>
      </c>
    </row>
    <row r="243" customFormat="false" ht="14.25" hidden="false" customHeight="false" outlineLevel="0" collapsed="false">
      <c r="A243" s="0" t="n">
        <v>242</v>
      </c>
      <c r="B243" s="0" t="s">
        <v>2200</v>
      </c>
    </row>
    <row r="244" customFormat="false" ht="14.25" hidden="false" customHeight="false" outlineLevel="0" collapsed="false">
      <c r="A244" s="0" t="n">
        <v>243</v>
      </c>
      <c r="B244" s="0" t="s">
        <v>2201</v>
      </c>
    </row>
    <row r="245" customFormat="false" ht="14.25" hidden="false" customHeight="false" outlineLevel="0" collapsed="false">
      <c r="A245" s="0" t="n">
        <v>244</v>
      </c>
      <c r="B245" s="0" t="s">
        <v>2202</v>
      </c>
    </row>
    <row r="246" customFormat="false" ht="14.25" hidden="false" customHeight="false" outlineLevel="0" collapsed="false">
      <c r="A246" s="0" t="n">
        <v>245</v>
      </c>
      <c r="B246" s="0" t="s">
        <v>2203</v>
      </c>
    </row>
    <row r="247" customFormat="false" ht="14.25" hidden="false" customHeight="false" outlineLevel="0" collapsed="false">
      <c r="A247" s="0" t="n">
        <v>246</v>
      </c>
      <c r="B247" s="0" t="s">
        <v>2204</v>
      </c>
    </row>
    <row r="248" customFormat="false" ht="14.25" hidden="false" customHeight="false" outlineLevel="0" collapsed="false">
      <c r="A248" s="0" t="n">
        <v>247</v>
      </c>
      <c r="B248" s="0" t="s">
        <v>2205</v>
      </c>
    </row>
    <row r="249" customFormat="false" ht="14.25" hidden="false" customHeight="false" outlineLevel="0" collapsed="false">
      <c r="A249" s="0" t="n">
        <v>248</v>
      </c>
      <c r="B249" s="0" t="s">
        <v>2206</v>
      </c>
    </row>
    <row r="250" customFormat="false" ht="14.25" hidden="false" customHeight="false" outlineLevel="0" collapsed="false">
      <c r="A250" s="0" t="n">
        <v>249</v>
      </c>
      <c r="B250" s="0" t="s">
        <v>2207</v>
      </c>
    </row>
    <row r="251" customFormat="false" ht="14.25" hidden="false" customHeight="false" outlineLevel="0" collapsed="false">
      <c r="A251" s="0" t="n">
        <v>250</v>
      </c>
      <c r="B251" s="0" t="s">
        <v>2208</v>
      </c>
    </row>
    <row r="252" customFormat="false" ht="14.25" hidden="false" customHeight="false" outlineLevel="0" collapsed="false">
      <c r="A252" s="0" t="n">
        <v>251</v>
      </c>
      <c r="B252" s="0" t="s">
        <v>2209</v>
      </c>
    </row>
    <row r="253" customFormat="false" ht="14.25" hidden="false" customHeight="false" outlineLevel="0" collapsed="false">
      <c r="A253" s="0" t="n">
        <v>252</v>
      </c>
      <c r="B253" s="0" t="s">
        <v>2210</v>
      </c>
    </row>
    <row r="254" customFormat="false" ht="14.25" hidden="false" customHeight="false" outlineLevel="0" collapsed="false">
      <c r="A254" s="0" t="n">
        <v>253</v>
      </c>
      <c r="B254" s="0" t="s">
        <v>2211</v>
      </c>
    </row>
    <row r="255" customFormat="false" ht="14.25" hidden="false" customHeight="false" outlineLevel="0" collapsed="false">
      <c r="A255" s="0" t="n">
        <v>254</v>
      </c>
      <c r="B255" s="0" t="s">
        <v>2212</v>
      </c>
    </row>
    <row r="256" customFormat="false" ht="14.25" hidden="false" customHeight="false" outlineLevel="0" collapsed="false">
      <c r="A256" s="0" t="n">
        <v>255</v>
      </c>
      <c r="B256" s="0" t="s">
        <v>2213</v>
      </c>
    </row>
    <row r="257" customFormat="false" ht="14.25" hidden="false" customHeight="false" outlineLevel="0" collapsed="false">
      <c r="A257" s="0" t="n">
        <v>256</v>
      </c>
      <c r="B257" s="0" t="s">
        <v>2214</v>
      </c>
    </row>
    <row r="258" customFormat="false" ht="14.25" hidden="false" customHeight="false" outlineLevel="0" collapsed="false">
      <c r="A258" s="0" t="n">
        <v>257</v>
      </c>
      <c r="B258" s="0" t="s">
        <v>2215</v>
      </c>
    </row>
    <row r="259" customFormat="false" ht="14.25" hidden="false" customHeight="false" outlineLevel="0" collapsed="false">
      <c r="A259" s="0" t="n">
        <v>258</v>
      </c>
      <c r="B259" s="0" t="s">
        <v>2216</v>
      </c>
    </row>
    <row r="260" customFormat="false" ht="14.25" hidden="false" customHeight="false" outlineLevel="0" collapsed="false">
      <c r="A260" s="0" t="n">
        <v>259</v>
      </c>
      <c r="B260" s="0" t="s">
        <v>2217</v>
      </c>
    </row>
    <row r="261" customFormat="false" ht="14.25" hidden="false" customHeight="false" outlineLevel="0" collapsed="false">
      <c r="A261" s="0" t="n">
        <v>260</v>
      </c>
      <c r="B261" s="0" t="s">
        <v>2218</v>
      </c>
    </row>
    <row r="262" customFormat="false" ht="14.25" hidden="false" customHeight="false" outlineLevel="0" collapsed="false">
      <c r="A262" s="0" t="n">
        <v>261</v>
      </c>
      <c r="B262" s="0" t="s">
        <v>2219</v>
      </c>
    </row>
    <row r="263" customFormat="false" ht="14.25" hidden="false" customHeight="false" outlineLevel="0" collapsed="false">
      <c r="A263" s="0" t="n">
        <v>262</v>
      </c>
      <c r="B263" s="0" t="s">
        <v>2220</v>
      </c>
    </row>
    <row r="264" customFormat="false" ht="14.25" hidden="false" customHeight="false" outlineLevel="0" collapsed="false">
      <c r="A264" s="0" t="n">
        <v>263</v>
      </c>
      <c r="B264" s="0" t="s">
        <v>2221</v>
      </c>
    </row>
    <row r="265" customFormat="false" ht="14.25" hidden="false" customHeight="false" outlineLevel="0" collapsed="false">
      <c r="A265" s="0" t="n">
        <v>264</v>
      </c>
      <c r="B265" s="0" t="s">
        <v>2222</v>
      </c>
    </row>
    <row r="266" customFormat="false" ht="14.25" hidden="false" customHeight="false" outlineLevel="0" collapsed="false">
      <c r="A266" s="0" t="n">
        <v>265</v>
      </c>
      <c r="B266" s="0" t="s">
        <v>2223</v>
      </c>
    </row>
    <row r="267" customFormat="false" ht="14.25" hidden="false" customHeight="false" outlineLevel="0" collapsed="false">
      <c r="A267" s="0" t="n">
        <v>266</v>
      </c>
      <c r="B267" s="0" t="s">
        <v>2224</v>
      </c>
    </row>
    <row r="268" customFormat="false" ht="14.25" hidden="false" customHeight="false" outlineLevel="0" collapsed="false">
      <c r="A268" s="0" t="n">
        <v>267</v>
      </c>
      <c r="B268" s="0" t="s">
        <v>2225</v>
      </c>
    </row>
    <row r="269" customFormat="false" ht="14.25" hidden="false" customHeight="false" outlineLevel="0" collapsed="false">
      <c r="A269" s="0" t="n">
        <v>268</v>
      </c>
      <c r="B269" s="0" t="s">
        <v>2226</v>
      </c>
    </row>
    <row r="270" customFormat="false" ht="14.25" hidden="false" customHeight="false" outlineLevel="0" collapsed="false">
      <c r="A270" s="0" t="n">
        <v>269</v>
      </c>
      <c r="B270" s="0" t="s">
        <v>2227</v>
      </c>
    </row>
    <row r="271" customFormat="false" ht="14.25" hidden="false" customHeight="false" outlineLevel="0" collapsed="false">
      <c r="A271" s="0" t="n">
        <v>270</v>
      </c>
      <c r="B271" s="0" t="s">
        <v>2228</v>
      </c>
    </row>
    <row r="272" customFormat="false" ht="14.25" hidden="false" customHeight="false" outlineLevel="0" collapsed="false">
      <c r="A272" s="0" t="n">
        <v>271</v>
      </c>
      <c r="B272" s="0" t="s">
        <v>2229</v>
      </c>
    </row>
    <row r="273" customFormat="false" ht="14.25" hidden="false" customHeight="false" outlineLevel="0" collapsed="false">
      <c r="A273" s="0" t="n">
        <v>272</v>
      </c>
      <c r="B273" s="0" t="s">
        <v>2230</v>
      </c>
    </row>
    <row r="274" customFormat="false" ht="14.25" hidden="false" customHeight="false" outlineLevel="0" collapsed="false">
      <c r="A274" s="0" t="n">
        <v>273</v>
      </c>
      <c r="B274" s="0" t="s">
        <v>2231</v>
      </c>
    </row>
    <row r="275" customFormat="false" ht="14.25" hidden="false" customHeight="false" outlineLevel="0" collapsed="false">
      <c r="A275" s="0" t="n">
        <v>274</v>
      </c>
      <c r="B275" s="0" t="s">
        <v>2232</v>
      </c>
    </row>
    <row r="276" customFormat="false" ht="14.25" hidden="false" customHeight="false" outlineLevel="0" collapsed="false">
      <c r="A276" s="0" t="n">
        <v>275</v>
      </c>
      <c r="B276" s="0" t="s">
        <v>2233</v>
      </c>
    </row>
    <row r="277" customFormat="false" ht="14.25" hidden="false" customHeight="false" outlineLevel="0" collapsed="false">
      <c r="A277" s="0" t="n">
        <v>276</v>
      </c>
      <c r="B277" s="0" t="s">
        <v>2234</v>
      </c>
    </row>
    <row r="278" customFormat="false" ht="14.25" hidden="false" customHeight="false" outlineLevel="0" collapsed="false">
      <c r="A278" s="0" t="n">
        <v>277</v>
      </c>
      <c r="B278" s="0" t="s">
        <v>2235</v>
      </c>
    </row>
    <row r="279" customFormat="false" ht="14.25" hidden="false" customHeight="false" outlineLevel="0" collapsed="false">
      <c r="A279" s="0" t="n">
        <v>278</v>
      </c>
      <c r="B279" s="0" t="s">
        <v>2236</v>
      </c>
    </row>
    <row r="280" customFormat="false" ht="14.25" hidden="false" customHeight="false" outlineLevel="0" collapsed="false">
      <c r="A280" s="0" t="n">
        <v>279</v>
      </c>
      <c r="B280" s="0" t="s">
        <v>2237</v>
      </c>
    </row>
    <row r="281" customFormat="false" ht="14.25" hidden="false" customHeight="false" outlineLevel="0" collapsed="false">
      <c r="A281" s="0" t="n">
        <v>280</v>
      </c>
      <c r="B281" s="0" t="s">
        <v>2238</v>
      </c>
    </row>
    <row r="282" customFormat="false" ht="14.25" hidden="false" customHeight="false" outlineLevel="0" collapsed="false">
      <c r="A282" s="0" t="n">
        <v>281</v>
      </c>
      <c r="B282" s="0" t="s">
        <v>2239</v>
      </c>
    </row>
    <row r="283" customFormat="false" ht="14.25" hidden="false" customHeight="false" outlineLevel="0" collapsed="false">
      <c r="A283" s="0" t="n">
        <v>282</v>
      </c>
      <c r="B283" s="0" t="s">
        <v>2240</v>
      </c>
    </row>
    <row r="284" customFormat="false" ht="14.25" hidden="false" customHeight="false" outlineLevel="0" collapsed="false">
      <c r="A284" s="0" t="n">
        <v>283</v>
      </c>
      <c r="B284" s="0" t="s">
        <v>2241</v>
      </c>
    </row>
    <row r="285" customFormat="false" ht="14.25" hidden="false" customHeight="false" outlineLevel="0" collapsed="false">
      <c r="A285" s="0" t="n">
        <v>284</v>
      </c>
      <c r="B285" s="0" t="s">
        <v>2242</v>
      </c>
    </row>
    <row r="286" customFormat="false" ht="14.25" hidden="false" customHeight="false" outlineLevel="0" collapsed="false">
      <c r="A286" s="0" t="n">
        <v>285</v>
      </c>
      <c r="B286" s="0" t="s">
        <v>2243</v>
      </c>
    </row>
    <row r="287" customFormat="false" ht="14.25" hidden="false" customHeight="false" outlineLevel="0" collapsed="false">
      <c r="A287" s="0" t="n">
        <v>286</v>
      </c>
      <c r="B287" s="0" t="s">
        <v>2244</v>
      </c>
    </row>
    <row r="288" customFormat="false" ht="14.25" hidden="false" customHeight="false" outlineLevel="0" collapsed="false">
      <c r="A288" s="0" t="n">
        <v>287</v>
      </c>
      <c r="B288" s="0" t="s">
        <v>2245</v>
      </c>
    </row>
    <row r="289" customFormat="false" ht="14.25" hidden="false" customHeight="false" outlineLevel="0" collapsed="false">
      <c r="A289" s="0" t="n">
        <v>288</v>
      </c>
      <c r="B289" s="0" t="s">
        <v>2246</v>
      </c>
    </row>
    <row r="290" customFormat="false" ht="14.25" hidden="false" customHeight="false" outlineLevel="0" collapsed="false">
      <c r="A290" s="0" t="n">
        <v>289</v>
      </c>
      <c r="B290" s="0" t="s">
        <v>2247</v>
      </c>
    </row>
    <row r="291" customFormat="false" ht="14.25" hidden="false" customHeight="false" outlineLevel="0" collapsed="false">
      <c r="A291" s="0" t="n">
        <v>290</v>
      </c>
      <c r="B291" s="0" t="s">
        <v>2248</v>
      </c>
    </row>
    <row r="292" customFormat="false" ht="14.25" hidden="false" customHeight="false" outlineLevel="0" collapsed="false">
      <c r="A292" s="0" t="n">
        <v>291</v>
      </c>
      <c r="B292" s="0" t="s">
        <v>2249</v>
      </c>
    </row>
    <row r="293" customFormat="false" ht="14.25" hidden="false" customHeight="false" outlineLevel="0" collapsed="false">
      <c r="A293" s="0" t="n">
        <v>292</v>
      </c>
      <c r="B293" s="0" t="s">
        <v>2250</v>
      </c>
    </row>
    <row r="294" customFormat="false" ht="14.25" hidden="false" customHeight="false" outlineLevel="0" collapsed="false">
      <c r="A294" s="0" t="n">
        <v>293</v>
      </c>
      <c r="B294" s="0" t="s">
        <v>2251</v>
      </c>
    </row>
    <row r="295" customFormat="false" ht="14.25" hidden="false" customHeight="false" outlineLevel="0" collapsed="false">
      <c r="A295" s="0" t="n">
        <v>294</v>
      </c>
      <c r="B295" s="0" t="s">
        <v>2252</v>
      </c>
    </row>
    <row r="296" customFormat="false" ht="14.25" hidden="false" customHeight="false" outlineLevel="0" collapsed="false">
      <c r="A296" s="0" t="n">
        <v>295</v>
      </c>
      <c r="B296" s="0" t="s">
        <v>2253</v>
      </c>
    </row>
    <row r="297" customFormat="false" ht="14.25" hidden="false" customHeight="false" outlineLevel="0" collapsed="false">
      <c r="A297" s="0" t="n">
        <v>296</v>
      </c>
      <c r="B297" s="0" t="s">
        <v>2254</v>
      </c>
    </row>
    <row r="298" customFormat="false" ht="14.25" hidden="false" customHeight="false" outlineLevel="0" collapsed="false">
      <c r="A298" s="0" t="n">
        <v>297</v>
      </c>
      <c r="B298" s="0" t="s">
        <v>2255</v>
      </c>
    </row>
    <row r="299" customFormat="false" ht="14.25" hidden="false" customHeight="false" outlineLevel="0" collapsed="false">
      <c r="A299" s="0" t="n">
        <v>298</v>
      </c>
      <c r="B299" s="0" t="s">
        <v>2256</v>
      </c>
    </row>
    <row r="300" customFormat="false" ht="14.25" hidden="false" customHeight="false" outlineLevel="0" collapsed="false">
      <c r="A300" s="0" t="n">
        <v>299</v>
      </c>
      <c r="B300" s="0" t="s">
        <v>2257</v>
      </c>
    </row>
    <row r="301" customFormat="false" ht="14.25" hidden="false" customHeight="false" outlineLevel="0" collapsed="false">
      <c r="A301" s="0" t="n">
        <v>300</v>
      </c>
      <c r="B301" s="0" t="s">
        <v>2258</v>
      </c>
    </row>
    <row r="302" customFormat="false" ht="14.25" hidden="false" customHeight="false" outlineLevel="0" collapsed="false">
      <c r="A302" s="0" t="n">
        <v>301</v>
      </c>
      <c r="B302" s="0" t="s">
        <v>2259</v>
      </c>
    </row>
    <row r="303" customFormat="false" ht="14.25" hidden="false" customHeight="false" outlineLevel="0" collapsed="false">
      <c r="A303" s="0" t="n">
        <v>302</v>
      </c>
      <c r="B303" s="0" t="s">
        <v>2260</v>
      </c>
    </row>
    <row r="304" customFormat="false" ht="14.25" hidden="false" customHeight="false" outlineLevel="0" collapsed="false">
      <c r="A304" s="0" t="n">
        <v>303</v>
      </c>
      <c r="B304" s="0" t="s">
        <v>2261</v>
      </c>
    </row>
    <row r="305" customFormat="false" ht="14.25" hidden="false" customHeight="false" outlineLevel="0" collapsed="false">
      <c r="A305" s="0" t="n">
        <v>304</v>
      </c>
      <c r="B305" s="0" t="s">
        <v>2262</v>
      </c>
    </row>
    <row r="306" customFormat="false" ht="14.25" hidden="false" customHeight="false" outlineLevel="0" collapsed="false">
      <c r="A306" s="0" t="n">
        <v>305</v>
      </c>
      <c r="B306" s="0" t="s">
        <v>2263</v>
      </c>
    </row>
    <row r="307" customFormat="false" ht="14.25" hidden="false" customHeight="false" outlineLevel="0" collapsed="false">
      <c r="A307" s="0" t="n">
        <v>306</v>
      </c>
      <c r="B307" s="0" t="s">
        <v>2264</v>
      </c>
    </row>
    <row r="308" customFormat="false" ht="14.25" hidden="false" customHeight="false" outlineLevel="0" collapsed="false">
      <c r="A308" s="0" t="n">
        <v>307</v>
      </c>
      <c r="B308" s="0" t="s">
        <v>2265</v>
      </c>
    </row>
    <row r="309" customFormat="false" ht="14.25" hidden="false" customHeight="false" outlineLevel="0" collapsed="false">
      <c r="A309" s="0" t="n">
        <v>308</v>
      </c>
      <c r="B309" s="0" t="s">
        <v>2266</v>
      </c>
    </row>
    <row r="310" customFormat="false" ht="14.25" hidden="false" customHeight="false" outlineLevel="0" collapsed="false">
      <c r="A310" s="0" t="n">
        <v>309</v>
      </c>
      <c r="B310" s="0" t="s">
        <v>2267</v>
      </c>
    </row>
    <row r="311" customFormat="false" ht="14.25" hidden="false" customHeight="false" outlineLevel="0" collapsed="false">
      <c r="A311" s="0" t="n">
        <v>310</v>
      </c>
      <c r="B311" s="0" t="s">
        <v>2268</v>
      </c>
    </row>
    <row r="312" customFormat="false" ht="14.25" hidden="false" customHeight="false" outlineLevel="0" collapsed="false">
      <c r="A312" s="0" t="n">
        <v>311</v>
      </c>
      <c r="B312" s="0" t="s">
        <v>2269</v>
      </c>
    </row>
    <row r="313" customFormat="false" ht="14.25" hidden="false" customHeight="false" outlineLevel="0" collapsed="false">
      <c r="A313" s="0" t="n">
        <v>312</v>
      </c>
      <c r="B313" s="0" t="s">
        <v>2270</v>
      </c>
    </row>
    <row r="314" customFormat="false" ht="14.25" hidden="false" customHeight="false" outlineLevel="0" collapsed="false">
      <c r="A314" s="0" t="n">
        <v>313</v>
      </c>
      <c r="B314" s="0" t="s">
        <v>2271</v>
      </c>
    </row>
    <row r="315" customFormat="false" ht="14.25" hidden="false" customHeight="false" outlineLevel="0" collapsed="false">
      <c r="A315" s="0" t="n">
        <v>314</v>
      </c>
      <c r="B315" s="0" t="s">
        <v>2272</v>
      </c>
    </row>
    <row r="316" customFormat="false" ht="14.25" hidden="false" customHeight="false" outlineLevel="0" collapsed="false">
      <c r="A316" s="0" t="n">
        <v>315</v>
      </c>
      <c r="B316" s="0" t="s">
        <v>2273</v>
      </c>
    </row>
    <row r="317" customFormat="false" ht="14.25" hidden="false" customHeight="false" outlineLevel="0" collapsed="false">
      <c r="A317" s="0" t="n">
        <v>316</v>
      </c>
      <c r="B317" s="0" t="s">
        <v>2274</v>
      </c>
    </row>
    <row r="318" customFormat="false" ht="14.25" hidden="false" customHeight="false" outlineLevel="0" collapsed="false">
      <c r="A318" s="0" t="n">
        <v>317</v>
      </c>
      <c r="B318" s="0" t="s">
        <v>2275</v>
      </c>
    </row>
    <row r="319" customFormat="false" ht="14.25" hidden="false" customHeight="false" outlineLevel="0" collapsed="false">
      <c r="A319" s="0" t="n">
        <v>318</v>
      </c>
      <c r="B319" s="0" t="s">
        <v>2276</v>
      </c>
    </row>
    <row r="320" customFormat="false" ht="14.25" hidden="false" customHeight="false" outlineLevel="0" collapsed="false">
      <c r="A320" s="0" t="n">
        <v>319</v>
      </c>
      <c r="B320" s="0" t="s">
        <v>2277</v>
      </c>
    </row>
    <row r="321" customFormat="false" ht="14.25" hidden="false" customHeight="false" outlineLevel="0" collapsed="false">
      <c r="A321" s="0" t="n">
        <v>320</v>
      </c>
      <c r="B321" s="0" t="s">
        <v>2278</v>
      </c>
    </row>
    <row r="322" customFormat="false" ht="14.25" hidden="false" customHeight="false" outlineLevel="0" collapsed="false">
      <c r="A322" s="0" t="n">
        <v>321</v>
      </c>
      <c r="B322" s="0" t="s">
        <v>2279</v>
      </c>
    </row>
    <row r="323" customFormat="false" ht="14.25" hidden="false" customHeight="false" outlineLevel="0" collapsed="false">
      <c r="A323" s="0" t="n">
        <v>322</v>
      </c>
      <c r="B323" s="0" t="s">
        <v>2280</v>
      </c>
    </row>
    <row r="324" customFormat="false" ht="14.25" hidden="false" customHeight="false" outlineLevel="0" collapsed="false">
      <c r="A324" s="0" t="n">
        <v>323</v>
      </c>
      <c r="B324" s="0" t="s">
        <v>2281</v>
      </c>
    </row>
    <row r="325" customFormat="false" ht="14.25" hidden="false" customHeight="false" outlineLevel="0" collapsed="false">
      <c r="A325" s="0" t="n">
        <v>324</v>
      </c>
      <c r="B325" s="0" t="s">
        <v>2282</v>
      </c>
    </row>
    <row r="326" customFormat="false" ht="14.25" hidden="false" customHeight="false" outlineLevel="0" collapsed="false">
      <c r="A326" s="0" t="n">
        <v>325</v>
      </c>
      <c r="B326" s="0" t="s">
        <v>2283</v>
      </c>
    </row>
    <row r="327" customFormat="false" ht="14.25" hidden="false" customHeight="false" outlineLevel="0" collapsed="false">
      <c r="A327" s="0" t="n">
        <v>326</v>
      </c>
      <c r="B327" s="0" t="s">
        <v>2284</v>
      </c>
    </row>
    <row r="328" customFormat="false" ht="14.25" hidden="false" customHeight="false" outlineLevel="0" collapsed="false">
      <c r="A328" s="0" t="n">
        <v>327</v>
      </c>
      <c r="B328" s="0" t="s">
        <v>2285</v>
      </c>
    </row>
    <row r="329" customFormat="false" ht="14.25" hidden="false" customHeight="false" outlineLevel="0" collapsed="false">
      <c r="A329" s="0" t="n">
        <v>328</v>
      </c>
      <c r="B329" s="0" t="s">
        <v>2286</v>
      </c>
    </row>
    <row r="330" customFormat="false" ht="14.25" hidden="false" customHeight="false" outlineLevel="0" collapsed="false">
      <c r="A330" s="0" t="n">
        <v>329</v>
      </c>
      <c r="B330" s="0" t="s">
        <v>2287</v>
      </c>
    </row>
    <row r="331" customFormat="false" ht="14.25" hidden="false" customHeight="false" outlineLevel="0" collapsed="false">
      <c r="A331" s="0" t="n">
        <v>330</v>
      </c>
      <c r="B331" s="0" t="s">
        <v>2288</v>
      </c>
    </row>
    <row r="332" customFormat="false" ht="14.25" hidden="false" customHeight="false" outlineLevel="0" collapsed="false">
      <c r="A332" s="0" t="n">
        <v>331</v>
      </c>
      <c r="B332" s="0" t="s">
        <v>2289</v>
      </c>
    </row>
    <row r="333" customFormat="false" ht="14.25" hidden="false" customHeight="false" outlineLevel="0" collapsed="false">
      <c r="A333" s="0" t="n">
        <v>332</v>
      </c>
      <c r="B333" s="0" t="s">
        <v>2290</v>
      </c>
    </row>
    <row r="334" customFormat="false" ht="14.25" hidden="false" customHeight="false" outlineLevel="0" collapsed="false">
      <c r="A334" s="0" t="n">
        <v>333</v>
      </c>
      <c r="B334" s="0" t="s">
        <v>2291</v>
      </c>
    </row>
    <row r="335" customFormat="false" ht="14.25" hidden="false" customHeight="false" outlineLevel="0" collapsed="false">
      <c r="A335" s="0" t="n">
        <v>334</v>
      </c>
      <c r="B335" s="0" t="s">
        <v>2292</v>
      </c>
    </row>
    <row r="336" customFormat="false" ht="14.25" hidden="false" customHeight="false" outlineLevel="0" collapsed="false">
      <c r="A336" s="0" t="n">
        <v>335</v>
      </c>
      <c r="B336" s="0" t="s">
        <v>2293</v>
      </c>
    </row>
    <row r="337" customFormat="false" ht="14.25" hidden="false" customHeight="false" outlineLevel="0" collapsed="false">
      <c r="A337" s="0" t="n">
        <v>336</v>
      </c>
      <c r="B337" s="0" t="s">
        <v>2294</v>
      </c>
    </row>
    <row r="338" customFormat="false" ht="14.25" hidden="false" customHeight="false" outlineLevel="0" collapsed="false">
      <c r="A338" s="0" t="n">
        <v>337</v>
      </c>
      <c r="B338" s="0" t="s">
        <v>2295</v>
      </c>
    </row>
    <row r="339" customFormat="false" ht="14.25" hidden="false" customHeight="false" outlineLevel="0" collapsed="false">
      <c r="A339" s="0" t="n">
        <v>338</v>
      </c>
      <c r="B339" s="0" t="s">
        <v>2296</v>
      </c>
    </row>
    <row r="340" customFormat="false" ht="14.25" hidden="false" customHeight="false" outlineLevel="0" collapsed="false">
      <c r="A340" s="0" t="n">
        <v>339</v>
      </c>
      <c r="B340" s="0" t="s">
        <v>2297</v>
      </c>
    </row>
    <row r="341" customFormat="false" ht="14.25" hidden="false" customHeight="false" outlineLevel="0" collapsed="false">
      <c r="A341" s="0" t="n">
        <v>340</v>
      </c>
      <c r="B341" s="0" t="s">
        <v>2298</v>
      </c>
    </row>
    <row r="342" customFormat="false" ht="14.25" hidden="false" customHeight="false" outlineLevel="0" collapsed="false">
      <c r="A342" s="0" t="n">
        <v>341</v>
      </c>
      <c r="B342" s="0" t="s">
        <v>2299</v>
      </c>
    </row>
    <row r="343" customFormat="false" ht="14.25" hidden="false" customHeight="false" outlineLevel="0" collapsed="false">
      <c r="A343" s="0" t="n">
        <v>342</v>
      </c>
      <c r="B343" s="0" t="s">
        <v>2300</v>
      </c>
    </row>
    <row r="344" customFormat="false" ht="14.25" hidden="false" customHeight="false" outlineLevel="0" collapsed="false">
      <c r="A344" s="0" t="n">
        <v>343</v>
      </c>
      <c r="B344" s="0" t="s">
        <v>2301</v>
      </c>
    </row>
    <row r="345" customFormat="false" ht="14.25" hidden="false" customHeight="false" outlineLevel="0" collapsed="false">
      <c r="A345" s="0" t="n">
        <v>344</v>
      </c>
      <c r="B345" s="0" t="s">
        <v>2302</v>
      </c>
    </row>
    <row r="346" customFormat="false" ht="14.25" hidden="false" customHeight="false" outlineLevel="0" collapsed="false">
      <c r="A346" s="0" t="n">
        <v>345</v>
      </c>
      <c r="B346" s="0" t="s">
        <v>2303</v>
      </c>
    </row>
    <row r="347" customFormat="false" ht="14.25" hidden="false" customHeight="false" outlineLevel="0" collapsed="false">
      <c r="A347" s="0" t="n">
        <v>346</v>
      </c>
      <c r="B347" s="0" t="s">
        <v>2304</v>
      </c>
    </row>
    <row r="348" customFormat="false" ht="14.25" hidden="false" customHeight="false" outlineLevel="0" collapsed="false">
      <c r="A348" s="0" t="n">
        <v>347</v>
      </c>
      <c r="B348" s="0" t="s">
        <v>2305</v>
      </c>
    </row>
    <row r="349" customFormat="false" ht="14.25" hidden="false" customHeight="false" outlineLevel="0" collapsed="false">
      <c r="A349" s="0" t="n">
        <v>348</v>
      </c>
      <c r="B349" s="0" t="s">
        <v>2306</v>
      </c>
    </row>
    <row r="350" customFormat="false" ht="14.25" hidden="false" customHeight="false" outlineLevel="0" collapsed="false">
      <c r="A350" s="0" t="n">
        <v>349</v>
      </c>
      <c r="B350" s="0" t="s">
        <v>2307</v>
      </c>
    </row>
    <row r="351" customFormat="false" ht="14.25" hidden="false" customHeight="false" outlineLevel="0" collapsed="false">
      <c r="A351" s="0" t="n">
        <v>350</v>
      </c>
      <c r="B351" s="0" t="s">
        <v>2308</v>
      </c>
    </row>
    <row r="352" customFormat="false" ht="14.25" hidden="false" customHeight="false" outlineLevel="0" collapsed="false">
      <c r="A352" s="0" t="n">
        <v>351</v>
      </c>
      <c r="B352" s="0" t="s">
        <v>2309</v>
      </c>
    </row>
    <row r="353" customFormat="false" ht="14.25" hidden="false" customHeight="false" outlineLevel="0" collapsed="false">
      <c r="A353" s="0" t="n">
        <v>352</v>
      </c>
      <c r="B353" s="0" t="s">
        <v>2310</v>
      </c>
    </row>
    <row r="354" customFormat="false" ht="14.25" hidden="false" customHeight="false" outlineLevel="0" collapsed="false">
      <c r="A354" s="0" t="n">
        <v>353</v>
      </c>
      <c r="B354" s="0" t="s">
        <v>2311</v>
      </c>
    </row>
    <row r="355" customFormat="false" ht="14.25" hidden="false" customHeight="false" outlineLevel="0" collapsed="false">
      <c r="A355" s="0" t="n">
        <v>354</v>
      </c>
      <c r="B355" s="0" t="s">
        <v>2312</v>
      </c>
    </row>
    <row r="356" customFormat="false" ht="14.25" hidden="false" customHeight="false" outlineLevel="0" collapsed="false">
      <c r="A356" s="0" t="n">
        <v>355</v>
      </c>
      <c r="B356" s="0" t="s">
        <v>2313</v>
      </c>
    </row>
    <row r="357" customFormat="false" ht="14.25" hidden="false" customHeight="false" outlineLevel="0" collapsed="false">
      <c r="A357" s="0" t="n">
        <v>356</v>
      </c>
      <c r="B357" s="0" t="s">
        <v>2314</v>
      </c>
    </row>
    <row r="358" customFormat="false" ht="14.25" hidden="false" customHeight="false" outlineLevel="0" collapsed="false">
      <c r="A358" s="0" t="n">
        <v>357</v>
      </c>
      <c r="B358" s="0" t="s">
        <v>2315</v>
      </c>
    </row>
    <row r="359" customFormat="false" ht="14.25" hidden="false" customHeight="false" outlineLevel="0" collapsed="false">
      <c r="A359" s="0" t="n">
        <v>358</v>
      </c>
      <c r="B359" s="0" t="s">
        <v>2316</v>
      </c>
    </row>
    <row r="360" customFormat="false" ht="14.25" hidden="false" customHeight="false" outlineLevel="0" collapsed="false">
      <c r="A360" s="0" t="n">
        <v>359</v>
      </c>
      <c r="B360" s="0" t="s">
        <v>2317</v>
      </c>
    </row>
    <row r="361" customFormat="false" ht="14.25" hidden="false" customHeight="false" outlineLevel="0" collapsed="false">
      <c r="A361" s="0" t="n">
        <v>360</v>
      </c>
      <c r="B361" s="0" t="s">
        <v>2318</v>
      </c>
    </row>
    <row r="362" customFormat="false" ht="14.25" hidden="false" customHeight="false" outlineLevel="0" collapsed="false">
      <c r="A362" s="0" t="n">
        <v>361</v>
      </c>
      <c r="B362" s="0" t="s">
        <v>2319</v>
      </c>
    </row>
    <row r="363" customFormat="false" ht="14.25" hidden="false" customHeight="false" outlineLevel="0" collapsed="false">
      <c r="A363" s="0" t="n">
        <v>362</v>
      </c>
      <c r="B363" s="0" t="s">
        <v>2320</v>
      </c>
    </row>
    <row r="364" customFormat="false" ht="14.25" hidden="false" customHeight="false" outlineLevel="0" collapsed="false">
      <c r="A364" s="0" t="n">
        <v>363</v>
      </c>
      <c r="B364" s="0" t="s">
        <v>2321</v>
      </c>
    </row>
    <row r="365" customFormat="false" ht="14.25" hidden="false" customHeight="false" outlineLevel="0" collapsed="false">
      <c r="A365" s="0" t="n">
        <v>364</v>
      </c>
      <c r="B365" s="0" t="s">
        <v>2322</v>
      </c>
    </row>
    <row r="366" customFormat="false" ht="14.25" hidden="false" customHeight="false" outlineLevel="0" collapsed="false">
      <c r="A366" s="0" t="n">
        <v>365</v>
      </c>
      <c r="B366" s="0" t="s">
        <v>2323</v>
      </c>
    </row>
    <row r="367" customFormat="false" ht="14.25" hidden="false" customHeight="false" outlineLevel="0" collapsed="false">
      <c r="A367" s="0" t="n">
        <v>366</v>
      </c>
      <c r="B367" s="0" t="s">
        <v>2324</v>
      </c>
    </row>
    <row r="368" customFormat="false" ht="14.25" hidden="false" customHeight="false" outlineLevel="0" collapsed="false">
      <c r="A368" s="0" t="n">
        <v>367</v>
      </c>
      <c r="B368" s="0" t="s">
        <v>2325</v>
      </c>
    </row>
    <row r="369" customFormat="false" ht="14.25" hidden="false" customHeight="false" outlineLevel="0" collapsed="false">
      <c r="A369" s="0" t="n">
        <v>368</v>
      </c>
      <c r="B369" s="0" t="s">
        <v>2326</v>
      </c>
    </row>
    <row r="370" customFormat="false" ht="14.25" hidden="false" customHeight="false" outlineLevel="0" collapsed="false">
      <c r="A370" s="0" t="n">
        <v>369</v>
      </c>
      <c r="B370" s="0" t="s">
        <v>2327</v>
      </c>
    </row>
    <row r="371" customFormat="false" ht="14.25" hidden="false" customHeight="false" outlineLevel="0" collapsed="false">
      <c r="A371" s="0" t="n">
        <v>370</v>
      </c>
      <c r="B371" s="0" t="s">
        <v>2328</v>
      </c>
    </row>
    <row r="372" customFormat="false" ht="14.25" hidden="false" customHeight="false" outlineLevel="0" collapsed="false">
      <c r="A372" s="0" t="n">
        <v>371</v>
      </c>
      <c r="B372" s="0" t="s">
        <v>2329</v>
      </c>
    </row>
    <row r="373" customFormat="false" ht="14.25" hidden="false" customHeight="false" outlineLevel="0" collapsed="false">
      <c r="A373" s="0" t="n">
        <v>372</v>
      </c>
      <c r="B373" s="0" t="s">
        <v>2330</v>
      </c>
    </row>
    <row r="374" customFormat="false" ht="14.25" hidden="false" customHeight="false" outlineLevel="0" collapsed="false">
      <c r="A374" s="0" t="n">
        <v>373</v>
      </c>
      <c r="B374" s="0" t="s">
        <v>2331</v>
      </c>
    </row>
    <row r="375" customFormat="false" ht="14.25" hidden="false" customHeight="false" outlineLevel="0" collapsed="false">
      <c r="A375" s="0" t="n">
        <v>374</v>
      </c>
      <c r="B375" s="0" t="s">
        <v>2332</v>
      </c>
    </row>
    <row r="376" customFormat="false" ht="14.25" hidden="false" customHeight="false" outlineLevel="0" collapsed="false">
      <c r="A376" s="0" t="n">
        <v>375</v>
      </c>
      <c r="B376" s="0" t="s">
        <v>2333</v>
      </c>
    </row>
    <row r="377" customFormat="false" ht="14.25" hidden="false" customHeight="false" outlineLevel="0" collapsed="false">
      <c r="A377" s="0" t="n">
        <v>376</v>
      </c>
      <c r="B377" s="0" t="s">
        <v>2334</v>
      </c>
    </row>
    <row r="378" customFormat="false" ht="14.25" hidden="false" customHeight="false" outlineLevel="0" collapsed="false">
      <c r="A378" s="0" t="n">
        <v>377</v>
      </c>
      <c r="B378" s="0" t="s">
        <v>2335</v>
      </c>
    </row>
    <row r="379" customFormat="false" ht="14.25" hidden="false" customHeight="false" outlineLevel="0" collapsed="false">
      <c r="A379" s="0" t="n">
        <v>378</v>
      </c>
      <c r="B379" s="0" t="s">
        <v>114</v>
      </c>
    </row>
    <row r="380" customFormat="false" ht="14.25" hidden="false" customHeight="false" outlineLevel="0" collapsed="false">
      <c r="A380" s="0" t="n">
        <v>379</v>
      </c>
      <c r="B380" s="0" t="s">
        <v>2336</v>
      </c>
    </row>
    <row r="381" customFormat="false" ht="14.25" hidden="false" customHeight="false" outlineLevel="0" collapsed="false">
      <c r="A381" s="0" t="n">
        <v>380</v>
      </c>
      <c r="B381" s="0" t="s">
        <v>2337</v>
      </c>
    </row>
    <row r="382" customFormat="false" ht="14.25" hidden="false" customHeight="false" outlineLevel="0" collapsed="false">
      <c r="A382" s="0" t="n">
        <v>381</v>
      </c>
      <c r="B382" s="0" t="s">
        <v>2338</v>
      </c>
    </row>
    <row r="383" customFormat="false" ht="14.25" hidden="false" customHeight="false" outlineLevel="0" collapsed="false">
      <c r="A383" s="0" t="n">
        <v>382</v>
      </c>
      <c r="B383" s="0" t="s">
        <v>2339</v>
      </c>
    </row>
    <row r="384" customFormat="false" ht="14.25" hidden="false" customHeight="false" outlineLevel="0" collapsed="false">
      <c r="A384" s="0" t="n">
        <v>383</v>
      </c>
      <c r="B384" s="0" t="s">
        <v>2340</v>
      </c>
    </row>
    <row r="385" customFormat="false" ht="14.25" hidden="false" customHeight="false" outlineLevel="0" collapsed="false">
      <c r="A385" s="0" t="n">
        <v>384</v>
      </c>
      <c r="B385" s="0" t="s">
        <v>2341</v>
      </c>
    </row>
    <row r="386" customFormat="false" ht="14.25" hidden="false" customHeight="false" outlineLevel="0" collapsed="false">
      <c r="A386" s="0" t="n">
        <v>385</v>
      </c>
      <c r="B386" s="0" t="s">
        <v>2342</v>
      </c>
    </row>
    <row r="387" customFormat="false" ht="14.25" hidden="false" customHeight="false" outlineLevel="0" collapsed="false">
      <c r="A387" s="0" t="n">
        <v>386</v>
      </c>
      <c r="B387" s="0" t="s">
        <v>2343</v>
      </c>
    </row>
    <row r="388" customFormat="false" ht="14.25" hidden="false" customHeight="false" outlineLevel="0" collapsed="false">
      <c r="A388" s="0" t="n">
        <v>387</v>
      </c>
      <c r="B388" s="0" t="s">
        <v>2344</v>
      </c>
    </row>
    <row r="389" customFormat="false" ht="14.25" hidden="false" customHeight="false" outlineLevel="0" collapsed="false">
      <c r="A389" s="0" t="n">
        <v>388</v>
      </c>
      <c r="B389" s="0" t="s">
        <v>2345</v>
      </c>
    </row>
    <row r="390" customFormat="false" ht="14.25" hidden="false" customHeight="false" outlineLevel="0" collapsed="false">
      <c r="A390" s="0" t="n">
        <v>389</v>
      </c>
      <c r="B390" s="0" t="s">
        <v>2346</v>
      </c>
    </row>
    <row r="391" customFormat="false" ht="14.25" hidden="false" customHeight="false" outlineLevel="0" collapsed="false">
      <c r="A391" s="0" t="n">
        <v>390</v>
      </c>
      <c r="B391" s="0" t="s">
        <v>2347</v>
      </c>
    </row>
    <row r="392" customFormat="false" ht="14.25" hidden="false" customHeight="false" outlineLevel="0" collapsed="false">
      <c r="A392" s="0" t="n">
        <v>391</v>
      </c>
      <c r="B392" s="0" t="s">
        <v>2348</v>
      </c>
    </row>
    <row r="393" customFormat="false" ht="14.25" hidden="false" customHeight="false" outlineLevel="0" collapsed="false">
      <c r="A393" s="0" t="n">
        <v>392</v>
      </c>
      <c r="B393" s="0" t="s">
        <v>2349</v>
      </c>
    </row>
    <row r="394" customFormat="false" ht="14.25" hidden="false" customHeight="false" outlineLevel="0" collapsed="false">
      <c r="A394" s="0" t="n">
        <v>393</v>
      </c>
      <c r="B394" s="0" t="s">
        <v>2350</v>
      </c>
    </row>
    <row r="395" customFormat="false" ht="14.25" hidden="false" customHeight="false" outlineLevel="0" collapsed="false">
      <c r="A395" s="0" t="n">
        <v>394</v>
      </c>
      <c r="B395" s="0" t="s">
        <v>2351</v>
      </c>
    </row>
    <row r="396" customFormat="false" ht="14.25" hidden="false" customHeight="false" outlineLevel="0" collapsed="false">
      <c r="A396" s="0" t="n">
        <v>395</v>
      </c>
      <c r="B396" s="0" t="s">
        <v>2352</v>
      </c>
    </row>
    <row r="397" customFormat="false" ht="14.25" hidden="false" customHeight="false" outlineLevel="0" collapsed="false">
      <c r="A397" s="0" t="n">
        <v>396</v>
      </c>
      <c r="B397" s="0" t="s">
        <v>2353</v>
      </c>
    </row>
    <row r="398" customFormat="false" ht="14.25" hidden="false" customHeight="false" outlineLevel="0" collapsed="false">
      <c r="A398" s="0" t="n">
        <v>397</v>
      </c>
      <c r="B398" s="0" t="s">
        <v>2354</v>
      </c>
    </row>
    <row r="399" customFormat="false" ht="14.25" hidden="false" customHeight="false" outlineLevel="0" collapsed="false">
      <c r="A399" s="0" t="n">
        <v>398</v>
      </c>
      <c r="B399" s="0" t="s">
        <v>2355</v>
      </c>
    </row>
    <row r="400" customFormat="false" ht="14.25" hidden="false" customHeight="false" outlineLevel="0" collapsed="false">
      <c r="A400" s="0" t="n">
        <v>399</v>
      </c>
      <c r="B400" s="0" t="s">
        <v>2356</v>
      </c>
    </row>
    <row r="401" customFormat="false" ht="14.25" hidden="false" customHeight="false" outlineLevel="0" collapsed="false">
      <c r="A401" s="0" t="n">
        <v>400</v>
      </c>
      <c r="B401" s="0" t="s">
        <v>2357</v>
      </c>
    </row>
    <row r="402" customFormat="false" ht="14.25" hidden="false" customHeight="false" outlineLevel="0" collapsed="false">
      <c r="A402" s="0" t="n">
        <v>401</v>
      </c>
      <c r="B402" s="0" t="s">
        <v>2358</v>
      </c>
    </row>
    <row r="403" customFormat="false" ht="14.25" hidden="false" customHeight="false" outlineLevel="0" collapsed="false">
      <c r="A403" s="0" t="n">
        <v>402</v>
      </c>
      <c r="B403" s="0" t="s">
        <v>2359</v>
      </c>
    </row>
    <row r="404" customFormat="false" ht="14.25" hidden="false" customHeight="false" outlineLevel="0" collapsed="false">
      <c r="A404" s="0" t="n">
        <v>403</v>
      </c>
      <c r="B404" s="0" t="s">
        <v>2360</v>
      </c>
    </row>
    <row r="405" customFormat="false" ht="14.25" hidden="false" customHeight="false" outlineLevel="0" collapsed="false">
      <c r="A405" s="0" t="n">
        <v>404</v>
      </c>
      <c r="B405" s="0" t="s">
        <v>2361</v>
      </c>
    </row>
    <row r="406" customFormat="false" ht="14.25" hidden="false" customHeight="false" outlineLevel="0" collapsed="false">
      <c r="A406" s="0" t="n">
        <v>405</v>
      </c>
      <c r="B406" s="0" t="s">
        <v>2362</v>
      </c>
    </row>
    <row r="407" customFormat="false" ht="14.25" hidden="false" customHeight="false" outlineLevel="0" collapsed="false">
      <c r="A407" s="0" t="n">
        <v>406</v>
      </c>
      <c r="B407" s="0" t="s">
        <v>2363</v>
      </c>
    </row>
    <row r="408" customFormat="false" ht="14.25" hidden="false" customHeight="false" outlineLevel="0" collapsed="false">
      <c r="A408" s="0" t="n">
        <v>407</v>
      </c>
      <c r="B408" s="0" t="s">
        <v>2364</v>
      </c>
    </row>
    <row r="409" customFormat="false" ht="14.25" hidden="false" customHeight="false" outlineLevel="0" collapsed="false">
      <c r="A409" s="0" t="n">
        <v>408</v>
      </c>
      <c r="B409" s="0" t="s">
        <v>2365</v>
      </c>
    </row>
    <row r="410" customFormat="false" ht="14.25" hidden="false" customHeight="false" outlineLevel="0" collapsed="false">
      <c r="A410" s="0" t="n">
        <v>409</v>
      </c>
      <c r="B410" s="0" t="s">
        <v>2366</v>
      </c>
    </row>
    <row r="411" customFormat="false" ht="14.25" hidden="false" customHeight="false" outlineLevel="0" collapsed="false">
      <c r="A411" s="0" t="n">
        <v>410</v>
      </c>
      <c r="B411" s="0" t="s">
        <v>2367</v>
      </c>
    </row>
    <row r="412" customFormat="false" ht="14.25" hidden="false" customHeight="false" outlineLevel="0" collapsed="false">
      <c r="A412" s="0" t="n">
        <v>411</v>
      </c>
      <c r="B412" s="0" t="s">
        <v>2368</v>
      </c>
    </row>
    <row r="413" customFormat="false" ht="14.25" hidden="false" customHeight="false" outlineLevel="0" collapsed="false">
      <c r="A413" s="0" t="n">
        <v>412</v>
      </c>
      <c r="B413" s="0" t="s">
        <v>2369</v>
      </c>
    </row>
    <row r="414" customFormat="false" ht="14.25" hidden="false" customHeight="false" outlineLevel="0" collapsed="false">
      <c r="A414" s="0" t="n">
        <v>413</v>
      </c>
      <c r="B414" s="0" t="s">
        <v>2370</v>
      </c>
    </row>
    <row r="415" customFormat="false" ht="14.25" hidden="false" customHeight="false" outlineLevel="0" collapsed="false">
      <c r="A415" s="0" t="n">
        <v>414</v>
      </c>
      <c r="B415" s="0" t="s">
        <v>2371</v>
      </c>
    </row>
    <row r="416" customFormat="false" ht="14.25" hidden="false" customHeight="false" outlineLevel="0" collapsed="false">
      <c r="A416" s="0" t="n">
        <v>415</v>
      </c>
      <c r="B416" s="0" t="s">
        <v>2372</v>
      </c>
    </row>
    <row r="417" customFormat="false" ht="14.25" hidden="false" customHeight="false" outlineLevel="0" collapsed="false">
      <c r="A417" s="0" t="n">
        <v>416</v>
      </c>
      <c r="B417" s="0" t="s">
        <v>2373</v>
      </c>
    </row>
    <row r="418" customFormat="false" ht="14.25" hidden="false" customHeight="false" outlineLevel="0" collapsed="false">
      <c r="A418" s="0" t="n">
        <v>417</v>
      </c>
      <c r="B418" s="0" t="s">
        <v>2374</v>
      </c>
    </row>
    <row r="419" customFormat="false" ht="14.25" hidden="false" customHeight="false" outlineLevel="0" collapsed="false">
      <c r="A419" s="0" t="n">
        <v>418</v>
      </c>
      <c r="B419" s="0" t="s">
        <v>2375</v>
      </c>
    </row>
    <row r="420" customFormat="false" ht="14.25" hidden="false" customHeight="false" outlineLevel="0" collapsed="false">
      <c r="A420" s="0" t="n">
        <v>419</v>
      </c>
      <c r="B420" s="0" t="s">
        <v>2376</v>
      </c>
    </row>
    <row r="421" customFormat="false" ht="14.25" hidden="false" customHeight="false" outlineLevel="0" collapsed="false">
      <c r="A421" s="0" t="n">
        <v>420</v>
      </c>
      <c r="B421" s="0" t="s">
        <v>2377</v>
      </c>
    </row>
    <row r="422" customFormat="false" ht="14.25" hidden="false" customHeight="false" outlineLevel="0" collapsed="false">
      <c r="A422" s="0" t="n">
        <v>421</v>
      </c>
      <c r="B422" s="0" t="s">
        <v>2378</v>
      </c>
    </row>
    <row r="423" customFormat="false" ht="14.25" hidden="false" customHeight="false" outlineLevel="0" collapsed="false">
      <c r="A423" s="0" t="n">
        <v>422</v>
      </c>
      <c r="B423" s="0" t="s">
        <v>2379</v>
      </c>
    </row>
    <row r="424" customFormat="false" ht="14.25" hidden="false" customHeight="false" outlineLevel="0" collapsed="false">
      <c r="A424" s="0" t="n">
        <v>423</v>
      </c>
      <c r="B424" s="0" t="s">
        <v>2380</v>
      </c>
    </row>
    <row r="425" customFormat="false" ht="14.25" hidden="false" customHeight="false" outlineLevel="0" collapsed="false">
      <c r="A425" s="0" t="n">
        <v>424</v>
      </c>
      <c r="B425" s="0" t="s">
        <v>2381</v>
      </c>
    </row>
    <row r="426" customFormat="false" ht="14.25" hidden="false" customHeight="false" outlineLevel="0" collapsed="false">
      <c r="A426" s="0" t="n">
        <v>425</v>
      </c>
      <c r="B426" s="0" t="s">
        <v>2382</v>
      </c>
    </row>
    <row r="427" customFormat="false" ht="14.25" hidden="false" customHeight="false" outlineLevel="0" collapsed="false">
      <c r="A427" s="0" t="n">
        <v>426</v>
      </c>
      <c r="B427" s="0" t="s">
        <v>2383</v>
      </c>
    </row>
    <row r="428" customFormat="false" ht="14.25" hidden="false" customHeight="false" outlineLevel="0" collapsed="false">
      <c r="A428" s="0" t="n">
        <v>427</v>
      </c>
      <c r="B428" s="0" t="s">
        <v>2384</v>
      </c>
    </row>
    <row r="429" customFormat="false" ht="14.25" hidden="false" customHeight="false" outlineLevel="0" collapsed="false">
      <c r="A429" s="0" t="n">
        <v>428</v>
      </c>
      <c r="B429" s="0" t="s">
        <v>2385</v>
      </c>
    </row>
    <row r="430" customFormat="false" ht="14.25" hidden="false" customHeight="false" outlineLevel="0" collapsed="false">
      <c r="A430" s="0" t="n">
        <v>429</v>
      </c>
      <c r="B430" s="0" t="s">
        <v>2386</v>
      </c>
    </row>
    <row r="431" customFormat="false" ht="14.25" hidden="false" customHeight="false" outlineLevel="0" collapsed="false">
      <c r="A431" s="0" t="n">
        <v>430</v>
      </c>
      <c r="B431" s="0" t="s">
        <v>2387</v>
      </c>
    </row>
    <row r="432" customFormat="false" ht="14.25" hidden="false" customHeight="false" outlineLevel="0" collapsed="false">
      <c r="A432" s="0" t="n">
        <v>431</v>
      </c>
      <c r="B432" s="0" t="s">
        <v>2388</v>
      </c>
    </row>
    <row r="433" customFormat="false" ht="14.25" hidden="false" customHeight="false" outlineLevel="0" collapsed="false">
      <c r="A433" s="0" t="n">
        <v>432</v>
      </c>
      <c r="B433" s="0" t="s">
        <v>2389</v>
      </c>
    </row>
    <row r="434" customFormat="false" ht="14.25" hidden="false" customHeight="false" outlineLevel="0" collapsed="false">
      <c r="A434" s="0" t="n">
        <v>433</v>
      </c>
      <c r="B434" s="0" t="s">
        <v>2390</v>
      </c>
    </row>
    <row r="435" customFormat="false" ht="14.25" hidden="false" customHeight="false" outlineLevel="0" collapsed="false">
      <c r="A435" s="0" t="n">
        <v>434</v>
      </c>
      <c r="B435" s="0" t="s">
        <v>2391</v>
      </c>
    </row>
    <row r="436" customFormat="false" ht="14.25" hidden="false" customHeight="false" outlineLevel="0" collapsed="false">
      <c r="A436" s="0" t="n">
        <v>435</v>
      </c>
      <c r="B436" s="0" t="s">
        <v>2392</v>
      </c>
    </row>
    <row r="437" customFormat="false" ht="14.25" hidden="false" customHeight="false" outlineLevel="0" collapsed="false">
      <c r="A437" s="0" t="n">
        <v>436</v>
      </c>
      <c r="B437" s="0" t="s">
        <v>2393</v>
      </c>
    </row>
    <row r="438" customFormat="false" ht="14.25" hidden="false" customHeight="false" outlineLevel="0" collapsed="false">
      <c r="A438" s="0" t="n">
        <v>437</v>
      </c>
      <c r="B438" s="0" t="s">
        <v>2394</v>
      </c>
    </row>
    <row r="439" customFormat="false" ht="14.25" hidden="false" customHeight="false" outlineLevel="0" collapsed="false">
      <c r="A439" s="0" t="n">
        <v>438</v>
      </c>
      <c r="B439" s="0" t="s">
        <v>2395</v>
      </c>
    </row>
    <row r="440" customFormat="false" ht="14.25" hidden="false" customHeight="false" outlineLevel="0" collapsed="false">
      <c r="A440" s="0" t="n">
        <v>439</v>
      </c>
      <c r="B440" s="0" t="s">
        <v>2396</v>
      </c>
    </row>
    <row r="441" customFormat="false" ht="14.25" hidden="false" customHeight="false" outlineLevel="0" collapsed="false">
      <c r="A441" s="0" t="n">
        <v>440</v>
      </c>
      <c r="B441" s="0" t="s">
        <v>2397</v>
      </c>
    </row>
    <row r="442" customFormat="false" ht="14.25" hidden="false" customHeight="false" outlineLevel="0" collapsed="false">
      <c r="A442" s="0" t="n">
        <v>441</v>
      </c>
      <c r="B442" s="0" t="s">
        <v>2398</v>
      </c>
    </row>
    <row r="443" customFormat="false" ht="14.25" hidden="false" customHeight="false" outlineLevel="0" collapsed="false">
      <c r="A443" s="0" t="n">
        <v>442</v>
      </c>
      <c r="B443" s="0" t="s">
        <v>2399</v>
      </c>
    </row>
    <row r="444" customFormat="false" ht="14.25" hidden="false" customHeight="false" outlineLevel="0" collapsed="false">
      <c r="A444" s="0" t="n">
        <v>443</v>
      </c>
      <c r="B444" s="0" t="s">
        <v>2400</v>
      </c>
    </row>
    <row r="445" customFormat="false" ht="14.25" hidden="false" customHeight="false" outlineLevel="0" collapsed="false">
      <c r="A445" s="0" t="n">
        <v>444</v>
      </c>
      <c r="B445" s="0" t="s">
        <v>2401</v>
      </c>
    </row>
    <row r="446" customFormat="false" ht="14.25" hidden="false" customHeight="false" outlineLevel="0" collapsed="false">
      <c r="A446" s="0" t="n">
        <v>445</v>
      </c>
      <c r="B446" s="0" t="s">
        <v>2402</v>
      </c>
    </row>
    <row r="447" customFormat="false" ht="14.25" hidden="false" customHeight="false" outlineLevel="0" collapsed="false">
      <c r="A447" s="0" t="n">
        <v>446</v>
      </c>
      <c r="B447" s="0" t="s">
        <v>2403</v>
      </c>
    </row>
    <row r="448" customFormat="false" ht="14.25" hidden="false" customHeight="false" outlineLevel="0" collapsed="false">
      <c r="A448" s="0" t="n">
        <v>447</v>
      </c>
      <c r="B448" s="0" t="s">
        <v>2404</v>
      </c>
    </row>
    <row r="449" customFormat="false" ht="14.25" hidden="false" customHeight="false" outlineLevel="0" collapsed="false">
      <c r="A449" s="0" t="n">
        <v>448</v>
      </c>
      <c r="B449" s="0" t="s">
        <v>2405</v>
      </c>
    </row>
    <row r="450" customFormat="false" ht="14.25" hidden="false" customHeight="false" outlineLevel="0" collapsed="false">
      <c r="A450" s="0" t="n">
        <v>449</v>
      </c>
      <c r="B450" s="0" t="s">
        <v>2406</v>
      </c>
    </row>
    <row r="451" customFormat="false" ht="14.25" hidden="false" customHeight="false" outlineLevel="0" collapsed="false">
      <c r="A451" s="0" t="n">
        <v>450</v>
      </c>
      <c r="B451" s="0" t="s">
        <v>2407</v>
      </c>
    </row>
    <row r="452" customFormat="false" ht="14.25" hidden="false" customHeight="false" outlineLevel="0" collapsed="false">
      <c r="A452" s="0" t="n">
        <v>451</v>
      </c>
      <c r="B452" s="0" t="s">
        <v>2408</v>
      </c>
    </row>
    <row r="453" customFormat="false" ht="14.25" hidden="false" customHeight="false" outlineLevel="0" collapsed="false">
      <c r="A453" s="0" t="n">
        <v>452</v>
      </c>
      <c r="B453" s="0" t="s">
        <v>2409</v>
      </c>
    </row>
    <row r="454" customFormat="false" ht="14.25" hidden="false" customHeight="false" outlineLevel="0" collapsed="false">
      <c r="A454" s="0" t="n">
        <v>453</v>
      </c>
      <c r="B454" s="0" t="s">
        <v>2410</v>
      </c>
    </row>
    <row r="455" customFormat="false" ht="14.25" hidden="false" customHeight="false" outlineLevel="0" collapsed="false">
      <c r="A455" s="0" t="n">
        <v>454</v>
      </c>
      <c r="B455" s="0" t="s">
        <v>2411</v>
      </c>
    </row>
    <row r="456" customFormat="false" ht="14.25" hidden="false" customHeight="false" outlineLevel="0" collapsed="false">
      <c r="A456" s="0" t="n">
        <v>455</v>
      </c>
      <c r="B456" s="0" t="s">
        <v>2412</v>
      </c>
    </row>
    <row r="457" customFormat="false" ht="14.25" hidden="false" customHeight="false" outlineLevel="0" collapsed="false">
      <c r="A457" s="0" t="n">
        <v>456</v>
      </c>
      <c r="B457" s="0" t="s">
        <v>2413</v>
      </c>
    </row>
    <row r="458" customFormat="false" ht="14.25" hidden="false" customHeight="false" outlineLevel="0" collapsed="false">
      <c r="A458" s="0" t="n">
        <v>457</v>
      </c>
      <c r="B458" s="0" t="s">
        <v>2414</v>
      </c>
    </row>
    <row r="459" customFormat="false" ht="14.25" hidden="false" customHeight="false" outlineLevel="0" collapsed="false">
      <c r="A459" s="0" t="n">
        <v>458</v>
      </c>
      <c r="B459" s="0" t="s">
        <v>2415</v>
      </c>
    </row>
    <row r="460" customFormat="false" ht="14.25" hidden="false" customHeight="false" outlineLevel="0" collapsed="false">
      <c r="A460" s="0" t="n">
        <v>459</v>
      </c>
      <c r="B460" s="0" t="s">
        <v>2416</v>
      </c>
    </row>
    <row r="461" customFormat="false" ht="14.25" hidden="false" customHeight="false" outlineLevel="0" collapsed="false">
      <c r="A461" s="0" t="n">
        <v>460</v>
      </c>
      <c r="B461" s="0" t="s">
        <v>2417</v>
      </c>
    </row>
    <row r="462" customFormat="false" ht="14.25" hidden="false" customHeight="false" outlineLevel="0" collapsed="false">
      <c r="A462" s="0" t="n">
        <v>461</v>
      </c>
      <c r="B462" s="0" t="s">
        <v>2418</v>
      </c>
    </row>
    <row r="463" customFormat="false" ht="14.25" hidden="false" customHeight="false" outlineLevel="0" collapsed="false">
      <c r="A463" s="0" t="n">
        <v>462</v>
      </c>
      <c r="B463" s="0" t="s">
        <v>2419</v>
      </c>
    </row>
    <row r="464" customFormat="false" ht="14.25" hidden="false" customHeight="false" outlineLevel="0" collapsed="false">
      <c r="A464" s="0" t="n">
        <v>463</v>
      </c>
      <c r="B464" s="0" t="s">
        <v>2420</v>
      </c>
    </row>
    <row r="465" customFormat="false" ht="14.25" hidden="false" customHeight="false" outlineLevel="0" collapsed="false">
      <c r="A465" s="0" t="n">
        <v>464</v>
      </c>
      <c r="B465" s="0" t="s">
        <v>2421</v>
      </c>
    </row>
    <row r="466" customFormat="false" ht="14.25" hidden="false" customHeight="false" outlineLevel="0" collapsed="false">
      <c r="A466" s="0" t="n">
        <v>465</v>
      </c>
      <c r="B466" s="0" t="s">
        <v>2422</v>
      </c>
    </row>
    <row r="467" customFormat="false" ht="14.25" hidden="false" customHeight="false" outlineLevel="0" collapsed="false">
      <c r="A467" s="0" t="n">
        <v>466</v>
      </c>
      <c r="B467" s="0" t="s">
        <v>2423</v>
      </c>
    </row>
    <row r="468" customFormat="false" ht="14.25" hidden="false" customHeight="false" outlineLevel="0" collapsed="false">
      <c r="A468" s="0" t="n">
        <v>467</v>
      </c>
      <c r="B468" s="0" t="s">
        <v>2424</v>
      </c>
    </row>
    <row r="469" customFormat="false" ht="14.25" hidden="false" customHeight="false" outlineLevel="0" collapsed="false">
      <c r="A469" s="0" t="n">
        <v>468</v>
      </c>
      <c r="B469" s="0" t="s">
        <v>2425</v>
      </c>
    </row>
    <row r="470" customFormat="false" ht="14.25" hidden="false" customHeight="false" outlineLevel="0" collapsed="false">
      <c r="A470" s="0" t="n">
        <v>469</v>
      </c>
      <c r="B470" s="0" t="s">
        <v>2426</v>
      </c>
    </row>
    <row r="471" customFormat="false" ht="14.25" hidden="false" customHeight="false" outlineLevel="0" collapsed="false">
      <c r="A471" s="0" t="n">
        <v>470</v>
      </c>
      <c r="B471" s="0" t="s">
        <v>2427</v>
      </c>
    </row>
    <row r="472" customFormat="false" ht="14.25" hidden="false" customHeight="false" outlineLevel="0" collapsed="false">
      <c r="A472" s="0" t="n">
        <v>471</v>
      </c>
      <c r="B472" s="0" t="s">
        <v>2428</v>
      </c>
    </row>
    <row r="473" customFormat="false" ht="14.25" hidden="false" customHeight="false" outlineLevel="0" collapsed="false">
      <c r="A473" s="0" t="n">
        <v>472</v>
      </c>
      <c r="B473" s="0" t="s">
        <v>2429</v>
      </c>
    </row>
    <row r="474" customFormat="false" ht="14.25" hidden="false" customHeight="false" outlineLevel="0" collapsed="false">
      <c r="A474" s="0" t="n">
        <v>473</v>
      </c>
      <c r="B474" s="0" t="s">
        <v>2430</v>
      </c>
    </row>
    <row r="475" customFormat="false" ht="14.25" hidden="false" customHeight="false" outlineLevel="0" collapsed="false">
      <c r="A475" s="0" t="n">
        <v>474</v>
      </c>
      <c r="B475" s="0" t="s">
        <v>2431</v>
      </c>
    </row>
    <row r="476" customFormat="false" ht="14.25" hidden="false" customHeight="false" outlineLevel="0" collapsed="false">
      <c r="A476" s="0" t="n">
        <v>475</v>
      </c>
      <c r="B476" s="0" t="s">
        <v>2432</v>
      </c>
    </row>
    <row r="477" customFormat="false" ht="14.25" hidden="false" customHeight="false" outlineLevel="0" collapsed="false">
      <c r="A477" s="0" t="n">
        <v>476</v>
      </c>
      <c r="B477" s="0" t="s">
        <v>2433</v>
      </c>
    </row>
    <row r="478" customFormat="false" ht="14.25" hidden="false" customHeight="false" outlineLevel="0" collapsed="false">
      <c r="A478" s="0" t="n">
        <v>477</v>
      </c>
      <c r="B478" s="0" t="s">
        <v>2434</v>
      </c>
    </row>
    <row r="479" customFormat="false" ht="14.25" hidden="false" customHeight="false" outlineLevel="0" collapsed="false">
      <c r="A479" s="0" t="n">
        <v>478</v>
      </c>
      <c r="B479" s="0" t="s">
        <v>2435</v>
      </c>
    </row>
    <row r="480" customFormat="false" ht="14.25" hidden="false" customHeight="false" outlineLevel="0" collapsed="false">
      <c r="A480" s="0" t="n">
        <v>479</v>
      </c>
      <c r="B480" s="0" t="s">
        <v>2436</v>
      </c>
    </row>
    <row r="481" customFormat="false" ht="14.25" hidden="false" customHeight="false" outlineLevel="0" collapsed="false">
      <c r="A481" s="0" t="n">
        <v>480</v>
      </c>
      <c r="B481" s="0" t="s">
        <v>2437</v>
      </c>
    </row>
    <row r="482" customFormat="false" ht="14.25" hidden="false" customHeight="false" outlineLevel="0" collapsed="false">
      <c r="A482" s="0" t="n">
        <v>481</v>
      </c>
      <c r="B482" s="0" t="s">
        <v>2438</v>
      </c>
    </row>
    <row r="483" customFormat="false" ht="14.25" hidden="false" customHeight="false" outlineLevel="0" collapsed="false">
      <c r="A483" s="0" t="n">
        <v>482</v>
      </c>
      <c r="B483" s="0" t="s">
        <v>2439</v>
      </c>
    </row>
    <row r="484" customFormat="false" ht="14.25" hidden="false" customHeight="false" outlineLevel="0" collapsed="false">
      <c r="A484" s="0" t="n">
        <v>483</v>
      </c>
      <c r="B484" s="0" t="s">
        <v>2440</v>
      </c>
    </row>
    <row r="485" customFormat="false" ht="14.25" hidden="false" customHeight="false" outlineLevel="0" collapsed="false">
      <c r="A485" s="0" t="n">
        <v>484</v>
      </c>
      <c r="B485" s="0" t="s">
        <v>2441</v>
      </c>
    </row>
    <row r="486" customFormat="false" ht="14.25" hidden="false" customHeight="false" outlineLevel="0" collapsed="false">
      <c r="A486" s="0" t="n">
        <v>485</v>
      </c>
      <c r="B486" s="0" t="s">
        <v>2442</v>
      </c>
    </row>
    <row r="487" customFormat="false" ht="14.25" hidden="false" customHeight="false" outlineLevel="0" collapsed="false">
      <c r="A487" s="0" t="n">
        <v>486</v>
      </c>
      <c r="B487" s="0" t="s">
        <v>2443</v>
      </c>
    </row>
    <row r="488" customFormat="false" ht="14.25" hidden="false" customHeight="false" outlineLevel="0" collapsed="false">
      <c r="A488" s="0" t="n">
        <v>487</v>
      </c>
      <c r="B488" s="0" t="s">
        <v>2444</v>
      </c>
    </row>
    <row r="489" customFormat="false" ht="14.25" hidden="false" customHeight="false" outlineLevel="0" collapsed="false">
      <c r="A489" s="0" t="n">
        <v>488</v>
      </c>
      <c r="B489" s="0" t="s">
        <v>2445</v>
      </c>
    </row>
    <row r="490" customFormat="false" ht="14.25" hidden="false" customHeight="false" outlineLevel="0" collapsed="false">
      <c r="A490" s="0" t="n">
        <v>489</v>
      </c>
      <c r="B490" s="0" t="s">
        <v>2446</v>
      </c>
    </row>
    <row r="491" customFormat="false" ht="14.25" hidden="false" customHeight="false" outlineLevel="0" collapsed="false">
      <c r="A491" s="0" t="n">
        <v>490</v>
      </c>
      <c r="B491" s="0" t="s">
        <v>2447</v>
      </c>
    </row>
    <row r="492" customFormat="false" ht="14.25" hidden="false" customHeight="false" outlineLevel="0" collapsed="false">
      <c r="A492" s="0" t="n">
        <v>491</v>
      </c>
      <c r="B492" s="0" t="s">
        <v>2448</v>
      </c>
    </row>
    <row r="493" customFormat="false" ht="14.25" hidden="false" customHeight="false" outlineLevel="0" collapsed="false">
      <c r="A493" s="0" t="n">
        <v>492</v>
      </c>
      <c r="B493" s="0" t="s">
        <v>2449</v>
      </c>
    </row>
    <row r="494" customFormat="false" ht="14.25" hidden="false" customHeight="false" outlineLevel="0" collapsed="false">
      <c r="A494" s="0" t="n">
        <v>493</v>
      </c>
      <c r="B494" s="0" t="s">
        <v>2450</v>
      </c>
    </row>
    <row r="495" customFormat="false" ht="14.25" hidden="false" customHeight="false" outlineLevel="0" collapsed="false">
      <c r="A495" s="0" t="n">
        <v>494</v>
      </c>
      <c r="B495" s="0" t="s">
        <v>2451</v>
      </c>
    </row>
    <row r="496" customFormat="false" ht="14.25" hidden="false" customHeight="false" outlineLevel="0" collapsed="false">
      <c r="A496" s="0" t="n">
        <v>495</v>
      </c>
      <c r="B496" s="0" t="s">
        <v>2452</v>
      </c>
    </row>
    <row r="497" customFormat="false" ht="14.25" hidden="false" customHeight="false" outlineLevel="0" collapsed="false">
      <c r="A497" s="0" t="n">
        <v>496</v>
      </c>
      <c r="B497" s="0" t="s">
        <v>2453</v>
      </c>
    </row>
    <row r="498" customFormat="false" ht="14.25" hidden="false" customHeight="false" outlineLevel="0" collapsed="false">
      <c r="A498" s="0" t="n">
        <v>497</v>
      </c>
      <c r="B498" s="0" t="s">
        <v>2454</v>
      </c>
    </row>
    <row r="499" customFormat="false" ht="14.25" hidden="false" customHeight="false" outlineLevel="0" collapsed="false">
      <c r="A499" s="0" t="n">
        <v>498</v>
      </c>
      <c r="B499" s="0" t="s">
        <v>2455</v>
      </c>
    </row>
    <row r="500" customFormat="false" ht="14.25" hidden="false" customHeight="false" outlineLevel="0" collapsed="false">
      <c r="A500" s="0" t="n">
        <v>499</v>
      </c>
      <c r="B500" s="0" t="s">
        <v>2456</v>
      </c>
    </row>
    <row r="501" customFormat="false" ht="14.25" hidden="false" customHeight="false" outlineLevel="0" collapsed="false">
      <c r="A501" s="0" t="n">
        <v>500</v>
      </c>
      <c r="B501" s="0" t="s">
        <v>2457</v>
      </c>
    </row>
    <row r="502" customFormat="false" ht="14.25" hidden="false" customHeight="false" outlineLevel="0" collapsed="false">
      <c r="A502" s="0" t="n">
        <v>501</v>
      </c>
      <c r="B502" s="0" t="s">
        <v>2458</v>
      </c>
    </row>
    <row r="503" customFormat="false" ht="14.25" hidden="false" customHeight="false" outlineLevel="0" collapsed="false">
      <c r="A503" s="0" t="n">
        <v>502</v>
      </c>
      <c r="B503" s="0" t="s">
        <v>2459</v>
      </c>
    </row>
    <row r="504" customFormat="false" ht="14.25" hidden="false" customHeight="false" outlineLevel="0" collapsed="false">
      <c r="A504" s="0" t="n">
        <v>503</v>
      </c>
      <c r="B504" s="0" t="s">
        <v>2460</v>
      </c>
    </row>
    <row r="505" customFormat="false" ht="14.25" hidden="false" customHeight="false" outlineLevel="0" collapsed="false">
      <c r="A505" s="0" t="n">
        <v>504</v>
      </c>
      <c r="B505" s="0" t="s">
        <v>2461</v>
      </c>
    </row>
    <row r="506" customFormat="false" ht="14.25" hidden="false" customHeight="false" outlineLevel="0" collapsed="false">
      <c r="A506" s="0" t="n">
        <v>505</v>
      </c>
      <c r="B506" s="0" t="s">
        <v>2462</v>
      </c>
    </row>
    <row r="507" customFormat="false" ht="14.25" hidden="false" customHeight="false" outlineLevel="0" collapsed="false">
      <c r="A507" s="0" t="n">
        <v>506</v>
      </c>
      <c r="B507" s="0" t="s">
        <v>2463</v>
      </c>
    </row>
    <row r="508" customFormat="false" ht="14.25" hidden="false" customHeight="false" outlineLevel="0" collapsed="false">
      <c r="A508" s="0" t="n">
        <v>507</v>
      </c>
      <c r="B508" s="0" t="s">
        <v>2464</v>
      </c>
    </row>
    <row r="509" customFormat="false" ht="14.25" hidden="false" customHeight="false" outlineLevel="0" collapsed="false">
      <c r="A509" s="0" t="n">
        <v>508</v>
      </c>
      <c r="B509" s="0" t="s">
        <v>2465</v>
      </c>
    </row>
    <row r="510" customFormat="false" ht="14.25" hidden="false" customHeight="false" outlineLevel="0" collapsed="false">
      <c r="A510" s="0" t="n">
        <v>509</v>
      </c>
      <c r="B510" s="0" t="s">
        <v>2466</v>
      </c>
    </row>
    <row r="511" customFormat="false" ht="14.25" hidden="false" customHeight="false" outlineLevel="0" collapsed="false">
      <c r="A511" s="0" t="n">
        <v>510</v>
      </c>
      <c r="B511" s="0" t="s">
        <v>2467</v>
      </c>
    </row>
    <row r="512" customFormat="false" ht="14.25" hidden="false" customHeight="false" outlineLevel="0" collapsed="false">
      <c r="A512" s="0" t="n">
        <v>511</v>
      </c>
      <c r="B512" s="0" t="s">
        <v>2468</v>
      </c>
    </row>
    <row r="513" customFormat="false" ht="14.25" hidden="false" customHeight="false" outlineLevel="0" collapsed="false">
      <c r="A513" s="0" t="n">
        <v>512</v>
      </c>
      <c r="B513" s="0" t="s">
        <v>2469</v>
      </c>
    </row>
    <row r="514" customFormat="false" ht="14.25" hidden="false" customHeight="false" outlineLevel="0" collapsed="false">
      <c r="A514" s="0" t="n">
        <v>513</v>
      </c>
      <c r="B514" s="0" t="s">
        <v>2470</v>
      </c>
    </row>
    <row r="515" customFormat="false" ht="14.25" hidden="false" customHeight="false" outlineLevel="0" collapsed="false">
      <c r="A515" s="0" t="n">
        <v>514</v>
      </c>
      <c r="B515" s="0" t="s">
        <v>2471</v>
      </c>
    </row>
    <row r="516" customFormat="false" ht="14.25" hidden="false" customHeight="false" outlineLevel="0" collapsed="false">
      <c r="A516" s="0" t="n">
        <v>515</v>
      </c>
      <c r="B516" s="0" t="s">
        <v>2472</v>
      </c>
    </row>
    <row r="517" customFormat="false" ht="14.25" hidden="false" customHeight="false" outlineLevel="0" collapsed="false">
      <c r="A517" s="0" t="n">
        <v>516</v>
      </c>
      <c r="B517" s="0" t="s">
        <v>2473</v>
      </c>
    </row>
    <row r="518" customFormat="false" ht="14.25" hidden="false" customHeight="false" outlineLevel="0" collapsed="false">
      <c r="A518" s="0" t="n">
        <v>517</v>
      </c>
      <c r="B518" s="0" t="s">
        <v>2474</v>
      </c>
    </row>
    <row r="519" customFormat="false" ht="14.25" hidden="false" customHeight="false" outlineLevel="0" collapsed="false">
      <c r="A519" s="0" t="n">
        <v>518</v>
      </c>
      <c r="B519" s="0" t="s">
        <v>2475</v>
      </c>
    </row>
    <row r="520" customFormat="false" ht="14.25" hidden="false" customHeight="false" outlineLevel="0" collapsed="false">
      <c r="A520" s="0" t="n">
        <v>519</v>
      </c>
      <c r="B520" s="0" t="s">
        <v>2476</v>
      </c>
    </row>
    <row r="521" customFormat="false" ht="14.25" hidden="false" customHeight="false" outlineLevel="0" collapsed="false">
      <c r="A521" s="0" t="n">
        <v>520</v>
      </c>
      <c r="B521" s="0" t="s">
        <v>2477</v>
      </c>
    </row>
    <row r="522" customFormat="false" ht="14.25" hidden="false" customHeight="false" outlineLevel="0" collapsed="false">
      <c r="A522" s="0" t="n">
        <v>521</v>
      </c>
      <c r="B522" s="0" t="s">
        <v>2478</v>
      </c>
    </row>
    <row r="523" customFormat="false" ht="14.25" hidden="false" customHeight="false" outlineLevel="0" collapsed="false">
      <c r="A523" s="0" t="n">
        <v>522</v>
      </c>
      <c r="B523" s="0" t="s">
        <v>2479</v>
      </c>
    </row>
    <row r="524" customFormat="false" ht="14.25" hidden="false" customHeight="false" outlineLevel="0" collapsed="false">
      <c r="A524" s="0" t="n">
        <v>523</v>
      </c>
      <c r="B524" s="0" t="s">
        <v>2480</v>
      </c>
    </row>
    <row r="525" customFormat="false" ht="14.25" hidden="false" customHeight="false" outlineLevel="0" collapsed="false">
      <c r="A525" s="0" t="n">
        <v>524</v>
      </c>
      <c r="B525" s="0" t="s">
        <v>2481</v>
      </c>
    </row>
    <row r="526" customFormat="false" ht="14.25" hidden="false" customHeight="false" outlineLevel="0" collapsed="false">
      <c r="A526" s="0" t="n">
        <v>525</v>
      </c>
      <c r="B526" s="0" t="s">
        <v>2482</v>
      </c>
    </row>
    <row r="527" customFormat="false" ht="14.25" hidden="false" customHeight="false" outlineLevel="0" collapsed="false">
      <c r="A527" s="0" t="n">
        <v>526</v>
      </c>
      <c r="B527" s="0" t="s">
        <v>2483</v>
      </c>
    </row>
    <row r="528" customFormat="false" ht="14.25" hidden="false" customHeight="false" outlineLevel="0" collapsed="false">
      <c r="A528" s="0" t="n">
        <v>527</v>
      </c>
      <c r="B528" s="0" t="s">
        <v>2484</v>
      </c>
    </row>
    <row r="529" customFormat="false" ht="14.25" hidden="false" customHeight="false" outlineLevel="0" collapsed="false">
      <c r="A529" s="0" t="n">
        <v>528</v>
      </c>
      <c r="B529" s="0" t="s">
        <v>2485</v>
      </c>
    </row>
    <row r="530" customFormat="false" ht="14.25" hidden="false" customHeight="false" outlineLevel="0" collapsed="false">
      <c r="A530" s="0" t="n">
        <v>529</v>
      </c>
      <c r="B530" s="0" t="s">
        <v>2486</v>
      </c>
    </row>
    <row r="531" customFormat="false" ht="14.25" hidden="false" customHeight="false" outlineLevel="0" collapsed="false">
      <c r="A531" s="0" t="n">
        <v>530</v>
      </c>
      <c r="B531" s="0" t="s">
        <v>2487</v>
      </c>
    </row>
    <row r="532" customFormat="false" ht="14.25" hidden="false" customHeight="false" outlineLevel="0" collapsed="false">
      <c r="A532" s="0" t="n">
        <v>531</v>
      </c>
      <c r="B532" s="0" t="s">
        <v>2488</v>
      </c>
    </row>
    <row r="533" customFormat="false" ht="14.25" hidden="false" customHeight="false" outlineLevel="0" collapsed="false">
      <c r="A533" s="0" t="n">
        <v>532</v>
      </c>
      <c r="B533" s="0" t="s">
        <v>2489</v>
      </c>
    </row>
    <row r="534" customFormat="false" ht="14.25" hidden="false" customHeight="false" outlineLevel="0" collapsed="false">
      <c r="A534" s="0" t="n">
        <v>533</v>
      </c>
      <c r="B534" s="0" t="s">
        <v>2490</v>
      </c>
    </row>
    <row r="535" customFormat="false" ht="14.25" hidden="false" customHeight="false" outlineLevel="0" collapsed="false">
      <c r="A535" s="0" t="n">
        <v>534</v>
      </c>
      <c r="B535" s="0" t="s">
        <v>2491</v>
      </c>
    </row>
    <row r="536" customFormat="false" ht="14.25" hidden="false" customHeight="false" outlineLevel="0" collapsed="false">
      <c r="A536" s="0" t="n">
        <v>535</v>
      </c>
      <c r="B536" s="0" t="s">
        <v>2492</v>
      </c>
    </row>
    <row r="537" customFormat="false" ht="14.25" hidden="false" customHeight="false" outlineLevel="0" collapsed="false">
      <c r="A537" s="0" t="n">
        <v>536</v>
      </c>
      <c r="B537" s="0" t="s">
        <v>2493</v>
      </c>
    </row>
    <row r="538" customFormat="false" ht="14.25" hidden="false" customHeight="false" outlineLevel="0" collapsed="false">
      <c r="A538" s="0" t="n">
        <v>537</v>
      </c>
      <c r="B538" s="0" t="s">
        <v>2494</v>
      </c>
    </row>
    <row r="539" customFormat="false" ht="14.25" hidden="false" customHeight="false" outlineLevel="0" collapsed="false">
      <c r="A539" s="0" t="n">
        <v>538</v>
      </c>
      <c r="B539" s="0" t="s">
        <v>2495</v>
      </c>
    </row>
    <row r="540" customFormat="false" ht="14.25" hidden="false" customHeight="false" outlineLevel="0" collapsed="false">
      <c r="A540" s="0" t="n">
        <v>539</v>
      </c>
      <c r="B540" s="0" t="s">
        <v>2496</v>
      </c>
    </row>
    <row r="541" customFormat="false" ht="14.25" hidden="false" customHeight="false" outlineLevel="0" collapsed="false">
      <c r="A541" s="0" t="n">
        <v>540</v>
      </c>
      <c r="B541" s="0" t="s">
        <v>2497</v>
      </c>
    </row>
    <row r="542" customFormat="false" ht="14.25" hidden="false" customHeight="false" outlineLevel="0" collapsed="false">
      <c r="A542" s="0" t="n">
        <v>541</v>
      </c>
      <c r="B542" s="0" t="s">
        <v>2498</v>
      </c>
    </row>
    <row r="543" customFormat="false" ht="14.25" hidden="false" customHeight="false" outlineLevel="0" collapsed="false">
      <c r="A543" s="0" t="n">
        <v>542</v>
      </c>
      <c r="B543" s="0" t="s">
        <v>2499</v>
      </c>
    </row>
    <row r="544" customFormat="false" ht="14.25" hidden="false" customHeight="false" outlineLevel="0" collapsed="false">
      <c r="A544" s="0" t="n">
        <v>543</v>
      </c>
      <c r="B544" s="0" t="s">
        <v>2500</v>
      </c>
    </row>
    <row r="545" customFormat="false" ht="14.25" hidden="false" customHeight="false" outlineLevel="0" collapsed="false">
      <c r="A545" s="0" t="n">
        <v>544</v>
      </c>
      <c r="B545" s="0" t="s">
        <v>2501</v>
      </c>
    </row>
    <row r="546" customFormat="false" ht="14.25" hidden="false" customHeight="false" outlineLevel="0" collapsed="false">
      <c r="A546" s="0" t="n">
        <v>545</v>
      </c>
      <c r="B546" s="0" t="s">
        <v>2502</v>
      </c>
    </row>
    <row r="547" customFormat="false" ht="14.25" hidden="false" customHeight="false" outlineLevel="0" collapsed="false">
      <c r="A547" s="0" t="n">
        <v>546</v>
      </c>
      <c r="B547" s="0" t="s">
        <v>2503</v>
      </c>
    </row>
    <row r="548" customFormat="false" ht="14.25" hidden="false" customHeight="false" outlineLevel="0" collapsed="false">
      <c r="A548" s="0" t="n">
        <v>547</v>
      </c>
      <c r="B548" s="0" t="s">
        <v>2504</v>
      </c>
    </row>
    <row r="549" customFormat="false" ht="14.25" hidden="false" customHeight="false" outlineLevel="0" collapsed="false">
      <c r="A549" s="0" t="n">
        <v>548</v>
      </c>
      <c r="B549" s="0" t="s">
        <v>2505</v>
      </c>
    </row>
    <row r="550" customFormat="false" ht="14.25" hidden="false" customHeight="false" outlineLevel="0" collapsed="false">
      <c r="A550" s="0" t="n">
        <v>549</v>
      </c>
      <c r="B550" s="0" t="s">
        <v>2506</v>
      </c>
    </row>
    <row r="551" customFormat="false" ht="14.25" hidden="false" customHeight="false" outlineLevel="0" collapsed="false">
      <c r="A551" s="0" t="n">
        <v>550</v>
      </c>
      <c r="B551" s="0" t="s">
        <v>2507</v>
      </c>
    </row>
    <row r="552" customFormat="false" ht="14.25" hidden="false" customHeight="false" outlineLevel="0" collapsed="false">
      <c r="A552" s="0" t="n">
        <v>551</v>
      </c>
      <c r="B552" s="0" t="s">
        <v>2508</v>
      </c>
    </row>
    <row r="553" customFormat="false" ht="14.25" hidden="false" customHeight="false" outlineLevel="0" collapsed="false">
      <c r="A553" s="0" t="n">
        <v>552</v>
      </c>
      <c r="B553" s="0" t="s">
        <v>2509</v>
      </c>
    </row>
    <row r="554" customFormat="false" ht="14.25" hidden="false" customHeight="false" outlineLevel="0" collapsed="false">
      <c r="A554" s="0" t="n">
        <v>553</v>
      </c>
      <c r="B554" s="0" t="s">
        <v>2510</v>
      </c>
    </row>
    <row r="555" customFormat="false" ht="14.25" hidden="false" customHeight="false" outlineLevel="0" collapsed="false">
      <c r="A555" s="0" t="n">
        <v>554</v>
      </c>
      <c r="B555" s="0" t="s">
        <v>2511</v>
      </c>
    </row>
    <row r="556" customFormat="false" ht="14.25" hidden="false" customHeight="false" outlineLevel="0" collapsed="false">
      <c r="A556" s="0" t="n">
        <v>555</v>
      </c>
      <c r="B556" s="0" t="s">
        <v>2512</v>
      </c>
    </row>
    <row r="557" customFormat="false" ht="14.25" hidden="false" customHeight="false" outlineLevel="0" collapsed="false">
      <c r="A557" s="0" t="n">
        <v>556</v>
      </c>
      <c r="B557" s="0" t="s">
        <v>2513</v>
      </c>
    </row>
    <row r="558" customFormat="false" ht="14.25" hidden="false" customHeight="false" outlineLevel="0" collapsed="false">
      <c r="A558" s="0" t="n">
        <v>557</v>
      </c>
      <c r="B558" s="0" t="s">
        <v>2514</v>
      </c>
    </row>
    <row r="559" customFormat="false" ht="14.25" hidden="false" customHeight="false" outlineLevel="0" collapsed="false">
      <c r="A559" s="0" t="n">
        <v>558</v>
      </c>
      <c r="B559" s="0" t="s">
        <v>2515</v>
      </c>
    </row>
    <row r="560" customFormat="false" ht="14.25" hidden="false" customHeight="false" outlineLevel="0" collapsed="false">
      <c r="A560" s="0" t="n">
        <v>559</v>
      </c>
      <c r="B560" s="0" t="s">
        <v>2516</v>
      </c>
    </row>
    <row r="561" customFormat="false" ht="14.25" hidden="false" customHeight="false" outlineLevel="0" collapsed="false">
      <c r="A561" s="0" t="n">
        <v>560</v>
      </c>
      <c r="B561" s="0" t="s">
        <v>2517</v>
      </c>
    </row>
    <row r="562" customFormat="false" ht="14.25" hidden="false" customHeight="false" outlineLevel="0" collapsed="false">
      <c r="A562" s="0" t="n">
        <v>561</v>
      </c>
      <c r="B562" s="0" t="s">
        <v>2518</v>
      </c>
    </row>
    <row r="563" customFormat="false" ht="14.25" hidden="false" customHeight="false" outlineLevel="0" collapsed="false">
      <c r="A563" s="0" t="n">
        <v>562</v>
      </c>
      <c r="B563" s="0" t="s">
        <v>2519</v>
      </c>
    </row>
    <row r="564" customFormat="false" ht="14.25" hidden="false" customHeight="false" outlineLevel="0" collapsed="false">
      <c r="A564" s="0" t="n">
        <v>563</v>
      </c>
      <c r="B564" s="0" t="s">
        <v>2520</v>
      </c>
    </row>
    <row r="565" customFormat="false" ht="14.25" hidden="false" customHeight="false" outlineLevel="0" collapsed="false">
      <c r="A565" s="0" t="n">
        <v>564</v>
      </c>
      <c r="B565" s="0" t="s">
        <v>2521</v>
      </c>
    </row>
    <row r="566" customFormat="false" ht="14.25" hidden="false" customHeight="false" outlineLevel="0" collapsed="false">
      <c r="A566" s="0" t="n">
        <v>565</v>
      </c>
      <c r="B566" s="0" t="s">
        <v>2522</v>
      </c>
    </row>
    <row r="567" customFormat="false" ht="14.25" hidden="false" customHeight="false" outlineLevel="0" collapsed="false">
      <c r="A567" s="0" t="n">
        <v>566</v>
      </c>
      <c r="B567" s="0" t="s">
        <v>2523</v>
      </c>
    </row>
    <row r="568" customFormat="false" ht="14.25" hidden="false" customHeight="false" outlineLevel="0" collapsed="false">
      <c r="A568" s="0" t="n">
        <v>567</v>
      </c>
      <c r="B568" s="0" t="s">
        <v>2524</v>
      </c>
    </row>
    <row r="569" customFormat="false" ht="14.25" hidden="false" customHeight="false" outlineLevel="0" collapsed="false">
      <c r="A569" s="0" t="n">
        <v>568</v>
      </c>
      <c r="B569" s="0" t="s">
        <v>2525</v>
      </c>
    </row>
    <row r="570" customFormat="false" ht="14.25" hidden="false" customHeight="false" outlineLevel="0" collapsed="false">
      <c r="A570" s="0" t="n">
        <v>569</v>
      </c>
      <c r="B570" s="0" t="s">
        <v>2526</v>
      </c>
    </row>
    <row r="571" customFormat="false" ht="14.25" hidden="false" customHeight="false" outlineLevel="0" collapsed="false">
      <c r="A571" s="0" t="n">
        <v>570</v>
      </c>
      <c r="B571" s="0" t="s">
        <v>2527</v>
      </c>
    </row>
    <row r="572" customFormat="false" ht="14.25" hidden="false" customHeight="false" outlineLevel="0" collapsed="false">
      <c r="A572" s="0" t="n">
        <v>571</v>
      </c>
      <c r="B572" s="0" t="s">
        <v>2528</v>
      </c>
    </row>
    <row r="573" customFormat="false" ht="14.25" hidden="false" customHeight="false" outlineLevel="0" collapsed="false">
      <c r="A573" s="0" t="n">
        <v>572</v>
      </c>
      <c r="B573" s="0" t="s">
        <v>2529</v>
      </c>
    </row>
    <row r="574" customFormat="false" ht="14.25" hidden="false" customHeight="false" outlineLevel="0" collapsed="false">
      <c r="A574" s="0" t="n">
        <v>573</v>
      </c>
      <c r="B574" s="0" t="s">
        <v>2530</v>
      </c>
    </row>
    <row r="575" customFormat="false" ht="14.25" hidden="false" customHeight="false" outlineLevel="0" collapsed="false">
      <c r="A575" s="0" t="n">
        <v>574</v>
      </c>
      <c r="B575" s="0" t="s">
        <v>2531</v>
      </c>
    </row>
    <row r="576" customFormat="false" ht="14.25" hidden="false" customHeight="false" outlineLevel="0" collapsed="false">
      <c r="A576" s="0" t="n">
        <v>575</v>
      </c>
      <c r="B576" s="0" t="s">
        <v>2532</v>
      </c>
    </row>
    <row r="577" customFormat="false" ht="14.25" hidden="false" customHeight="false" outlineLevel="0" collapsed="false">
      <c r="A577" s="0" t="n">
        <v>576</v>
      </c>
      <c r="B577" s="0" t="s">
        <v>2533</v>
      </c>
    </row>
    <row r="578" customFormat="false" ht="14.25" hidden="false" customHeight="false" outlineLevel="0" collapsed="false">
      <c r="A578" s="0" t="n">
        <v>577</v>
      </c>
      <c r="B578" s="0" t="s">
        <v>2534</v>
      </c>
    </row>
    <row r="579" customFormat="false" ht="14.25" hidden="false" customHeight="false" outlineLevel="0" collapsed="false">
      <c r="A579" s="0" t="n">
        <v>578</v>
      </c>
      <c r="B579" s="0" t="s">
        <v>2535</v>
      </c>
    </row>
    <row r="580" customFormat="false" ht="14.25" hidden="false" customHeight="false" outlineLevel="0" collapsed="false">
      <c r="A580" s="0" t="n">
        <v>579</v>
      </c>
      <c r="B580" s="0" t="s">
        <v>2536</v>
      </c>
    </row>
    <row r="581" customFormat="false" ht="14.25" hidden="false" customHeight="false" outlineLevel="0" collapsed="false">
      <c r="A581" s="0" t="n">
        <v>580</v>
      </c>
      <c r="B581" s="0" t="s">
        <v>2537</v>
      </c>
    </row>
    <row r="582" customFormat="false" ht="14.25" hidden="false" customHeight="false" outlineLevel="0" collapsed="false">
      <c r="A582" s="0" t="n">
        <v>581</v>
      </c>
      <c r="B582" s="0" t="s">
        <v>2538</v>
      </c>
    </row>
    <row r="583" customFormat="false" ht="14.25" hidden="false" customHeight="false" outlineLevel="0" collapsed="false">
      <c r="A583" s="0" t="n">
        <v>582</v>
      </c>
      <c r="B583" s="0" t="s">
        <v>2539</v>
      </c>
    </row>
    <row r="584" customFormat="false" ht="14.25" hidden="false" customHeight="false" outlineLevel="0" collapsed="false">
      <c r="A584" s="0" t="n">
        <v>583</v>
      </c>
      <c r="B584" s="0" t="s">
        <v>2540</v>
      </c>
    </row>
    <row r="585" customFormat="false" ht="14.25" hidden="false" customHeight="false" outlineLevel="0" collapsed="false">
      <c r="A585" s="0" t="n">
        <v>584</v>
      </c>
      <c r="B585" s="0" t="s">
        <v>2541</v>
      </c>
    </row>
    <row r="586" customFormat="false" ht="14.25" hidden="false" customHeight="false" outlineLevel="0" collapsed="false">
      <c r="A586" s="0" t="n">
        <v>585</v>
      </c>
      <c r="B586" s="0" t="s">
        <v>2542</v>
      </c>
    </row>
    <row r="587" customFormat="false" ht="14.25" hidden="false" customHeight="false" outlineLevel="0" collapsed="false">
      <c r="A587" s="0" t="n">
        <v>586</v>
      </c>
      <c r="B587" s="0" t="s">
        <v>2543</v>
      </c>
    </row>
    <row r="588" customFormat="false" ht="14.25" hidden="false" customHeight="false" outlineLevel="0" collapsed="false">
      <c r="A588" s="0" t="n">
        <v>587</v>
      </c>
      <c r="B588" s="0" t="s">
        <v>2544</v>
      </c>
    </row>
    <row r="589" customFormat="false" ht="14.25" hidden="false" customHeight="false" outlineLevel="0" collapsed="false">
      <c r="A589" s="0" t="n">
        <v>588</v>
      </c>
      <c r="B589" s="0" t="s">
        <v>2545</v>
      </c>
    </row>
    <row r="590" customFormat="false" ht="14.25" hidden="false" customHeight="false" outlineLevel="0" collapsed="false">
      <c r="A590" s="0" t="n">
        <v>589</v>
      </c>
      <c r="B590" s="0" t="s">
        <v>2546</v>
      </c>
    </row>
    <row r="591" customFormat="false" ht="14.25" hidden="false" customHeight="false" outlineLevel="0" collapsed="false">
      <c r="A591" s="0" t="n">
        <v>590</v>
      </c>
      <c r="B591" s="0" t="s">
        <v>2547</v>
      </c>
    </row>
    <row r="592" customFormat="false" ht="14.25" hidden="false" customHeight="false" outlineLevel="0" collapsed="false">
      <c r="A592" s="0" t="n">
        <v>591</v>
      </c>
      <c r="B592" s="0" t="s">
        <v>2548</v>
      </c>
    </row>
    <row r="593" customFormat="false" ht="14.25" hidden="false" customHeight="false" outlineLevel="0" collapsed="false">
      <c r="A593" s="0" t="n">
        <v>592</v>
      </c>
      <c r="B593" s="0" t="s">
        <v>2549</v>
      </c>
    </row>
    <row r="594" customFormat="false" ht="14.25" hidden="false" customHeight="false" outlineLevel="0" collapsed="false">
      <c r="A594" s="0" t="n">
        <v>593</v>
      </c>
      <c r="B594" s="0" t="s">
        <v>2550</v>
      </c>
    </row>
    <row r="595" customFormat="false" ht="14.25" hidden="false" customHeight="false" outlineLevel="0" collapsed="false">
      <c r="A595" s="0" t="n">
        <v>594</v>
      </c>
      <c r="B595" s="0" t="s">
        <v>2551</v>
      </c>
    </row>
    <row r="596" customFormat="false" ht="14.25" hidden="false" customHeight="false" outlineLevel="0" collapsed="false">
      <c r="A596" s="0" t="n">
        <v>595</v>
      </c>
      <c r="B596" s="0" t="s">
        <v>2552</v>
      </c>
    </row>
    <row r="597" customFormat="false" ht="14.25" hidden="false" customHeight="false" outlineLevel="0" collapsed="false">
      <c r="A597" s="0" t="n">
        <v>596</v>
      </c>
      <c r="B597" s="0" t="s">
        <v>2553</v>
      </c>
    </row>
    <row r="598" customFormat="false" ht="14.25" hidden="false" customHeight="false" outlineLevel="0" collapsed="false">
      <c r="A598" s="0" t="n">
        <v>597</v>
      </c>
      <c r="B598" s="0" t="s">
        <v>2554</v>
      </c>
    </row>
    <row r="599" customFormat="false" ht="14.25" hidden="false" customHeight="false" outlineLevel="0" collapsed="false">
      <c r="A599" s="0" t="n">
        <v>598</v>
      </c>
      <c r="B599" s="0" t="s">
        <v>2555</v>
      </c>
    </row>
    <row r="600" customFormat="false" ht="14.25" hidden="false" customHeight="false" outlineLevel="0" collapsed="false">
      <c r="A600" s="0" t="n">
        <v>599</v>
      </c>
      <c r="B600" s="0" t="s">
        <v>2556</v>
      </c>
    </row>
    <row r="601" customFormat="false" ht="14.25" hidden="false" customHeight="false" outlineLevel="0" collapsed="false">
      <c r="A601" s="0" t="n">
        <v>600</v>
      </c>
      <c r="B601" s="0" t="s">
        <v>2557</v>
      </c>
    </row>
    <row r="602" customFormat="false" ht="14.25" hidden="false" customHeight="false" outlineLevel="0" collapsed="false">
      <c r="A602" s="0" t="n">
        <v>601</v>
      </c>
      <c r="B602" s="0" t="s">
        <v>2558</v>
      </c>
    </row>
    <row r="603" customFormat="false" ht="14.25" hidden="false" customHeight="false" outlineLevel="0" collapsed="false">
      <c r="A603" s="0" t="n">
        <v>602</v>
      </c>
      <c r="B603" s="0" t="s">
        <v>2559</v>
      </c>
    </row>
    <row r="604" customFormat="false" ht="14.25" hidden="false" customHeight="false" outlineLevel="0" collapsed="false">
      <c r="A604" s="0" t="n">
        <v>603</v>
      </c>
      <c r="B604" s="0" t="s">
        <v>2560</v>
      </c>
    </row>
    <row r="605" customFormat="false" ht="14.25" hidden="false" customHeight="false" outlineLevel="0" collapsed="false">
      <c r="A605" s="0" t="n">
        <v>604</v>
      </c>
      <c r="B605" s="0" t="s">
        <v>2561</v>
      </c>
    </row>
    <row r="606" customFormat="false" ht="14.25" hidden="false" customHeight="false" outlineLevel="0" collapsed="false">
      <c r="A606" s="0" t="n">
        <v>605</v>
      </c>
      <c r="B606" s="0" t="s">
        <v>2562</v>
      </c>
    </row>
    <row r="607" customFormat="false" ht="14.25" hidden="false" customHeight="false" outlineLevel="0" collapsed="false">
      <c r="A607" s="0" t="n">
        <v>606</v>
      </c>
      <c r="B607" s="0" t="s">
        <v>2563</v>
      </c>
    </row>
    <row r="608" customFormat="false" ht="14.25" hidden="false" customHeight="false" outlineLevel="0" collapsed="false">
      <c r="A608" s="0" t="n">
        <v>607</v>
      </c>
      <c r="B608" s="0" t="s">
        <v>2564</v>
      </c>
    </row>
    <row r="609" customFormat="false" ht="14.25" hidden="false" customHeight="false" outlineLevel="0" collapsed="false">
      <c r="A609" s="0" t="n">
        <v>608</v>
      </c>
      <c r="B609" s="0" t="s">
        <v>2565</v>
      </c>
    </row>
    <row r="610" customFormat="false" ht="14.25" hidden="false" customHeight="false" outlineLevel="0" collapsed="false">
      <c r="A610" s="0" t="n">
        <v>609</v>
      </c>
      <c r="B610" s="0" t="s">
        <v>2566</v>
      </c>
    </row>
    <row r="611" customFormat="false" ht="14.25" hidden="false" customHeight="false" outlineLevel="0" collapsed="false">
      <c r="A611" s="0" t="n">
        <v>610</v>
      </c>
      <c r="B611" s="0" t="s">
        <v>2567</v>
      </c>
    </row>
    <row r="612" customFormat="false" ht="14.25" hidden="false" customHeight="false" outlineLevel="0" collapsed="false">
      <c r="A612" s="0" t="n">
        <v>611</v>
      </c>
      <c r="B612" s="0" t="s">
        <v>2568</v>
      </c>
    </row>
    <row r="613" customFormat="false" ht="14.25" hidden="false" customHeight="false" outlineLevel="0" collapsed="false">
      <c r="A613" s="0" t="n">
        <v>612</v>
      </c>
      <c r="B613" s="0" t="s">
        <v>2569</v>
      </c>
    </row>
    <row r="614" customFormat="false" ht="14.25" hidden="false" customHeight="false" outlineLevel="0" collapsed="false">
      <c r="A614" s="0" t="n">
        <v>613</v>
      </c>
      <c r="B614" s="0" t="s">
        <v>2570</v>
      </c>
    </row>
    <row r="615" customFormat="false" ht="14.25" hidden="false" customHeight="false" outlineLevel="0" collapsed="false">
      <c r="A615" s="0" t="n">
        <v>614</v>
      </c>
      <c r="B615" s="0" t="s">
        <v>2571</v>
      </c>
    </row>
    <row r="616" customFormat="false" ht="14.25" hidden="false" customHeight="false" outlineLevel="0" collapsed="false">
      <c r="A616" s="0" t="n">
        <v>615</v>
      </c>
      <c r="B616" s="0" t="s">
        <v>2572</v>
      </c>
    </row>
    <row r="617" customFormat="false" ht="14.25" hidden="false" customHeight="false" outlineLevel="0" collapsed="false">
      <c r="A617" s="0" t="n">
        <v>616</v>
      </c>
      <c r="B617" s="0" t="s">
        <v>2573</v>
      </c>
    </row>
    <row r="618" customFormat="false" ht="14.25" hidden="false" customHeight="false" outlineLevel="0" collapsed="false">
      <c r="A618" s="0" t="n">
        <v>617</v>
      </c>
      <c r="B618" s="0" t="s">
        <v>2574</v>
      </c>
    </row>
    <row r="619" customFormat="false" ht="14.25" hidden="false" customHeight="false" outlineLevel="0" collapsed="false">
      <c r="A619" s="0" t="n">
        <v>618</v>
      </c>
      <c r="B619" s="0" t="s">
        <v>2575</v>
      </c>
    </row>
    <row r="620" customFormat="false" ht="14.25" hidden="false" customHeight="false" outlineLevel="0" collapsed="false">
      <c r="A620" s="0" t="n">
        <v>619</v>
      </c>
      <c r="B620" s="0" t="s">
        <v>2576</v>
      </c>
    </row>
    <row r="621" customFormat="false" ht="14.25" hidden="false" customHeight="false" outlineLevel="0" collapsed="false">
      <c r="A621" s="0" t="n">
        <v>620</v>
      </c>
      <c r="B621" s="0" t="s">
        <v>2577</v>
      </c>
    </row>
    <row r="622" customFormat="false" ht="14.25" hidden="false" customHeight="false" outlineLevel="0" collapsed="false">
      <c r="A622" s="0" t="n">
        <v>621</v>
      </c>
      <c r="B622" s="0" t="s">
        <v>2578</v>
      </c>
    </row>
    <row r="623" customFormat="false" ht="14.25" hidden="false" customHeight="false" outlineLevel="0" collapsed="false">
      <c r="A623" s="0" t="n">
        <v>622</v>
      </c>
      <c r="B623" s="0" t="s">
        <v>2579</v>
      </c>
    </row>
    <row r="624" customFormat="false" ht="14.25" hidden="false" customHeight="false" outlineLevel="0" collapsed="false">
      <c r="A624" s="0" t="n">
        <v>623</v>
      </c>
      <c r="B624" s="0" t="s">
        <v>2580</v>
      </c>
    </row>
    <row r="625" customFormat="false" ht="14.25" hidden="false" customHeight="false" outlineLevel="0" collapsed="false">
      <c r="A625" s="0" t="n">
        <v>624</v>
      </c>
      <c r="B625" s="0" t="s">
        <v>2581</v>
      </c>
    </row>
    <row r="626" customFormat="false" ht="14.25" hidden="false" customHeight="false" outlineLevel="0" collapsed="false">
      <c r="A626" s="0" t="n">
        <v>625</v>
      </c>
      <c r="B626" s="0" t="s">
        <v>2582</v>
      </c>
    </row>
    <row r="627" customFormat="false" ht="14.25" hidden="false" customHeight="false" outlineLevel="0" collapsed="false">
      <c r="A627" s="0" t="n">
        <v>626</v>
      </c>
      <c r="B627" s="0" t="s">
        <v>2583</v>
      </c>
    </row>
    <row r="628" customFormat="false" ht="14.25" hidden="false" customHeight="false" outlineLevel="0" collapsed="false">
      <c r="A628" s="0" t="n">
        <v>627</v>
      </c>
      <c r="B628" s="0" t="s">
        <v>2584</v>
      </c>
    </row>
    <row r="629" customFormat="false" ht="14.25" hidden="false" customHeight="false" outlineLevel="0" collapsed="false">
      <c r="A629" s="0" t="n">
        <v>628</v>
      </c>
      <c r="B629" s="0" t="s">
        <v>2585</v>
      </c>
    </row>
    <row r="630" customFormat="false" ht="14.25" hidden="false" customHeight="false" outlineLevel="0" collapsed="false">
      <c r="A630" s="0" t="n">
        <v>629</v>
      </c>
      <c r="B630" s="0" t="s">
        <v>2586</v>
      </c>
    </row>
    <row r="631" customFormat="false" ht="14.25" hidden="false" customHeight="false" outlineLevel="0" collapsed="false">
      <c r="A631" s="0" t="n">
        <v>630</v>
      </c>
      <c r="B631" s="0" t="s">
        <v>2587</v>
      </c>
    </row>
    <row r="632" customFormat="false" ht="14.25" hidden="false" customHeight="false" outlineLevel="0" collapsed="false">
      <c r="A632" s="0" t="n">
        <v>631</v>
      </c>
      <c r="B632" s="0" t="s">
        <v>2588</v>
      </c>
    </row>
    <row r="633" customFormat="false" ht="14.25" hidden="false" customHeight="false" outlineLevel="0" collapsed="false">
      <c r="A633" s="0" t="n">
        <v>632</v>
      </c>
      <c r="B633" s="0" t="s">
        <v>2589</v>
      </c>
    </row>
    <row r="634" customFormat="false" ht="14.25" hidden="false" customHeight="false" outlineLevel="0" collapsed="false">
      <c r="A634" s="0" t="n">
        <v>633</v>
      </c>
      <c r="B634" s="0" t="s">
        <v>2590</v>
      </c>
    </row>
    <row r="635" customFormat="false" ht="14.25" hidden="false" customHeight="false" outlineLevel="0" collapsed="false">
      <c r="A635" s="0" t="n">
        <v>634</v>
      </c>
      <c r="B635" s="0" t="s">
        <v>2591</v>
      </c>
    </row>
    <row r="636" customFormat="false" ht="14.25" hidden="false" customHeight="false" outlineLevel="0" collapsed="false">
      <c r="A636" s="0" t="n">
        <v>635</v>
      </c>
      <c r="B636" s="0" t="s">
        <v>2592</v>
      </c>
    </row>
    <row r="637" customFormat="false" ht="14.25" hidden="false" customHeight="false" outlineLevel="0" collapsed="false">
      <c r="A637" s="0" t="n">
        <v>636</v>
      </c>
      <c r="B637" s="0" t="s">
        <v>2593</v>
      </c>
    </row>
    <row r="638" customFormat="false" ht="14.25" hidden="false" customHeight="false" outlineLevel="0" collapsed="false">
      <c r="A638" s="0" t="n">
        <v>637</v>
      </c>
      <c r="B638" s="0" t="s">
        <v>2594</v>
      </c>
    </row>
    <row r="639" customFormat="false" ht="14.25" hidden="false" customHeight="false" outlineLevel="0" collapsed="false">
      <c r="A639" s="0" t="n">
        <v>638</v>
      </c>
      <c r="B639" s="0" t="s">
        <v>2595</v>
      </c>
    </row>
    <row r="640" customFormat="false" ht="14.25" hidden="false" customHeight="false" outlineLevel="0" collapsed="false">
      <c r="A640" s="0" t="n">
        <v>639</v>
      </c>
      <c r="B640" s="0" t="s">
        <v>2596</v>
      </c>
    </row>
    <row r="641" customFormat="false" ht="14.25" hidden="false" customHeight="false" outlineLevel="0" collapsed="false">
      <c r="A641" s="0" t="n">
        <v>640</v>
      </c>
      <c r="B641" s="0" t="s">
        <v>2597</v>
      </c>
    </row>
    <row r="642" customFormat="false" ht="14.25" hidden="false" customHeight="false" outlineLevel="0" collapsed="false">
      <c r="A642" s="0" t="n">
        <v>641</v>
      </c>
      <c r="B642" s="0" t="s">
        <v>2598</v>
      </c>
    </row>
    <row r="643" customFormat="false" ht="14.25" hidden="false" customHeight="false" outlineLevel="0" collapsed="false">
      <c r="A643" s="0" t="n">
        <v>642</v>
      </c>
      <c r="B643" s="0" t="s">
        <v>2599</v>
      </c>
    </row>
    <row r="644" customFormat="false" ht="14.25" hidden="false" customHeight="false" outlineLevel="0" collapsed="false">
      <c r="A644" s="0" t="n">
        <v>643</v>
      </c>
      <c r="B644" s="0" t="s">
        <v>2600</v>
      </c>
    </row>
    <row r="645" customFormat="false" ht="14.25" hidden="false" customHeight="false" outlineLevel="0" collapsed="false">
      <c r="A645" s="0" t="n">
        <v>644</v>
      </c>
      <c r="B645" s="0" t="s">
        <v>2601</v>
      </c>
    </row>
    <row r="646" customFormat="false" ht="14.25" hidden="false" customHeight="false" outlineLevel="0" collapsed="false">
      <c r="A646" s="0" t="n">
        <v>645</v>
      </c>
      <c r="B646" s="0" t="s">
        <v>2602</v>
      </c>
    </row>
    <row r="647" customFormat="false" ht="14.25" hidden="false" customHeight="false" outlineLevel="0" collapsed="false">
      <c r="A647" s="0" t="n">
        <v>646</v>
      </c>
      <c r="B647" s="0" t="s">
        <v>2603</v>
      </c>
    </row>
    <row r="648" customFormat="false" ht="14.25" hidden="false" customHeight="false" outlineLevel="0" collapsed="false">
      <c r="A648" s="0" t="n">
        <v>647</v>
      </c>
      <c r="B648" s="0" t="s">
        <v>2604</v>
      </c>
    </row>
    <row r="649" customFormat="false" ht="14.25" hidden="false" customHeight="false" outlineLevel="0" collapsed="false">
      <c r="A649" s="0" t="n">
        <v>648</v>
      </c>
      <c r="B649" s="0" t="s">
        <v>2605</v>
      </c>
    </row>
    <row r="650" customFormat="false" ht="14.25" hidden="false" customHeight="false" outlineLevel="0" collapsed="false">
      <c r="A650" s="0" t="n">
        <v>649</v>
      </c>
      <c r="B650" s="0" t="s">
        <v>2606</v>
      </c>
    </row>
    <row r="651" customFormat="false" ht="14.25" hidden="false" customHeight="false" outlineLevel="0" collapsed="false">
      <c r="A651" s="0" t="n">
        <v>650</v>
      </c>
      <c r="B651" s="0" t="s">
        <v>2607</v>
      </c>
    </row>
    <row r="652" customFormat="false" ht="14.25" hidden="false" customHeight="false" outlineLevel="0" collapsed="false">
      <c r="A652" s="0" t="n">
        <v>651</v>
      </c>
      <c r="B652" s="0" t="s">
        <v>2608</v>
      </c>
    </row>
    <row r="653" customFormat="false" ht="14.25" hidden="false" customHeight="false" outlineLevel="0" collapsed="false">
      <c r="A653" s="0" t="n">
        <v>652</v>
      </c>
      <c r="B653" s="0" t="s">
        <v>2609</v>
      </c>
    </row>
    <row r="654" customFormat="false" ht="14.25" hidden="false" customHeight="false" outlineLevel="0" collapsed="false">
      <c r="A654" s="0" t="n">
        <v>653</v>
      </c>
      <c r="B654" s="0" t="s">
        <v>2610</v>
      </c>
    </row>
    <row r="655" customFormat="false" ht="14.25" hidden="false" customHeight="false" outlineLevel="0" collapsed="false">
      <c r="A655" s="0" t="n">
        <v>654</v>
      </c>
      <c r="B655" s="0" t="s">
        <v>2611</v>
      </c>
    </row>
    <row r="656" customFormat="false" ht="14.25" hidden="false" customHeight="false" outlineLevel="0" collapsed="false">
      <c r="A656" s="0" t="n">
        <v>655</v>
      </c>
      <c r="B656" s="0" t="s">
        <v>2612</v>
      </c>
    </row>
    <row r="657" customFormat="false" ht="14.25" hidden="false" customHeight="false" outlineLevel="0" collapsed="false">
      <c r="A657" s="0" t="n">
        <v>656</v>
      </c>
      <c r="B657" s="0" t="s">
        <v>2613</v>
      </c>
    </row>
    <row r="658" customFormat="false" ht="14.25" hidden="false" customHeight="false" outlineLevel="0" collapsed="false">
      <c r="A658" s="0" t="n">
        <v>657</v>
      </c>
      <c r="B658" s="0" t="s">
        <v>2614</v>
      </c>
    </row>
    <row r="659" customFormat="false" ht="14.25" hidden="false" customHeight="false" outlineLevel="0" collapsed="false">
      <c r="A659" s="0" t="n">
        <v>658</v>
      </c>
      <c r="B659" s="0" t="s">
        <v>2615</v>
      </c>
    </row>
    <row r="660" customFormat="false" ht="14.25" hidden="false" customHeight="false" outlineLevel="0" collapsed="false">
      <c r="A660" s="0" t="n">
        <v>659</v>
      </c>
      <c r="B660" s="0" t="s">
        <v>2616</v>
      </c>
    </row>
    <row r="661" customFormat="false" ht="14.25" hidden="false" customHeight="false" outlineLevel="0" collapsed="false">
      <c r="A661" s="0" t="n">
        <v>660</v>
      </c>
      <c r="B661" s="0" t="s">
        <v>2617</v>
      </c>
    </row>
    <row r="662" customFormat="false" ht="14.25" hidden="false" customHeight="false" outlineLevel="0" collapsed="false">
      <c r="A662" s="0" t="n">
        <v>661</v>
      </c>
      <c r="B662" s="0" t="s">
        <v>2618</v>
      </c>
    </row>
    <row r="663" customFormat="false" ht="14.25" hidden="false" customHeight="false" outlineLevel="0" collapsed="false">
      <c r="A663" s="0" t="n">
        <v>662</v>
      </c>
      <c r="B663" s="0" t="s">
        <v>2619</v>
      </c>
    </row>
    <row r="664" customFormat="false" ht="14.25" hidden="false" customHeight="false" outlineLevel="0" collapsed="false">
      <c r="A664" s="0" t="n">
        <v>663</v>
      </c>
      <c r="B664" s="0" t="s">
        <v>2620</v>
      </c>
    </row>
    <row r="665" customFormat="false" ht="14.25" hidden="false" customHeight="false" outlineLevel="0" collapsed="false">
      <c r="A665" s="0" t="n">
        <v>664</v>
      </c>
      <c r="B665" s="0" t="s">
        <v>2621</v>
      </c>
    </row>
    <row r="666" customFormat="false" ht="14.25" hidden="false" customHeight="false" outlineLevel="0" collapsed="false">
      <c r="A666" s="0" t="n">
        <v>665</v>
      </c>
      <c r="B666" s="0" t="s">
        <v>2622</v>
      </c>
    </row>
    <row r="667" customFormat="false" ht="14.25" hidden="false" customHeight="false" outlineLevel="0" collapsed="false">
      <c r="A667" s="0" t="n">
        <v>666</v>
      </c>
      <c r="B667" s="0" t="s">
        <v>2623</v>
      </c>
    </row>
    <row r="668" customFormat="false" ht="14.25" hidden="false" customHeight="false" outlineLevel="0" collapsed="false">
      <c r="A668" s="0" t="n">
        <v>667</v>
      </c>
      <c r="B668" s="0" t="s">
        <v>2624</v>
      </c>
    </row>
    <row r="669" customFormat="false" ht="14.25" hidden="false" customHeight="false" outlineLevel="0" collapsed="false">
      <c r="A669" s="0" t="n">
        <v>668</v>
      </c>
      <c r="B669" s="0" t="s">
        <v>2625</v>
      </c>
    </row>
    <row r="670" customFormat="false" ht="14.25" hidden="false" customHeight="false" outlineLevel="0" collapsed="false">
      <c r="A670" s="0" t="n">
        <v>669</v>
      </c>
      <c r="B670" s="0" t="s">
        <v>2626</v>
      </c>
    </row>
    <row r="671" customFormat="false" ht="14.25" hidden="false" customHeight="false" outlineLevel="0" collapsed="false">
      <c r="A671" s="0" t="n">
        <v>670</v>
      </c>
      <c r="B671" s="0" t="s">
        <v>2627</v>
      </c>
    </row>
    <row r="672" customFormat="false" ht="14.25" hidden="false" customHeight="false" outlineLevel="0" collapsed="false">
      <c r="A672" s="0" t="n">
        <v>671</v>
      </c>
      <c r="B672" s="0" t="s">
        <v>2628</v>
      </c>
    </row>
    <row r="673" customFormat="false" ht="14.25" hidden="false" customHeight="false" outlineLevel="0" collapsed="false">
      <c r="A673" s="0" t="n">
        <v>672</v>
      </c>
      <c r="B673" s="0" t="s">
        <v>2629</v>
      </c>
    </row>
    <row r="674" customFormat="false" ht="14.25" hidden="false" customHeight="false" outlineLevel="0" collapsed="false">
      <c r="A674" s="0" t="n">
        <v>673</v>
      </c>
      <c r="B674" s="0" t="s">
        <v>2630</v>
      </c>
    </row>
    <row r="675" customFormat="false" ht="14.25" hidden="false" customHeight="false" outlineLevel="0" collapsed="false">
      <c r="A675" s="0" t="n">
        <v>674</v>
      </c>
      <c r="B675" s="0" t="s">
        <v>2631</v>
      </c>
    </row>
    <row r="676" customFormat="false" ht="14.25" hidden="false" customHeight="false" outlineLevel="0" collapsed="false">
      <c r="A676" s="0" t="n">
        <v>675</v>
      </c>
      <c r="B676" s="0" t="s">
        <v>2632</v>
      </c>
    </row>
    <row r="677" customFormat="false" ht="14.25" hidden="false" customHeight="false" outlineLevel="0" collapsed="false">
      <c r="A677" s="0" t="n">
        <v>676</v>
      </c>
      <c r="B677" s="0" t="s">
        <v>2633</v>
      </c>
    </row>
    <row r="678" customFormat="false" ht="14.25" hidden="false" customHeight="false" outlineLevel="0" collapsed="false">
      <c r="A678" s="0" t="n">
        <v>677</v>
      </c>
      <c r="B678" s="0" t="s">
        <v>2634</v>
      </c>
    </row>
    <row r="679" customFormat="false" ht="14.25" hidden="false" customHeight="false" outlineLevel="0" collapsed="false">
      <c r="A679" s="0" t="n">
        <v>678</v>
      </c>
      <c r="B679" s="0" t="s">
        <v>2635</v>
      </c>
    </row>
    <row r="680" customFormat="false" ht="14.25" hidden="false" customHeight="false" outlineLevel="0" collapsed="false">
      <c r="A680" s="0" t="n">
        <v>679</v>
      </c>
      <c r="B680" s="0" t="s">
        <v>2636</v>
      </c>
    </row>
    <row r="681" customFormat="false" ht="14.25" hidden="false" customHeight="false" outlineLevel="0" collapsed="false">
      <c r="A681" s="0" t="n">
        <v>680</v>
      </c>
      <c r="B681" s="0" t="s">
        <v>2637</v>
      </c>
    </row>
    <row r="682" customFormat="false" ht="14.25" hidden="false" customHeight="false" outlineLevel="0" collapsed="false">
      <c r="A682" s="0" t="n">
        <v>681</v>
      </c>
      <c r="B682" s="0" t="s">
        <v>2638</v>
      </c>
    </row>
    <row r="683" customFormat="false" ht="14.25" hidden="false" customHeight="false" outlineLevel="0" collapsed="false">
      <c r="A683" s="0" t="n">
        <v>682</v>
      </c>
      <c r="B683" s="0" t="s">
        <v>2639</v>
      </c>
    </row>
    <row r="684" customFormat="false" ht="14.25" hidden="false" customHeight="false" outlineLevel="0" collapsed="false">
      <c r="A684" s="0" t="n">
        <v>683</v>
      </c>
      <c r="B684" s="0" t="s">
        <v>2640</v>
      </c>
    </row>
    <row r="685" customFormat="false" ht="14.25" hidden="false" customHeight="false" outlineLevel="0" collapsed="false">
      <c r="A685" s="0" t="n">
        <v>684</v>
      </c>
      <c r="B685" s="0" t="s">
        <v>2641</v>
      </c>
    </row>
    <row r="686" customFormat="false" ht="14.25" hidden="false" customHeight="false" outlineLevel="0" collapsed="false">
      <c r="A686" s="0" t="n">
        <v>685</v>
      </c>
      <c r="B686" s="0" t="s">
        <v>2642</v>
      </c>
    </row>
    <row r="687" customFormat="false" ht="14.25" hidden="false" customHeight="false" outlineLevel="0" collapsed="false">
      <c r="A687" s="0" t="n">
        <v>686</v>
      </c>
      <c r="B687" s="0" t="s">
        <v>2643</v>
      </c>
    </row>
    <row r="688" customFormat="false" ht="14.25" hidden="false" customHeight="false" outlineLevel="0" collapsed="false">
      <c r="A688" s="0" t="n">
        <v>687</v>
      </c>
      <c r="B688" s="0" t="s">
        <v>2644</v>
      </c>
    </row>
    <row r="689" customFormat="false" ht="14.25" hidden="false" customHeight="false" outlineLevel="0" collapsed="false">
      <c r="A689" s="0" t="n">
        <v>688</v>
      </c>
      <c r="B689" s="0" t="s">
        <v>2645</v>
      </c>
    </row>
    <row r="690" customFormat="false" ht="14.25" hidden="false" customHeight="false" outlineLevel="0" collapsed="false">
      <c r="A690" s="0" t="n">
        <v>689</v>
      </c>
      <c r="B690" s="0" t="s">
        <v>2646</v>
      </c>
    </row>
    <row r="691" customFormat="false" ht="14.25" hidden="false" customHeight="false" outlineLevel="0" collapsed="false">
      <c r="A691" s="0" t="n">
        <v>690</v>
      </c>
      <c r="B691" s="0" t="s">
        <v>2647</v>
      </c>
    </row>
    <row r="692" customFormat="false" ht="14.25" hidden="false" customHeight="false" outlineLevel="0" collapsed="false">
      <c r="A692" s="0" t="n">
        <v>691</v>
      </c>
      <c r="B692" s="0" t="s">
        <v>2648</v>
      </c>
    </row>
    <row r="693" customFormat="false" ht="14.25" hidden="false" customHeight="false" outlineLevel="0" collapsed="false">
      <c r="A693" s="0" t="n">
        <v>692</v>
      </c>
      <c r="B693" s="0" t="s">
        <v>2649</v>
      </c>
    </row>
    <row r="694" customFormat="false" ht="14.25" hidden="false" customHeight="false" outlineLevel="0" collapsed="false">
      <c r="A694" s="0" t="n">
        <v>693</v>
      </c>
      <c r="B694" s="0" t="s">
        <v>2650</v>
      </c>
    </row>
    <row r="695" customFormat="false" ht="14.25" hidden="false" customHeight="false" outlineLevel="0" collapsed="false">
      <c r="A695" s="0" t="n">
        <v>694</v>
      </c>
      <c r="B695" s="0" t="s">
        <v>2651</v>
      </c>
    </row>
    <row r="696" customFormat="false" ht="14.25" hidden="false" customHeight="false" outlineLevel="0" collapsed="false">
      <c r="A696" s="0" t="n">
        <v>695</v>
      </c>
      <c r="B696" s="0" t="s">
        <v>2652</v>
      </c>
    </row>
    <row r="697" customFormat="false" ht="14.25" hidden="false" customHeight="false" outlineLevel="0" collapsed="false">
      <c r="A697" s="0" t="n">
        <v>696</v>
      </c>
      <c r="B697" s="0" t="s">
        <v>2653</v>
      </c>
    </row>
    <row r="698" customFormat="false" ht="14.25" hidden="false" customHeight="false" outlineLevel="0" collapsed="false">
      <c r="A698" s="0" t="n">
        <v>697</v>
      </c>
      <c r="B698" s="0" t="s">
        <v>2654</v>
      </c>
    </row>
    <row r="699" customFormat="false" ht="14.25" hidden="false" customHeight="false" outlineLevel="0" collapsed="false">
      <c r="A699" s="0" t="n">
        <v>698</v>
      </c>
      <c r="B699" s="0" t="s">
        <v>2655</v>
      </c>
    </row>
    <row r="700" customFormat="false" ht="14.25" hidden="false" customHeight="false" outlineLevel="0" collapsed="false">
      <c r="A700" s="0" t="n">
        <v>699</v>
      </c>
      <c r="B700" s="0" t="s">
        <v>2656</v>
      </c>
    </row>
    <row r="701" customFormat="false" ht="14.25" hidden="false" customHeight="false" outlineLevel="0" collapsed="false">
      <c r="A701" s="0" t="n">
        <v>700</v>
      </c>
      <c r="B701" s="0" t="s">
        <v>2657</v>
      </c>
    </row>
    <row r="702" customFormat="false" ht="14.25" hidden="false" customHeight="false" outlineLevel="0" collapsed="false">
      <c r="A702" s="0" t="n">
        <v>701</v>
      </c>
      <c r="B702" s="0" t="s">
        <v>2658</v>
      </c>
    </row>
    <row r="703" customFormat="false" ht="14.25" hidden="false" customHeight="false" outlineLevel="0" collapsed="false">
      <c r="A703" s="0" t="n">
        <v>702</v>
      </c>
      <c r="B703" s="0" t="s">
        <v>2659</v>
      </c>
    </row>
    <row r="704" customFormat="false" ht="14.25" hidden="false" customHeight="false" outlineLevel="0" collapsed="false">
      <c r="A704" s="0" t="n">
        <v>703</v>
      </c>
      <c r="B704" s="0" t="s">
        <v>2660</v>
      </c>
    </row>
    <row r="705" customFormat="false" ht="14.25" hidden="false" customHeight="false" outlineLevel="0" collapsed="false">
      <c r="A705" s="0" t="n">
        <v>704</v>
      </c>
      <c r="B705" s="0" t="s">
        <v>2661</v>
      </c>
    </row>
    <row r="706" customFormat="false" ht="14.25" hidden="false" customHeight="false" outlineLevel="0" collapsed="false">
      <c r="A706" s="0" t="n">
        <v>705</v>
      </c>
      <c r="B706" s="0" t="s">
        <v>2662</v>
      </c>
    </row>
    <row r="707" customFormat="false" ht="14.25" hidden="false" customHeight="false" outlineLevel="0" collapsed="false">
      <c r="A707" s="0" t="n">
        <v>706</v>
      </c>
      <c r="B707" s="0" t="s">
        <v>2663</v>
      </c>
    </row>
    <row r="708" customFormat="false" ht="14.25" hidden="false" customHeight="false" outlineLevel="0" collapsed="false">
      <c r="A708" s="0" t="n">
        <v>707</v>
      </c>
      <c r="B708" s="0" t="s">
        <v>2664</v>
      </c>
    </row>
    <row r="709" customFormat="false" ht="14.25" hidden="false" customHeight="false" outlineLevel="0" collapsed="false">
      <c r="A709" s="0" t="n">
        <v>708</v>
      </c>
      <c r="B709" s="0" t="s">
        <v>2665</v>
      </c>
    </row>
    <row r="710" customFormat="false" ht="14.25" hidden="false" customHeight="false" outlineLevel="0" collapsed="false">
      <c r="A710" s="0" t="n">
        <v>709</v>
      </c>
      <c r="B710" s="0" t="s">
        <v>2666</v>
      </c>
    </row>
    <row r="711" customFormat="false" ht="14.25" hidden="false" customHeight="false" outlineLevel="0" collapsed="false">
      <c r="A711" s="0" t="n">
        <v>710</v>
      </c>
      <c r="B711" s="0" t="s">
        <v>2667</v>
      </c>
    </row>
    <row r="712" customFormat="false" ht="14.25" hidden="false" customHeight="false" outlineLevel="0" collapsed="false">
      <c r="A712" s="0" t="n">
        <v>711</v>
      </c>
      <c r="B712" s="0" t="s">
        <v>2668</v>
      </c>
    </row>
    <row r="713" customFormat="false" ht="14.25" hidden="false" customHeight="false" outlineLevel="0" collapsed="false">
      <c r="A713" s="0" t="n">
        <v>712</v>
      </c>
      <c r="B713" s="0" t="s">
        <v>2669</v>
      </c>
    </row>
    <row r="714" customFormat="false" ht="14.25" hidden="false" customHeight="false" outlineLevel="0" collapsed="false">
      <c r="A714" s="0" t="n">
        <v>713</v>
      </c>
      <c r="B714" s="0" t="s">
        <v>2670</v>
      </c>
    </row>
    <row r="715" customFormat="false" ht="14.25" hidden="false" customHeight="false" outlineLevel="0" collapsed="false">
      <c r="A715" s="0" t="n">
        <v>714</v>
      </c>
      <c r="B715" s="0" t="s">
        <v>2671</v>
      </c>
    </row>
    <row r="716" customFormat="false" ht="14.25" hidden="false" customHeight="false" outlineLevel="0" collapsed="false">
      <c r="A716" s="0" t="n">
        <v>715</v>
      </c>
      <c r="B716" s="0" t="s">
        <v>2672</v>
      </c>
    </row>
    <row r="717" customFormat="false" ht="14.25" hidden="false" customHeight="false" outlineLevel="0" collapsed="false">
      <c r="A717" s="0" t="n">
        <v>716</v>
      </c>
      <c r="B717" s="0" t="s">
        <v>2673</v>
      </c>
    </row>
    <row r="718" customFormat="false" ht="14.25" hidden="false" customHeight="false" outlineLevel="0" collapsed="false">
      <c r="A718" s="0" t="n">
        <v>717</v>
      </c>
      <c r="B718" s="0" t="s">
        <v>2674</v>
      </c>
    </row>
    <row r="719" customFormat="false" ht="14.25" hidden="false" customHeight="false" outlineLevel="0" collapsed="false">
      <c r="A719" s="0" t="n">
        <v>718</v>
      </c>
      <c r="B719" s="0" t="s">
        <v>2675</v>
      </c>
    </row>
    <row r="720" customFormat="false" ht="14.25" hidden="false" customHeight="false" outlineLevel="0" collapsed="false">
      <c r="A720" s="0" t="n">
        <v>719</v>
      </c>
      <c r="B720" s="0" t="s">
        <v>2676</v>
      </c>
    </row>
    <row r="721" customFormat="false" ht="14.25" hidden="false" customHeight="false" outlineLevel="0" collapsed="false">
      <c r="A721" s="0" t="n">
        <v>720</v>
      </c>
      <c r="B721" s="0" t="s">
        <v>2677</v>
      </c>
    </row>
    <row r="722" customFormat="false" ht="14.25" hidden="false" customHeight="false" outlineLevel="0" collapsed="false">
      <c r="A722" s="0" t="n">
        <v>721</v>
      </c>
      <c r="B722" s="0" t="s">
        <v>2678</v>
      </c>
    </row>
    <row r="723" customFormat="false" ht="14.25" hidden="false" customHeight="false" outlineLevel="0" collapsed="false">
      <c r="A723" s="0" t="n">
        <v>722</v>
      </c>
      <c r="B723" s="0" t="s">
        <v>2679</v>
      </c>
    </row>
    <row r="724" customFormat="false" ht="14.25" hidden="false" customHeight="false" outlineLevel="0" collapsed="false">
      <c r="A724" s="0" t="n">
        <v>723</v>
      </c>
      <c r="B724" s="0" t="s">
        <v>2680</v>
      </c>
    </row>
    <row r="725" customFormat="false" ht="14.25" hidden="false" customHeight="false" outlineLevel="0" collapsed="false">
      <c r="A725" s="0" t="n">
        <v>724</v>
      </c>
      <c r="B725" s="0" t="s">
        <v>2681</v>
      </c>
    </row>
    <row r="726" customFormat="false" ht="14.25" hidden="false" customHeight="false" outlineLevel="0" collapsed="false">
      <c r="A726" s="0" t="n">
        <v>725</v>
      </c>
      <c r="B726" s="0" t="s">
        <v>2682</v>
      </c>
    </row>
    <row r="727" customFormat="false" ht="14.25" hidden="false" customHeight="false" outlineLevel="0" collapsed="false">
      <c r="A727" s="0" t="n">
        <v>726</v>
      </c>
      <c r="B727" s="0" t="s">
        <v>2683</v>
      </c>
    </row>
    <row r="728" customFormat="false" ht="14.25" hidden="false" customHeight="false" outlineLevel="0" collapsed="false">
      <c r="A728" s="0" t="n">
        <v>727</v>
      </c>
      <c r="B728" s="0" t="s">
        <v>2684</v>
      </c>
    </row>
    <row r="729" customFormat="false" ht="14.25" hidden="false" customHeight="false" outlineLevel="0" collapsed="false">
      <c r="A729" s="0" t="n">
        <v>728</v>
      </c>
      <c r="B729" s="0" t="s">
        <v>2685</v>
      </c>
    </row>
    <row r="730" customFormat="false" ht="14.25" hidden="false" customHeight="false" outlineLevel="0" collapsed="false">
      <c r="A730" s="0" t="n">
        <v>729</v>
      </c>
      <c r="B730" s="0" t="s">
        <v>2686</v>
      </c>
    </row>
    <row r="731" customFormat="false" ht="14.25" hidden="false" customHeight="false" outlineLevel="0" collapsed="false">
      <c r="A731" s="0" t="n">
        <v>730</v>
      </c>
      <c r="B731" s="0" t="s">
        <v>2687</v>
      </c>
    </row>
    <row r="732" customFormat="false" ht="14.25" hidden="false" customHeight="false" outlineLevel="0" collapsed="false">
      <c r="A732" s="0" t="n">
        <v>731</v>
      </c>
      <c r="B732" s="0" t="s">
        <v>2688</v>
      </c>
    </row>
    <row r="733" customFormat="false" ht="14.25" hidden="false" customHeight="false" outlineLevel="0" collapsed="false">
      <c r="A733" s="0" t="n">
        <v>732</v>
      </c>
      <c r="B733" s="0" t="s">
        <v>2689</v>
      </c>
    </row>
    <row r="734" customFormat="false" ht="14.25" hidden="false" customHeight="false" outlineLevel="0" collapsed="false">
      <c r="A734" s="0" t="n">
        <v>733</v>
      </c>
      <c r="B734" s="0" t="s">
        <v>2690</v>
      </c>
    </row>
    <row r="735" customFormat="false" ht="14.25" hidden="false" customHeight="false" outlineLevel="0" collapsed="false">
      <c r="A735" s="0" t="n">
        <v>734</v>
      </c>
      <c r="B735" s="0" t="s">
        <v>2691</v>
      </c>
    </row>
    <row r="736" customFormat="false" ht="14.25" hidden="false" customHeight="false" outlineLevel="0" collapsed="false">
      <c r="A736" s="0" t="n">
        <v>735</v>
      </c>
      <c r="B736" s="0" t="s">
        <v>2692</v>
      </c>
    </row>
    <row r="737" customFormat="false" ht="14.25" hidden="false" customHeight="false" outlineLevel="0" collapsed="false">
      <c r="A737" s="0" t="n">
        <v>736</v>
      </c>
      <c r="B737" s="0" t="s">
        <v>2693</v>
      </c>
    </row>
    <row r="738" customFormat="false" ht="14.25" hidden="false" customHeight="false" outlineLevel="0" collapsed="false">
      <c r="A738" s="0" t="n">
        <v>737</v>
      </c>
      <c r="B738" s="0" t="s">
        <v>2694</v>
      </c>
    </row>
    <row r="739" customFormat="false" ht="14.25" hidden="false" customHeight="false" outlineLevel="0" collapsed="false">
      <c r="A739" s="0" t="n">
        <v>738</v>
      </c>
      <c r="B739" s="0" t="s">
        <v>2695</v>
      </c>
    </row>
    <row r="740" customFormat="false" ht="14.25" hidden="false" customHeight="false" outlineLevel="0" collapsed="false">
      <c r="A740" s="0" t="n">
        <v>739</v>
      </c>
      <c r="B740" s="0" t="s">
        <v>2696</v>
      </c>
    </row>
    <row r="741" customFormat="false" ht="14.25" hidden="false" customHeight="false" outlineLevel="0" collapsed="false">
      <c r="A741" s="0" t="n">
        <v>740</v>
      </c>
      <c r="B741" s="0" t="s">
        <v>2697</v>
      </c>
    </row>
    <row r="742" customFormat="false" ht="14.25" hidden="false" customHeight="false" outlineLevel="0" collapsed="false">
      <c r="A742" s="0" t="n">
        <v>741</v>
      </c>
      <c r="B742" s="0" t="s">
        <v>2698</v>
      </c>
    </row>
    <row r="743" customFormat="false" ht="14.25" hidden="false" customHeight="false" outlineLevel="0" collapsed="false">
      <c r="A743" s="0" t="n">
        <v>742</v>
      </c>
      <c r="B743" s="0" t="s">
        <v>2699</v>
      </c>
    </row>
    <row r="744" customFormat="false" ht="14.25" hidden="false" customHeight="false" outlineLevel="0" collapsed="false">
      <c r="A744" s="0" t="n">
        <v>743</v>
      </c>
      <c r="B744" s="0" t="s">
        <v>2700</v>
      </c>
    </row>
    <row r="745" customFormat="false" ht="14.25" hidden="false" customHeight="false" outlineLevel="0" collapsed="false">
      <c r="A745" s="0" t="n">
        <v>744</v>
      </c>
      <c r="B745" s="0" t="s">
        <v>2701</v>
      </c>
    </row>
    <row r="746" customFormat="false" ht="14.25" hidden="false" customHeight="false" outlineLevel="0" collapsed="false">
      <c r="A746" s="0" t="n">
        <v>745</v>
      </c>
      <c r="B746" s="0" t="s">
        <v>2702</v>
      </c>
    </row>
    <row r="747" customFormat="false" ht="14.25" hidden="false" customHeight="false" outlineLevel="0" collapsed="false">
      <c r="A747" s="0" t="n">
        <v>746</v>
      </c>
      <c r="B747" s="0" t="s">
        <v>2703</v>
      </c>
    </row>
    <row r="748" customFormat="false" ht="14.25" hidden="false" customHeight="false" outlineLevel="0" collapsed="false">
      <c r="A748" s="0" t="n">
        <v>747</v>
      </c>
      <c r="B748" s="0" t="s">
        <v>2704</v>
      </c>
    </row>
    <row r="749" customFormat="false" ht="14.25" hidden="false" customHeight="false" outlineLevel="0" collapsed="false">
      <c r="A749" s="0" t="n">
        <v>748</v>
      </c>
      <c r="B749" s="0" t="s">
        <v>2705</v>
      </c>
    </row>
    <row r="750" customFormat="false" ht="14.25" hidden="false" customHeight="false" outlineLevel="0" collapsed="false">
      <c r="A750" s="0" t="n">
        <v>749</v>
      </c>
      <c r="B750" s="0" t="s">
        <v>2706</v>
      </c>
    </row>
    <row r="751" customFormat="false" ht="14.25" hidden="false" customHeight="false" outlineLevel="0" collapsed="false">
      <c r="A751" s="0" t="n">
        <v>750</v>
      </c>
      <c r="B751" s="0" t="s">
        <v>2707</v>
      </c>
    </row>
    <row r="752" customFormat="false" ht="14.25" hidden="false" customHeight="false" outlineLevel="0" collapsed="false">
      <c r="A752" s="0" t="n">
        <v>751</v>
      </c>
      <c r="B752" s="0" t="s">
        <v>2708</v>
      </c>
    </row>
    <row r="753" customFormat="false" ht="14.25" hidden="false" customHeight="false" outlineLevel="0" collapsed="false">
      <c r="A753" s="0" t="n">
        <v>752</v>
      </c>
      <c r="B753" s="0" t="s">
        <v>2709</v>
      </c>
    </row>
    <row r="754" customFormat="false" ht="14.25" hidden="false" customHeight="false" outlineLevel="0" collapsed="false">
      <c r="A754" s="0" t="n">
        <v>753</v>
      </c>
      <c r="B754" s="0" t="s">
        <v>2710</v>
      </c>
    </row>
    <row r="755" customFormat="false" ht="14.25" hidden="false" customHeight="false" outlineLevel="0" collapsed="false">
      <c r="A755" s="0" t="n">
        <v>754</v>
      </c>
      <c r="B755" s="0" t="s">
        <v>2711</v>
      </c>
    </row>
    <row r="756" customFormat="false" ht="14.25" hidden="false" customHeight="false" outlineLevel="0" collapsed="false">
      <c r="A756" s="0" t="n">
        <v>755</v>
      </c>
      <c r="B756" s="0" t="s">
        <v>2712</v>
      </c>
    </row>
    <row r="757" customFormat="false" ht="14.25" hidden="false" customHeight="false" outlineLevel="0" collapsed="false">
      <c r="A757" s="0" t="n">
        <v>756</v>
      </c>
      <c r="B757" s="0" t="s">
        <v>2713</v>
      </c>
    </row>
    <row r="758" customFormat="false" ht="14.25" hidden="false" customHeight="false" outlineLevel="0" collapsed="false">
      <c r="A758" s="0" t="n">
        <v>757</v>
      </c>
      <c r="B758" s="0" t="s">
        <v>2714</v>
      </c>
    </row>
    <row r="759" customFormat="false" ht="14.25" hidden="false" customHeight="false" outlineLevel="0" collapsed="false">
      <c r="A759" s="0" t="n">
        <v>758</v>
      </c>
      <c r="B759" s="0" t="s">
        <v>2715</v>
      </c>
    </row>
    <row r="760" customFormat="false" ht="14.25" hidden="false" customHeight="false" outlineLevel="0" collapsed="false">
      <c r="A760" s="0" t="n">
        <v>759</v>
      </c>
      <c r="B760" s="0" t="s">
        <v>2716</v>
      </c>
    </row>
    <row r="761" customFormat="false" ht="14.25" hidden="false" customHeight="false" outlineLevel="0" collapsed="false">
      <c r="A761" s="0" t="n">
        <v>760</v>
      </c>
      <c r="B761" s="0" t="s">
        <v>2717</v>
      </c>
    </row>
    <row r="762" customFormat="false" ht="14.25" hidden="false" customHeight="false" outlineLevel="0" collapsed="false">
      <c r="A762" s="0" t="n">
        <v>761</v>
      </c>
      <c r="B762" s="0" t="s">
        <v>2718</v>
      </c>
    </row>
    <row r="763" customFormat="false" ht="14.25" hidden="false" customHeight="false" outlineLevel="0" collapsed="false">
      <c r="A763" s="0" t="n">
        <v>762</v>
      </c>
      <c r="B763" s="0" t="s">
        <v>2719</v>
      </c>
    </row>
    <row r="764" customFormat="false" ht="14.25" hidden="false" customHeight="false" outlineLevel="0" collapsed="false">
      <c r="A764" s="0" t="n">
        <v>763</v>
      </c>
      <c r="B764" s="0" t="s">
        <v>2720</v>
      </c>
    </row>
    <row r="765" customFormat="false" ht="14.25" hidden="false" customHeight="false" outlineLevel="0" collapsed="false">
      <c r="A765" s="0" t="n">
        <v>764</v>
      </c>
      <c r="B765" s="0" t="s">
        <v>2721</v>
      </c>
    </row>
    <row r="766" customFormat="false" ht="14.25" hidden="false" customHeight="false" outlineLevel="0" collapsed="false">
      <c r="A766" s="0" t="n">
        <v>765</v>
      </c>
      <c r="B766" s="0" t="s">
        <v>2722</v>
      </c>
    </row>
    <row r="767" customFormat="false" ht="14.25" hidden="false" customHeight="false" outlineLevel="0" collapsed="false">
      <c r="A767" s="0" t="n">
        <v>766</v>
      </c>
      <c r="B767" s="0" t="s">
        <v>2723</v>
      </c>
    </row>
    <row r="768" customFormat="false" ht="14.25" hidden="false" customHeight="false" outlineLevel="0" collapsed="false">
      <c r="A768" s="0" t="n">
        <v>767</v>
      </c>
      <c r="B768" s="0" t="s">
        <v>2724</v>
      </c>
    </row>
    <row r="769" customFormat="false" ht="14.25" hidden="false" customHeight="false" outlineLevel="0" collapsed="false">
      <c r="A769" s="0" t="n">
        <v>768</v>
      </c>
      <c r="B769" s="0" t="s">
        <v>2725</v>
      </c>
    </row>
    <row r="770" customFormat="false" ht="14.25" hidden="false" customHeight="false" outlineLevel="0" collapsed="false">
      <c r="A770" s="0" t="n">
        <v>769</v>
      </c>
      <c r="B770" s="0" t="s">
        <v>2726</v>
      </c>
    </row>
    <row r="771" customFormat="false" ht="14.25" hidden="false" customHeight="false" outlineLevel="0" collapsed="false">
      <c r="A771" s="0" t="n">
        <v>770</v>
      </c>
      <c r="B771" s="0" t="s">
        <v>2727</v>
      </c>
    </row>
    <row r="772" customFormat="false" ht="14.25" hidden="false" customHeight="false" outlineLevel="0" collapsed="false">
      <c r="A772" s="0" t="n">
        <v>771</v>
      </c>
      <c r="B772" s="0" t="s">
        <v>2728</v>
      </c>
    </row>
    <row r="773" customFormat="false" ht="14.25" hidden="false" customHeight="false" outlineLevel="0" collapsed="false">
      <c r="A773" s="0" t="n">
        <v>772</v>
      </c>
      <c r="B773" s="0" t="s">
        <v>2729</v>
      </c>
    </row>
    <row r="774" customFormat="false" ht="14.25" hidden="false" customHeight="false" outlineLevel="0" collapsed="false">
      <c r="A774" s="0" t="n">
        <v>773</v>
      </c>
      <c r="B774" s="0" t="s">
        <v>2730</v>
      </c>
    </row>
    <row r="775" customFormat="false" ht="14.25" hidden="false" customHeight="false" outlineLevel="0" collapsed="false">
      <c r="A775" s="0" t="n">
        <v>774</v>
      </c>
      <c r="B775" s="0" t="s">
        <v>2731</v>
      </c>
    </row>
    <row r="776" customFormat="false" ht="14.25" hidden="false" customHeight="false" outlineLevel="0" collapsed="false">
      <c r="A776" s="0" t="n">
        <v>775</v>
      </c>
      <c r="B776" s="0" t="s">
        <v>2732</v>
      </c>
    </row>
    <row r="777" customFormat="false" ht="14.25" hidden="false" customHeight="false" outlineLevel="0" collapsed="false">
      <c r="A777" s="0" t="n">
        <v>776</v>
      </c>
      <c r="B777" s="0" t="s">
        <v>2733</v>
      </c>
    </row>
    <row r="778" customFormat="false" ht="14.25" hidden="false" customHeight="false" outlineLevel="0" collapsed="false">
      <c r="A778" s="0" t="n">
        <v>777</v>
      </c>
      <c r="B778" s="0" t="s">
        <v>2734</v>
      </c>
    </row>
    <row r="779" customFormat="false" ht="14.25" hidden="false" customHeight="false" outlineLevel="0" collapsed="false">
      <c r="A779" s="0" t="n">
        <v>778</v>
      </c>
      <c r="B779" s="0" t="s">
        <v>2735</v>
      </c>
    </row>
    <row r="780" customFormat="false" ht="14.25" hidden="false" customHeight="false" outlineLevel="0" collapsed="false">
      <c r="A780" s="0" t="n">
        <v>779</v>
      </c>
      <c r="B780" s="0" t="s">
        <v>2736</v>
      </c>
    </row>
    <row r="781" customFormat="false" ht="14.25" hidden="false" customHeight="false" outlineLevel="0" collapsed="false">
      <c r="A781" s="0" t="n">
        <v>780</v>
      </c>
      <c r="B781" s="0" t="s">
        <v>2737</v>
      </c>
    </row>
    <row r="782" customFormat="false" ht="14.25" hidden="false" customHeight="false" outlineLevel="0" collapsed="false">
      <c r="A782" s="0" t="n">
        <v>781</v>
      </c>
      <c r="B782" s="0" t="s">
        <v>2738</v>
      </c>
    </row>
    <row r="783" customFormat="false" ht="14.25" hidden="false" customHeight="false" outlineLevel="0" collapsed="false">
      <c r="A783" s="0" t="n">
        <v>782</v>
      </c>
      <c r="B783" s="0" t="s">
        <v>2739</v>
      </c>
    </row>
    <row r="784" customFormat="false" ht="14.25" hidden="false" customHeight="false" outlineLevel="0" collapsed="false">
      <c r="A784" s="0" t="n">
        <v>783</v>
      </c>
      <c r="B784" s="0" t="s">
        <v>2740</v>
      </c>
    </row>
    <row r="785" customFormat="false" ht="14.25" hidden="false" customHeight="false" outlineLevel="0" collapsed="false">
      <c r="A785" s="0" t="n">
        <v>784</v>
      </c>
      <c r="B785" s="0" t="s">
        <v>2741</v>
      </c>
    </row>
    <row r="786" customFormat="false" ht="14.25" hidden="false" customHeight="false" outlineLevel="0" collapsed="false">
      <c r="A786" s="0" t="n">
        <v>785</v>
      </c>
      <c r="B786" s="0" t="s">
        <v>2742</v>
      </c>
    </row>
    <row r="787" customFormat="false" ht="14.25" hidden="false" customHeight="false" outlineLevel="0" collapsed="false">
      <c r="A787" s="0" t="n">
        <v>786</v>
      </c>
      <c r="B787" s="0" t="s">
        <v>2743</v>
      </c>
    </row>
    <row r="788" customFormat="false" ht="14.25" hidden="false" customHeight="false" outlineLevel="0" collapsed="false">
      <c r="A788" s="0" t="n">
        <v>787</v>
      </c>
      <c r="B788" s="0" t="s">
        <v>2744</v>
      </c>
    </row>
    <row r="789" customFormat="false" ht="14.25" hidden="false" customHeight="false" outlineLevel="0" collapsed="false">
      <c r="A789" s="0" t="n">
        <v>788</v>
      </c>
      <c r="B789" s="0" t="s">
        <v>2745</v>
      </c>
    </row>
    <row r="790" customFormat="false" ht="14.25" hidden="false" customHeight="false" outlineLevel="0" collapsed="false">
      <c r="A790" s="0" t="n">
        <v>789</v>
      </c>
      <c r="B790" s="0" t="s">
        <v>2746</v>
      </c>
    </row>
    <row r="791" customFormat="false" ht="14.25" hidden="false" customHeight="false" outlineLevel="0" collapsed="false">
      <c r="A791" s="0" t="n">
        <v>790</v>
      </c>
      <c r="B791" s="0" t="s">
        <v>2747</v>
      </c>
    </row>
    <row r="792" customFormat="false" ht="14.25" hidden="false" customHeight="false" outlineLevel="0" collapsed="false">
      <c r="A792" s="0" t="n">
        <v>791</v>
      </c>
      <c r="B792" s="0" t="s">
        <v>2748</v>
      </c>
    </row>
    <row r="793" customFormat="false" ht="14.25" hidden="false" customHeight="false" outlineLevel="0" collapsed="false">
      <c r="A793" s="0" t="n">
        <v>792</v>
      </c>
      <c r="B793" s="0" t="s">
        <v>2749</v>
      </c>
    </row>
    <row r="794" customFormat="false" ht="14.25" hidden="false" customHeight="false" outlineLevel="0" collapsed="false">
      <c r="A794" s="0" t="n">
        <v>793</v>
      </c>
      <c r="B794" s="0" t="s">
        <v>2750</v>
      </c>
    </row>
    <row r="795" customFormat="false" ht="14.25" hidden="false" customHeight="false" outlineLevel="0" collapsed="false">
      <c r="A795" s="0" t="n">
        <v>794</v>
      </c>
      <c r="B795" s="0" t="s">
        <v>2751</v>
      </c>
    </row>
    <row r="796" customFormat="false" ht="14.25" hidden="false" customHeight="false" outlineLevel="0" collapsed="false">
      <c r="A796" s="0" t="n">
        <v>795</v>
      </c>
      <c r="B796" s="0" t="s">
        <v>2752</v>
      </c>
    </row>
    <row r="797" customFormat="false" ht="14.25" hidden="false" customHeight="false" outlineLevel="0" collapsed="false">
      <c r="A797" s="0" t="n">
        <v>796</v>
      </c>
      <c r="B797" s="0" t="s">
        <v>2753</v>
      </c>
    </row>
    <row r="798" customFormat="false" ht="14.25" hidden="false" customHeight="false" outlineLevel="0" collapsed="false">
      <c r="A798" s="0" t="n">
        <v>797</v>
      </c>
      <c r="B798" s="0" t="s">
        <v>2754</v>
      </c>
    </row>
    <row r="799" customFormat="false" ht="14.25" hidden="false" customHeight="false" outlineLevel="0" collapsed="false">
      <c r="A799" s="0" t="n">
        <v>798</v>
      </c>
      <c r="B799" s="0" t="s">
        <v>2755</v>
      </c>
    </row>
    <row r="800" customFormat="false" ht="14.25" hidden="false" customHeight="false" outlineLevel="0" collapsed="false">
      <c r="A800" s="0" t="n">
        <v>799</v>
      </c>
      <c r="B800" s="0" t="s">
        <v>2756</v>
      </c>
    </row>
    <row r="801" customFormat="false" ht="14.25" hidden="false" customHeight="false" outlineLevel="0" collapsed="false">
      <c r="A801" s="0" t="n">
        <v>800</v>
      </c>
      <c r="B801" s="0" t="s">
        <v>2757</v>
      </c>
    </row>
    <row r="802" customFormat="false" ht="14.25" hidden="false" customHeight="false" outlineLevel="0" collapsed="false">
      <c r="A802" s="0" t="n">
        <v>801</v>
      </c>
      <c r="B802" s="0" t="s">
        <v>2758</v>
      </c>
    </row>
    <row r="803" customFormat="false" ht="14.25" hidden="false" customHeight="false" outlineLevel="0" collapsed="false">
      <c r="A803" s="0" t="n">
        <v>802</v>
      </c>
      <c r="B803" s="0" t="s">
        <v>2759</v>
      </c>
    </row>
    <row r="804" customFormat="false" ht="14.25" hidden="false" customHeight="false" outlineLevel="0" collapsed="false">
      <c r="A804" s="0" t="n">
        <v>803</v>
      </c>
      <c r="B804" s="0" t="s">
        <v>2760</v>
      </c>
    </row>
    <row r="805" customFormat="false" ht="14.25" hidden="false" customHeight="false" outlineLevel="0" collapsed="false">
      <c r="A805" s="0" t="n">
        <v>804</v>
      </c>
      <c r="B805" s="0" t="s">
        <v>2761</v>
      </c>
    </row>
    <row r="806" customFormat="false" ht="14.25" hidden="false" customHeight="false" outlineLevel="0" collapsed="false">
      <c r="A806" s="0" t="n">
        <v>805</v>
      </c>
      <c r="B806" s="0" t="s">
        <v>2762</v>
      </c>
    </row>
    <row r="807" customFormat="false" ht="14.25" hidden="false" customHeight="false" outlineLevel="0" collapsed="false">
      <c r="A807" s="0" t="n">
        <v>806</v>
      </c>
      <c r="B807" s="0" t="s">
        <v>2763</v>
      </c>
    </row>
    <row r="808" customFormat="false" ht="14.25" hidden="false" customHeight="false" outlineLevel="0" collapsed="false">
      <c r="A808" s="0" t="n">
        <v>807</v>
      </c>
      <c r="B808" s="0" t="s">
        <v>2764</v>
      </c>
    </row>
    <row r="809" customFormat="false" ht="14.25" hidden="false" customHeight="false" outlineLevel="0" collapsed="false">
      <c r="A809" s="0" t="n">
        <v>808</v>
      </c>
      <c r="B809" s="0" t="s">
        <v>2765</v>
      </c>
    </row>
    <row r="810" customFormat="false" ht="14.25" hidden="false" customHeight="false" outlineLevel="0" collapsed="false">
      <c r="A810" s="0" t="n">
        <v>809</v>
      </c>
      <c r="B810" s="0" t="s">
        <v>2766</v>
      </c>
    </row>
    <row r="811" customFormat="false" ht="14.25" hidden="false" customHeight="false" outlineLevel="0" collapsed="false">
      <c r="A811" s="0" t="n">
        <v>810</v>
      </c>
      <c r="B811" s="0" t="s">
        <v>2767</v>
      </c>
    </row>
    <row r="812" customFormat="false" ht="14.25" hidden="false" customHeight="false" outlineLevel="0" collapsed="false">
      <c r="A812" s="0" t="n">
        <v>811</v>
      </c>
      <c r="B812" s="0" t="s">
        <v>2768</v>
      </c>
    </row>
    <row r="813" customFormat="false" ht="14.25" hidden="false" customHeight="false" outlineLevel="0" collapsed="false">
      <c r="A813" s="0" t="n">
        <v>812</v>
      </c>
      <c r="B813" s="0" t="s">
        <v>2769</v>
      </c>
    </row>
    <row r="814" customFormat="false" ht="14.25" hidden="false" customHeight="false" outlineLevel="0" collapsed="false">
      <c r="A814" s="0" t="n">
        <v>813</v>
      </c>
      <c r="B814" s="0" t="s">
        <v>2770</v>
      </c>
    </row>
    <row r="815" customFormat="false" ht="14.25" hidden="false" customHeight="false" outlineLevel="0" collapsed="false">
      <c r="A815" s="0" t="n">
        <v>814</v>
      </c>
      <c r="B815" s="0" t="s">
        <v>2771</v>
      </c>
    </row>
    <row r="816" customFormat="false" ht="14.25" hidden="false" customHeight="false" outlineLevel="0" collapsed="false">
      <c r="A816" s="0" t="n">
        <v>815</v>
      </c>
      <c r="B816" s="0" t="s">
        <v>2772</v>
      </c>
    </row>
    <row r="817" customFormat="false" ht="14.25" hidden="false" customHeight="false" outlineLevel="0" collapsed="false">
      <c r="A817" s="0" t="n">
        <v>816</v>
      </c>
      <c r="B817" s="0" t="s">
        <v>2773</v>
      </c>
    </row>
    <row r="818" customFormat="false" ht="14.25" hidden="false" customHeight="false" outlineLevel="0" collapsed="false">
      <c r="A818" s="0" t="n">
        <v>817</v>
      </c>
      <c r="B818" s="0" t="s">
        <v>2774</v>
      </c>
    </row>
    <row r="819" customFormat="false" ht="14.25" hidden="false" customHeight="false" outlineLevel="0" collapsed="false">
      <c r="A819" s="0" t="n">
        <v>818</v>
      </c>
      <c r="B819" s="0" t="s">
        <v>2775</v>
      </c>
    </row>
    <row r="820" customFormat="false" ht="14.25" hidden="false" customHeight="false" outlineLevel="0" collapsed="false">
      <c r="A820" s="0" t="n">
        <v>819</v>
      </c>
      <c r="B820" s="0" t="s">
        <v>2776</v>
      </c>
    </row>
    <row r="821" customFormat="false" ht="14.25" hidden="false" customHeight="false" outlineLevel="0" collapsed="false">
      <c r="A821" s="0" t="n">
        <v>820</v>
      </c>
      <c r="B821" s="0" t="s">
        <v>2777</v>
      </c>
    </row>
    <row r="822" customFormat="false" ht="14.25" hidden="false" customHeight="false" outlineLevel="0" collapsed="false">
      <c r="A822" s="0" t="n">
        <v>821</v>
      </c>
      <c r="B822" s="0" t="s">
        <v>2778</v>
      </c>
    </row>
    <row r="823" customFormat="false" ht="14.25" hidden="false" customHeight="false" outlineLevel="0" collapsed="false">
      <c r="A823" s="0" t="n">
        <v>822</v>
      </c>
      <c r="B823" s="0" t="s">
        <v>2779</v>
      </c>
    </row>
    <row r="824" customFormat="false" ht="14.25" hidden="false" customHeight="false" outlineLevel="0" collapsed="false">
      <c r="A824" s="0" t="n">
        <v>823</v>
      </c>
      <c r="B824" s="0" t="s">
        <v>2780</v>
      </c>
    </row>
    <row r="825" customFormat="false" ht="14.25" hidden="false" customHeight="false" outlineLevel="0" collapsed="false">
      <c r="A825" s="0" t="n">
        <v>824</v>
      </c>
      <c r="B825" s="0" t="s">
        <v>2781</v>
      </c>
    </row>
    <row r="826" customFormat="false" ht="14.25" hidden="false" customHeight="false" outlineLevel="0" collapsed="false">
      <c r="A826" s="0" t="n">
        <v>825</v>
      </c>
      <c r="B826" s="0" t="s">
        <v>2782</v>
      </c>
    </row>
    <row r="827" customFormat="false" ht="14.25" hidden="false" customHeight="false" outlineLevel="0" collapsed="false">
      <c r="A827" s="0" t="n">
        <v>826</v>
      </c>
      <c r="B827" s="0" t="s">
        <v>2783</v>
      </c>
    </row>
    <row r="828" customFormat="false" ht="14.25" hidden="false" customHeight="false" outlineLevel="0" collapsed="false">
      <c r="A828" s="0" t="n">
        <v>827</v>
      </c>
      <c r="B828" s="0" t="s">
        <v>2784</v>
      </c>
    </row>
    <row r="829" customFormat="false" ht="14.25" hidden="false" customHeight="false" outlineLevel="0" collapsed="false">
      <c r="A829" s="0" t="n">
        <v>828</v>
      </c>
      <c r="B829" s="0" t="s">
        <v>2785</v>
      </c>
    </row>
    <row r="830" customFormat="false" ht="14.25" hidden="false" customHeight="false" outlineLevel="0" collapsed="false">
      <c r="A830" s="0" t="n">
        <v>829</v>
      </c>
      <c r="B830" s="0" t="s">
        <v>2786</v>
      </c>
    </row>
    <row r="831" customFormat="false" ht="14.25" hidden="false" customHeight="false" outlineLevel="0" collapsed="false">
      <c r="A831" s="0" t="n">
        <v>830</v>
      </c>
      <c r="B831" s="0" t="s">
        <v>2787</v>
      </c>
    </row>
    <row r="832" customFormat="false" ht="14.25" hidden="false" customHeight="false" outlineLevel="0" collapsed="false">
      <c r="A832" s="0" t="n">
        <v>831</v>
      </c>
      <c r="B832" s="0" t="s">
        <v>2788</v>
      </c>
    </row>
    <row r="833" customFormat="false" ht="14.25" hidden="false" customHeight="false" outlineLevel="0" collapsed="false">
      <c r="A833" s="0" t="n">
        <v>832</v>
      </c>
      <c r="B833" s="0" t="s">
        <v>2789</v>
      </c>
    </row>
    <row r="834" customFormat="false" ht="14.25" hidden="false" customHeight="false" outlineLevel="0" collapsed="false">
      <c r="A834" s="0" t="n">
        <v>833</v>
      </c>
      <c r="B834" s="0" t="s">
        <v>2790</v>
      </c>
    </row>
    <row r="835" customFormat="false" ht="14.25" hidden="false" customHeight="false" outlineLevel="0" collapsed="false">
      <c r="A835" s="0" t="n">
        <v>834</v>
      </c>
      <c r="B835" s="0" t="s">
        <v>2791</v>
      </c>
    </row>
    <row r="836" customFormat="false" ht="14.25" hidden="false" customHeight="false" outlineLevel="0" collapsed="false">
      <c r="A836" s="0" t="n">
        <v>835</v>
      </c>
      <c r="B836" s="0" t="s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7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16</v>
      </c>
      <c r="O1" s="8" t="s">
        <v>17</v>
      </c>
      <c r="P1" s="8" t="s">
        <v>19</v>
      </c>
      <c r="Q1" s="5" t="s">
        <v>20</v>
      </c>
    </row>
    <row r="2" customFormat="false" ht="14.25" hidden="false" customHeight="false" outlineLevel="0" collapsed="false">
      <c r="A2" s="0" t="s">
        <v>2793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COUNTBLANK(songs!I$2:I$2004)</f>
        <v>61</v>
      </c>
      <c r="H2" s="0" t="n">
        <f aca="false">COUNTBLANK(songs!J$2:J$2004)</f>
        <v>61</v>
      </c>
      <c r="I2" s="0" t="n">
        <f aca="false">COUNTBLANK(songs!K$2:K$2004)</f>
        <v>61</v>
      </c>
      <c r="J2" s="0" t="n">
        <f aca="false">COUNTBLANK(songs!M$2:M$2004)</f>
        <v>61</v>
      </c>
      <c r="K2" s="0" t="n">
        <f aca="false">COUNTBLANK(songs!N$2:N$2004)</f>
        <v>61</v>
      </c>
      <c r="L2" s="0" t="n">
        <f aca="false">COUNTBLANK(songs!O$2:O$2004)</f>
        <v>61</v>
      </c>
      <c r="M2" s="0" t="n">
        <f aca="false">COUNTBLANK(songs!P$2:P$2004)</f>
        <v>61</v>
      </c>
      <c r="N2" s="0" t="n">
        <f aca="false">COUNTBLANK(songs!Q$2:Q$2004)</f>
        <v>61</v>
      </c>
      <c r="O2" s="0" t="n">
        <f aca="false">COUNTBLANK(songs!R$2:R$2004)</f>
        <v>61</v>
      </c>
      <c r="P2" s="0" t="n">
        <f aca="false">COUNTBLANK(songs!T$2:T$2004)</f>
        <v>61</v>
      </c>
      <c r="Q2" s="0" t="n">
        <f aca="false">COUNTBLANK(songs!U$2:U$2004)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11.78"/>
    <col collapsed="false" customWidth="true" hidden="false" outlineLevel="0" max="3" min="3" style="0" width="16.33"/>
    <col collapsed="false" customWidth="true" hidden="false" outlineLevel="0" max="4" min="4" style="0" width="9.88"/>
    <col collapsed="false" customWidth="true" hidden="false" outlineLevel="0" max="5" min="5" style="0" width="11.55"/>
    <col collapsed="false" customWidth="true" hidden="false" outlineLevel="0" max="6" min="6" style="0" width="6.88"/>
    <col collapsed="false" customWidth="true" hidden="false" outlineLevel="0" max="7" min="7" style="0" width="8.78"/>
    <col collapsed="false" customWidth="true" hidden="false" outlineLevel="0" max="8" min="8" style="0" width="11.55"/>
    <col collapsed="false" customWidth="true" hidden="false" outlineLevel="0" max="9" min="9" style="0" width="11.78"/>
    <col collapsed="false" customWidth="true" hidden="false" outlineLevel="0" max="10" min="10" style="0" width="16.11"/>
    <col collapsed="false" customWidth="true" hidden="false" outlineLevel="0" max="12" min="12" style="0" width="23.21"/>
    <col collapsed="false" customWidth="true" hidden="false" outlineLevel="0" max="13" min="13" style="0" width="11.22"/>
    <col collapsed="false" customWidth="true" hidden="false" outlineLevel="0" max="14" min="14" style="0" width="5"/>
  </cols>
  <sheetData>
    <row r="1" customFormat="false" ht="35.25" hidden="false" customHeight="true" outlineLevel="0" collapsed="false">
      <c r="B1" s="12" t="s">
        <v>2794</v>
      </c>
      <c r="C1" s="12"/>
      <c r="D1" s="12"/>
      <c r="E1" s="12"/>
      <c r="F1" s="12"/>
      <c r="G1" s="12"/>
      <c r="H1" s="12"/>
      <c r="I1" s="12"/>
      <c r="J1" s="12"/>
      <c r="M1" s="13" t="s">
        <v>2795</v>
      </c>
      <c r="N1" s="13"/>
    </row>
    <row r="2" customFormat="false" ht="14.25" hidden="false" customHeight="false" outlineLevel="0" collapsed="false">
      <c r="B2" s="14" t="s">
        <v>3</v>
      </c>
      <c r="C2" s="14" t="s">
        <v>4</v>
      </c>
      <c r="D2" s="14" t="s">
        <v>8</v>
      </c>
      <c r="E2" s="15" t="s">
        <v>9</v>
      </c>
      <c r="F2" s="15" t="s">
        <v>10</v>
      </c>
      <c r="G2" s="15" t="s">
        <v>12</v>
      </c>
      <c r="H2" s="16" t="s">
        <v>13</v>
      </c>
      <c r="I2" s="16" t="s">
        <v>14</v>
      </c>
      <c r="J2" s="17" t="s">
        <v>15</v>
      </c>
      <c r="M2" s="18" t="s">
        <v>1</v>
      </c>
      <c r="N2" s="18" t="s">
        <v>2</v>
      </c>
    </row>
    <row r="3" customFormat="false" ht="14.25" hidden="false" customHeight="false" outlineLevel="0" collapsed="false">
      <c r="A3" s="18" t="s">
        <v>2796</v>
      </c>
      <c r="B3" s="19" t="n">
        <f aca="false">COUNT(songs!D$2:D$1943)</f>
        <v>1942</v>
      </c>
      <c r="C3" s="19" t="n">
        <f aca="false">COUNT(songs!E$2:E$1943)</f>
        <v>1942</v>
      </c>
      <c r="D3" s="19" t="n">
        <f aca="false">COUNT(songs!I$2:I$1943)</f>
        <v>1942</v>
      </c>
      <c r="E3" s="19" t="n">
        <f aca="false">COUNT(songs!J$2:J$1943)</f>
        <v>1942</v>
      </c>
      <c r="F3" s="19" t="n">
        <f aca="false">COUNT(songs!K$2:K$1943)</f>
        <v>1942</v>
      </c>
      <c r="G3" s="19" t="n">
        <f aca="false">COUNT(songs!M$2:M$1943)</f>
        <v>1942</v>
      </c>
      <c r="H3" s="19" t="n">
        <f aca="false">COUNT(songs!N$2:N$1943)</f>
        <v>1942</v>
      </c>
      <c r="I3" s="19" t="n">
        <f aca="false">COUNT(songs!O$2:O$1943)</f>
        <v>1942</v>
      </c>
      <c r="J3" s="19" t="n">
        <f aca="false">COUNT(songs!P$2:P$1943)</f>
        <v>1942</v>
      </c>
      <c r="L3" s="18" t="s">
        <v>2797</v>
      </c>
      <c r="M3" s="19" t="n">
        <f aca="false">COUNTA(_xlfn.unique(songs!B$2:B$1943))</f>
        <v>835</v>
      </c>
      <c r="N3" s="19" t="n">
        <f aca="false">COUNTA(_xlfn.unique(songs!C$2:C$1943))</f>
        <v>1874</v>
      </c>
    </row>
    <row r="4" customFormat="false" ht="14.25" hidden="false" customHeight="false" outlineLevel="0" collapsed="false">
      <c r="A4" s="18" t="s">
        <v>2798</v>
      </c>
      <c r="B4" s="20" t="n">
        <f aca="false">AVERAGE(songs!D$2:D$1943)</f>
        <v>228644.258496395</v>
      </c>
      <c r="C4" s="20" t="n">
        <f aca="false">AVERAGE(songs!E$2:E$1943)</f>
        <v>228.644258496395</v>
      </c>
      <c r="D4" s="20" t="n">
        <f aca="false">AVERAGE(songs!I$2:I$1943)</f>
        <v>59.6374871266735</v>
      </c>
      <c r="E4" s="20" t="n">
        <f aca="false">AVERAGE(songs!J$2:J$1943)</f>
        <v>0.667803810504634</v>
      </c>
      <c r="F4" s="20" t="n">
        <f aca="false">AVERAGE(songs!K$2:K$1943)</f>
        <v>0.72156797116375</v>
      </c>
      <c r="G4" s="20" t="n">
        <f aca="false">AVERAGE(songs!M$2:M$1943)</f>
        <v>-5.51346498455201</v>
      </c>
      <c r="H4" s="20" t="n">
        <f aca="false">AVERAGE(songs!N$2:N$1943)</f>
        <v>0.103886714727085</v>
      </c>
      <c r="I4" s="20" t="n">
        <f aca="false">AVERAGE(songs!O$2:O$1943)</f>
        <v>0.128113961328527</v>
      </c>
      <c r="J4" s="20" t="n">
        <f aca="false">AVERAGE(songs!P$2:P$1943)</f>
        <v>0.0153645597013388</v>
      </c>
    </row>
    <row r="5" customFormat="false" ht="14.25" hidden="false" customHeight="false" outlineLevel="0" collapsed="false">
      <c r="A5" s="18" t="s">
        <v>2799</v>
      </c>
      <c r="B5" s="20" t="n">
        <f aca="false">MEDIAN(songs!D$2:D$1943)</f>
        <v>223219.5</v>
      </c>
      <c r="C5" s="20" t="n">
        <f aca="false">MEDIAN(songs!E$2:E$1943)</f>
        <v>223.2195</v>
      </c>
      <c r="D5" s="20" t="n">
        <f aca="false">MEDIAN(songs!I$2:I$1943)</f>
        <v>65</v>
      </c>
      <c r="E5" s="20" t="n">
        <f aca="false">MEDIAN(songs!J$2:J$1943)</f>
        <v>0.676</v>
      </c>
      <c r="F5" s="20" t="n">
        <f aca="false">MEDIAN(songs!K$2:K$1943)</f>
        <v>0.739</v>
      </c>
      <c r="G5" s="20" t="n">
        <f aca="false">MEDIAN(songs!M$2:M$1943)</f>
        <v>-5.2845</v>
      </c>
      <c r="H5" s="20" t="n">
        <f aca="false">MEDIAN(songs!N$2:N$1943)</f>
        <v>0.061</v>
      </c>
      <c r="I5" s="20" t="n">
        <f aca="false">MEDIAN(songs!O$2:O$1943)</f>
        <v>0.0557</v>
      </c>
      <c r="J5" s="20" t="n">
        <f aca="false">MEDIAN(songs!P$2:P$1943)</f>
        <v>0</v>
      </c>
    </row>
    <row r="6" customFormat="false" ht="14.25" hidden="false" customHeight="false" outlineLevel="0" collapsed="false">
      <c r="A6" s="18" t="s">
        <v>2800</v>
      </c>
      <c r="B6" s="20" t="n">
        <f aca="false">QUARTILE(songs!D$2:D$1943, 1)</f>
        <v>203506</v>
      </c>
      <c r="C6" s="20" t="n">
        <f aca="false">QUARTILE(songs!E$2:E$1943, 1)</f>
        <v>203.506</v>
      </c>
      <c r="D6" s="20" t="n">
        <f aca="false">QUARTILE(songs!I$2:I$1943, 1)</f>
        <v>56</v>
      </c>
      <c r="E6" s="20" t="n">
        <f aca="false">QUARTILE(songs!J$2:J$1943, 1)</f>
        <v>0.581</v>
      </c>
      <c r="F6" s="20" t="n">
        <f aca="false">QUARTILE(songs!K$2:K$1943, 1)</f>
        <v>0.624</v>
      </c>
      <c r="G6" s="20" t="n">
        <f aca="false">QUARTILE(songs!M$2:M$1943, 1)</f>
        <v>-6.4895</v>
      </c>
      <c r="H6" s="20" t="n">
        <f aca="false">QUARTILE(songs!N$2:N$1943, 1)</f>
        <v>0.0397</v>
      </c>
      <c r="I6" s="20" t="n">
        <f aca="false">QUARTILE(songs!O$2:O$1943, 1)</f>
        <v>0.013525</v>
      </c>
      <c r="J6" s="20" t="n">
        <f aca="false">QUARTILE(songs!P$2:P$1943, 1)</f>
        <v>0</v>
      </c>
    </row>
    <row r="7" customFormat="false" ht="14.25" hidden="false" customHeight="false" outlineLevel="0" collapsed="false">
      <c r="A7" s="18" t="s">
        <v>2801</v>
      </c>
      <c r="B7" s="20" t="n">
        <f aca="false">MIN(songs!D$2:D$1943)</f>
        <v>113000</v>
      </c>
      <c r="C7" s="20" t="n">
        <f aca="false">MIN(songs!E$2:E$1943)</f>
        <v>113</v>
      </c>
      <c r="D7" s="20" t="n">
        <f aca="false">MIN(songs!I$2:I$1943)</f>
        <v>0</v>
      </c>
      <c r="E7" s="20" t="n">
        <f aca="false">MIN(songs!J$2:J$1943)</f>
        <v>0.129</v>
      </c>
      <c r="F7" s="20" t="n">
        <f aca="false">MIN(songs!K$2:K$1943)</f>
        <v>0.0549</v>
      </c>
      <c r="G7" s="20" t="n">
        <f aca="false">MIN(songs!M$2:M$1943)</f>
        <v>-20.514</v>
      </c>
      <c r="H7" s="20" t="n">
        <f aca="false">MIN(songs!N$2:N$1943)</f>
        <v>0.0232</v>
      </c>
      <c r="I7" s="20" t="n">
        <f aca="false">MIN(songs!O$2:O$1943)</f>
        <v>1.92E-005</v>
      </c>
      <c r="J7" s="20" t="n">
        <f aca="false">MIN(songs!P$2:P$1943)</f>
        <v>0</v>
      </c>
    </row>
  </sheetData>
  <mergeCells count="2">
    <mergeCell ref="B1:J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3" width="16.55"/>
    <col collapsed="false" customWidth="true" hidden="false" outlineLevel="0" max="3" min="3" style="0" width="7.88"/>
    <col collapsed="false" customWidth="true" hidden="false" outlineLevel="0" max="4" min="4" style="0" width="11"/>
    <col collapsed="false" customWidth="true" hidden="false" outlineLevel="0" max="5" min="5" style="0" width="16.22"/>
    <col collapsed="false" customWidth="true" hidden="false" outlineLevel="0" max="8" min="8" style="0" width="16.22"/>
    <col collapsed="false" customWidth="true" hidden="false" outlineLevel="0" max="11" min="11" style="0" width="16.22"/>
    <col collapsed="false" customWidth="true" hidden="false" outlineLevel="0" max="12" min="12" style="0" width="20.11"/>
    <col collapsed="false" customWidth="true" hidden="false" outlineLevel="0" max="13" min="13" style="0" width="17.67"/>
  </cols>
  <sheetData>
    <row r="2" customFormat="false" ht="29.25" hidden="false" customHeight="true" outlineLevel="0" collapsed="false">
      <c r="H2" s="21" t="s">
        <v>2802</v>
      </c>
      <c r="I2" s="21"/>
      <c r="K2" s="19" t="s">
        <v>2803</v>
      </c>
      <c r="L2" s="19" t="s">
        <v>2804</v>
      </c>
      <c r="M2" s="19" t="s">
        <v>2805</v>
      </c>
    </row>
    <row r="3" customFormat="false" ht="14.25" hidden="false" customHeight="false" outlineLevel="0" collapsed="false">
      <c r="A3" s="22" t="s">
        <v>7</v>
      </c>
      <c r="B3" s="23" t="s">
        <v>2806</v>
      </c>
      <c r="H3" s="24" t="s">
        <v>2412</v>
      </c>
      <c r="I3" s="25" t="n">
        <v>23</v>
      </c>
      <c r="K3" s="24" t="s">
        <v>2412</v>
      </c>
      <c r="L3" s="26" t="n">
        <v>0.608695652173913</v>
      </c>
      <c r="M3" s="26" t="n">
        <v>0.391304347826087</v>
      </c>
    </row>
    <row r="4" customFormat="false" ht="14.25" hidden="false" customHeight="false" outlineLevel="0" collapsed="false">
      <c r="A4" s="27" t="n">
        <v>1998</v>
      </c>
      <c r="B4" s="28" t="n">
        <v>81.125</v>
      </c>
      <c r="H4" s="24" t="s">
        <v>2241</v>
      </c>
      <c r="I4" s="25" t="n">
        <v>23</v>
      </c>
      <c r="K4" s="24" t="s">
        <v>2241</v>
      </c>
      <c r="L4" s="26" t="n">
        <v>0.391304347826087</v>
      </c>
      <c r="M4" s="26" t="n">
        <v>0.608695652173913</v>
      </c>
    </row>
    <row r="5" customFormat="false" ht="14.25" hidden="false" customHeight="false" outlineLevel="0" collapsed="false">
      <c r="A5" s="29" t="n">
        <v>1999</v>
      </c>
      <c r="B5" s="30" t="n">
        <v>122.705</v>
      </c>
      <c r="H5" s="24" t="s">
        <v>1965</v>
      </c>
      <c r="I5" s="25" t="n">
        <v>21</v>
      </c>
      <c r="K5" s="24" t="s">
        <v>1965</v>
      </c>
      <c r="L5" s="26" t="n">
        <v>0.333333333333333</v>
      </c>
      <c r="M5" s="26" t="n">
        <v>0.666666666666667</v>
      </c>
    </row>
    <row r="6" customFormat="false" ht="14.25" hidden="false" customHeight="false" outlineLevel="0" collapsed="false">
      <c r="A6" s="29" t="n">
        <v>2000</v>
      </c>
      <c r="B6" s="30" t="n">
        <v>112.660873239437</v>
      </c>
      <c r="H6" s="24" t="s">
        <v>2330</v>
      </c>
      <c r="I6" s="25" t="n">
        <v>20</v>
      </c>
      <c r="K6" s="24" t="s">
        <v>2330</v>
      </c>
      <c r="L6" s="26" t="n">
        <v>0.25</v>
      </c>
      <c r="M6" s="26" t="n">
        <v>0.75</v>
      </c>
    </row>
    <row r="7" customFormat="false" ht="14.25" hidden="false" customHeight="false" outlineLevel="0" collapsed="false">
      <c r="A7" s="29" t="n">
        <v>2001</v>
      </c>
      <c r="B7" s="30" t="n">
        <v>117.414877358491</v>
      </c>
      <c r="H7" s="24" t="s">
        <v>1959</v>
      </c>
      <c r="I7" s="25" t="n">
        <v>19</v>
      </c>
      <c r="K7" s="24" t="s">
        <v>1959</v>
      </c>
      <c r="L7" s="26" t="n">
        <v>0.263157894736842</v>
      </c>
      <c r="M7" s="26" t="n">
        <v>0.736842105263158</v>
      </c>
    </row>
    <row r="8" customFormat="false" ht="14.25" hidden="false" customHeight="false" outlineLevel="0" collapsed="false">
      <c r="A8" s="29" t="n">
        <v>2002</v>
      </c>
      <c r="B8" s="30" t="n">
        <v>113.131563218391</v>
      </c>
      <c r="H8" s="24" t="s">
        <v>2395</v>
      </c>
      <c r="I8" s="25" t="n">
        <v>18</v>
      </c>
      <c r="K8" s="24" t="s">
        <v>2395</v>
      </c>
      <c r="L8" s="26" t="n">
        <v>0.555555555555556</v>
      </c>
      <c r="M8" s="26" t="n">
        <v>0.444444444444444</v>
      </c>
    </row>
    <row r="9" customFormat="false" ht="14.25" hidden="false" customHeight="false" outlineLevel="0" collapsed="false">
      <c r="A9" s="29" t="n">
        <v>2003</v>
      </c>
      <c r="B9" s="30" t="n">
        <v>119.410373626374</v>
      </c>
      <c r="H9" s="24" t="s">
        <v>2150</v>
      </c>
      <c r="I9" s="25" t="n">
        <v>16</v>
      </c>
      <c r="K9" s="24" t="s">
        <v>2150</v>
      </c>
      <c r="L9" s="26" t="n">
        <v>0.5</v>
      </c>
      <c r="M9" s="26" t="n">
        <v>0.5</v>
      </c>
    </row>
    <row r="10" customFormat="false" ht="14.25" hidden="false" customHeight="false" outlineLevel="0" collapsed="false">
      <c r="A10" s="29" t="n">
        <v>2004</v>
      </c>
      <c r="B10" s="30" t="n">
        <v>115.007484210526</v>
      </c>
      <c r="H10" s="24" t="s">
        <v>2249</v>
      </c>
      <c r="I10" s="25" t="n">
        <v>16</v>
      </c>
      <c r="K10" s="24" t="s">
        <v>2249</v>
      </c>
      <c r="L10" s="26" t="n">
        <v>0.375</v>
      </c>
      <c r="M10" s="26" t="n">
        <v>0.625</v>
      </c>
    </row>
    <row r="11" customFormat="false" ht="14.25" hidden="false" customHeight="false" outlineLevel="0" collapsed="false">
      <c r="A11" s="29" t="n">
        <v>2005</v>
      </c>
      <c r="B11" s="30" t="n">
        <v>119.289910891089</v>
      </c>
      <c r="H11" s="24" t="s">
        <v>2227</v>
      </c>
      <c r="I11" s="25" t="n">
        <v>16</v>
      </c>
      <c r="K11" s="24" t="s">
        <v>2227</v>
      </c>
      <c r="L11" s="26" t="n">
        <v>0.625</v>
      </c>
      <c r="M11" s="26" t="n">
        <v>0.375</v>
      </c>
    </row>
    <row r="12" customFormat="false" ht="14.25" hidden="false" customHeight="false" outlineLevel="0" collapsed="false">
      <c r="A12" s="29" t="n">
        <v>2006</v>
      </c>
      <c r="B12" s="30" t="n">
        <v>113.865451612903</v>
      </c>
      <c r="H12" s="24" t="s">
        <v>2355</v>
      </c>
      <c r="I12" s="25" t="n">
        <v>16</v>
      </c>
      <c r="K12" s="24" t="s">
        <v>2355</v>
      </c>
      <c r="L12" s="26" t="n">
        <v>0.3125</v>
      </c>
      <c r="M12" s="26" t="n">
        <v>0.6875</v>
      </c>
    </row>
    <row r="13" customFormat="false" ht="14.25" hidden="false" customHeight="false" outlineLevel="0" collapsed="false">
      <c r="A13" s="29" t="n">
        <v>2007</v>
      </c>
      <c r="B13" s="30" t="n">
        <v>120.7118</v>
      </c>
      <c r="H13" s="24" t="s">
        <v>2396</v>
      </c>
      <c r="I13" s="25" t="n">
        <v>16</v>
      </c>
      <c r="K13" s="24" t="s">
        <v>2396</v>
      </c>
      <c r="L13" s="26" t="n">
        <v>0.5625</v>
      </c>
      <c r="M13" s="26" t="n">
        <v>0.4375</v>
      </c>
    </row>
    <row r="14" customFormat="false" ht="14.25" hidden="false" customHeight="false" outlineLevel="0" collapsed="false">
      <c r="A14" s="29" t="n">
        <v>2008</v>
      </c>
      <c r="B14" s="30" t="n">
        <v>125.71456043956</v>
      </c>
      <c r="H14" s="24" t="s">
        <v>2152</v>
      </c>
      <c r="I14" s="25" t="n">
        <v>14</v>
      </c>
      <c r="K14" s="24" t="s">
        <v>2152</v>
      </c>
      <c r="L14" s="26" t="n">
        <v>0.357142857142857</v>
      </c>
      <c r="M14" s="26" t="n">
        <v>0.642857142857143</v>
      </c>
    </row>
    <row r="15" customFormat="false" ht="14.25" hidden="false" customHeight="false" outlineLevel="0" collapsed="false">
      <c r="A15" s="29" t="n">
        <v>2009</v>
      </c>
      <c r="B15" s="30" t="n">
        <v>125.218402439024</v>
      </c>
      <c r="H15" s="24" t="s">
        <v>2013</v>
      </c>
      <c r="I15" s="25" t="n">
        <v>14</v>
      </c>
      <c r="K15" s="24" t="s">
        <v>2013</v>
      </c>
      <c r="L15" s="26" t="n">
        <v>0.285714285714286</v>
      </c>
      <c r="M15" s="26" t="n">
        <v>0.714285714285714</v>
      </c>
    </row>
    <row r="16" customFormat="false" ht="14.25" hidden="false" customHeight="false" outlineLevel="0" collapsed="false">
      <c r="A16" s="29" t="n">
        <v>2010</v>
      </c>
      <c r="B16" s="30" t="n">
        <v>120.74986407767</v>
      </c>
      <c r="H16" s="24" t="s">
        <v>2557</v>
      </c>
      <c r="I16" s="25" t="n">
        <v>13</v>
      </c>
      <c r="K16" s="24" t="s">
        <v>2557</v>
      </c>
      <c r="L16" s="26" t="n">
        <v>0.692307692307692</v>
      </c>
      <c r="M16" s="26" t="n">
        <v>0.307692307692308</v>
      </c>
    </row>
    <row r="17" customFormat="false" ht="14.25" hidden="false" customHeight="false" outlineLevel="0" collapsed="false">
      <c r="A17" s="29" t="n">
        <v>2011</v>
      </c>
      <c r="B17" s="30" t="n">
        <v>125.569145833333</v>
      </c>
      <c r="H17" s="24" t="s">
        <v>2194</v>
      </c>
      <c r="I17" s="25" t="n">
        <v>13</v>
      </c>
      <c r="K17" s="24" t="s">
        <v>2194</v>
      </c>
      <c r="L17" s="26" t="n">
        <v>0.307692307692308</v>
      </c>
      <c r="M17" s="26" t="n">
        <v>0.692307692307692</v>
      </c>
    </row>
    <row r="18" customFormat="false" ht="14.25" hidden="false" customHeight="false" outlineLevel="0" collapsed="false">
      <c r="A18" s="29" t="n">
        <v>2012</v>
      </c>
      <c r="B18" s="30" t="n">
        <v>120.889955752212</v>
      </c>
      <c r="H18" s="24" t="s">
        <v>1993</v>
      </c>
      <c r="I18" s="25" t="n">
        <v>12</v>
      </c>
      <c r="K18" s="24" t="s">
        <v>1993</v>
      </c>
      <c r="L18" s="26" t="n">
        <v>0.333333333333333</v>
      </c>
      <c r="M18" s="26" t="n">
        <v>0.666666666666667</v>
      </c>
    </row>
    <row r="19" customFormat="false" ht="14.25" hidden="false" customHeight="false" outlineLevel="0" collapsed="false">
      <c r="A19" s="29" t="n">
        <v>2013</v>
      </c>
      <c r="B19" s="30" t="n">
        <v>122.101103448276</v>
      </c>
      <c r="H19" s="24" t="s">
        <v>2138</v>
      </c>
      <c r="I19" s="25" t="n">
        <v>11</v>
      </c>
      <c r="K19" s="24" t="s">
        <v>2138</v>
      </c>
      <c r="L19" s="26" t="n">
        <v>0.909090909090909</v>
      </c>
      <c r="M19" s="26" t="n">
        <v>0.0909090909090909</v>
      </c>
    </row>
    <row r="20" customFormat="false" ht="14.25" hidden="false" customHeight="false" outlineLevel="0" collapsed="false">
      <c r="A20" s="29" t="n">
        <v>2014</v>
      </c>
      <c r="B20" s="30" t="n">
        <v>121.79707</v>
      </c>
      <c r="H20" s="24" t="s">
        <v>2426</v>
      </c>
      <c r="I20" s="25" t="n">
        <v>11</v>
      </c>
      <c r="K20" s="24" t="s">
        <v>2426</v>
      </c>
      <c r="L20" s="26" t="n">
        <v>0.545454545454545</v>
      </c>
      <c r="M20" s="26" t="n">
        <v>0.454545454545455</v>
      </c>
    </row>
    <row r="21" customFormat="false" ht="14.25" hidden="false" customHeight="false" outlineLevel="0" collapsed="false">
      <c r="A21" s="29" t="n">
        <v>2015</v>
      </c>
      <c r="B21" s="30" t="n">
        <v>120.005838709677</v>
      </c>
      <c r="H21" s="24" t="s">
        <v>2134</v>
      </c>
      <c r="I21" s="25" t="n">
        <v>11</v>
      </c>
      <c r="K21" s="24" t="s">
        <v>2134</v>
      </c>
      <c r="L21" s="26" t="n">
        <v>0.272727272727273</v>
      </c>
      <c r="M21" s="26" t="n">
        <v>0.727272727272727</v>
      </c>
    </row>
    <row r="22" customFormat="false" ht="14.25" hidden="false" customHeight="false" outlineLevel="0" collapsed="false">
      <c r="A22" s="29" t="n">
        <v>2016</v>
      </c>
      <c r="B22" s="30" t="n">
        <v>120.882653061224</v>
      </c>
      <c r="H22" s="24" t="s">
        <v>2415</v>
      </c>
      <c r="I22" s="25" t="n">
        <v>11</v>
      </c>
      <c r="K22" s="24" t="s">
        <v>2415</v>
      </c>
      <c r="L22" s="26" t="n">
        <v>0.0909090909090909</v>
      </c>
      <c r="M22" s="26" t="n">
        <v>0.909090909090909</v>
      </c>
    </row>
    <row r="23" customFormat="false" ht="14.25" hidden="false" customHeight="false" outlineLevel="0" collapsed="false">
      <c r="A23" s="29" t="n">
        <v>2017</v>
      </c>
      <c r="B23" s="30" t="n">
        <v>120.045309090909</v>
      </c>
      <c r="K23" s="24" t="s">
        <v>2078</v>
      </c>
      <c r="L23" s="26" t="n">
        <v>0.272727272727273</v>
      </c>
      <c r="M23" s="26" t="n">
        <v>0.727272727272727</v>
      </c>
    </row>
    <row r="24" customFormat="false" ht="14.25" hidden="false" customHeight="false" outlineLevel="0" collapsed="false">
      <c r="A24" s="29" t="n">
        <v>2018</v>
      </c>
      <c r="B24" s="30" t="n">
        <v>118.665759615385</v>
      </c>
      <c r="K24" s="24" t="s">
        <v>2039</v>
      </c>
      <c r="L24" s="26" t="n">
        <v>0.181818181818182</v>
      </c>
      <c r="M24" s="26" t="n">
        <v>0.818181818181818</v>
      </c>
    </row>
    <row r="25" customFormat="false" ht="14.25" hidden="false" customHeight="false" outlineLevel="0" collapsed="false">
      <c r="A25" s="29" t="n">
        <v>2019</v>
      </c>
      <c r="B25" s="30" t="n">
        <v>127.952988764045</v>
      </c>
      <c r="K25" s="24" t="s">
        <v>2104</v>
      </c>
      <c r="L25" s="26" t="n">
        <v>0.6</v>
      </c>
      <c r="M25" s="26" t="n">
        <v>0.4</v>
      </c>
    </row>
    <row r="26" customFormat="false" ht="14.25" hidden="false" customHeight="false" outlineLevel="0" collapsed="false">
      <c r="A26" s="29" t="n">
        <v>2020</v>
      </c>
      <c r="B26" s="31" t="n">
        <v>128.143</v>
      </c>
      <c r="K26" s="24" t="s">
        <v>2499</v>
      </c>
      <c r="L26" s="26" t="n">
        <v>0.5</v>
      </c>
      <c r="M26" s="26" t="n">
        <v>0.5</v>
      </c>
    </row>
    <row r="27" customFormat="false" ht="14.25" hidden="false" customHeight="false" outlineLevel="0" collapsed="false">
      <c r="A27" s="32" t="s">
        <v>2807</v>
      </c>
      <c r="B27" s="33" t="n">
        <v>120.140850669413</v>
      </c>
      <c r="K27" s="24" t="s">
        <v>2354</v>
      </c>
      <c r="L27" s="26" t="n">
        <v>0.3</v>
      </c>
      <c r="M27" s="26" t="n">
        <v>0.7</v>
      </c>
    </row>
    <row r="28" customFormat="false" ht="31.5" hidden="false" customHeight="true" outlineLevel="0" collapsed="false">
      <c r="H28" s="21" t="s">
        <v>2808</v>
      </c>
      <c r="I28" s="21"/>
    </row>
    <row r="29" customFormat="false" ht="42.75" hidden="false" customHeight="false" outlineLevel="0" collapsed="false">
      <c r="H29" s="34" t="s">
        <v>2809</v>
      </c>
      <c r="I29" s="35" t="s">
        <v>2810</v>
      </c>
    </row>
    <row r="30" customFormat="false" ht="14.25" hidden="false" customHeight="false" outlineLevel="0" collapsed="false">
      <c r="H30" s="24" t="n">
        <v>1998</v>
      </c>
      <c r="I30" s="20" t="n">
        <v>81.125</v>
      </c>
    </row>
    <row r="31" customFormat="false" ht="14.25" hidden="false" customHeight="false" outlineLevel="0" collapsed="false">
      <c r="H31" s="24" t="n">
        <v>1999</v>
      </c>
      <c r="I31" s="20" t="n">
        <v>122.705</v>
      </c>
    </row>
    <row r="32" customFormat="false" ht="14.25" hidden="false" customHeight="false" outlineLevel="0" collapsed="false">
      <c r="H32" s="24" t="n">
        <v>2000</v>
      </c>
      <c r="I32" s="20" t="n">
        <v>112.660873239437</v>
      </c>
    </row>
    <row r="33" customFormat="false" ht="14.25" hidden="false" customHeight="false" outlineLevel="0" collapsed="false">
      <c r="H33" s="24" t="n">
        <v>2001</v>
      </c>
      <c r="I33" s="20" t="n">
        <v>117.414877358491</v>
      </c>
    </row>
    <row r="34" customFormat="false" ht="14.25" hidden="false" customHeight="false" outlineLevel="0" collapsed="false">
      <c r="H34" s="24" t="n">
        <v>2002</v>
      </c>
      <c r="I34" s="20" t="n">
        <v>113.131563218391</v>
      </c>
    </row>
    <row r="35" customFormat="false" ht="14.25" hidden="false" customHeight="false" outlineLevel="0" collapsed="false">
      <c r="H35" s="24" t="n">
        <v>2003</v>
      </c>
      <c r="I35" s="20" t="n">
        <v>119.410373626374</v>
      </c>
    </row>
    <row r="36" customFormat="false" ht="14.25" hidden="false" customHeight="false" outlineLevel="0" collapsed="false">
      <c r="H36" s="24" t="n">
        <v>2004</v>
      </c>
      <c r="I36" s="20" t="n">
        <v>115.007484210526</v>
      </c>
    </row>
    <row r="37" customFormat="false" ht="14.25" hidden="false" customHeight="false" outlineLevel="0" collapsed="false">
      <c r="H37" s="24" t="n">
        <v>2005</v>
      </c>
      <c r="I37" s="20" t="n">
        <v>119.289910891089</v>
      </c>
    </row>
    <row r="38" customFormat="false" ht="14.25" hidden="false" customHeight="false" outlineLevel="0" collapsed="false">
      <c r="H38" s="24" t="n">
        <v>2006</v>
      </c>
      <c r="I38" s="20" t="n">
        <v>113.865451612903</v>
      </c>
    </row>
    <row r="39" customFormat="false" ht="14.25" hidden="false" customHeight="false" outlineLevel="0" collapsed="false">
      <c r="H39" s="24" t="n">
        <v>2007</v>
      </c>
      <c r="I39" s="20" t="n">
        <v>120.7118</v>
      </c>
    </row>
    <row r="40" customFormat="false" ht="14.25" hidden="false" customHeight="false" outlineLevel="0" collapsed="false">
      <c r="H40" s="24" t="n">
        <v>2008</v>
      </c>
      <c r="I40" s="20" t="n">
        <v>125.71456043956</v>
      </c>
    </row>
    <row r="41" customFormat="false" ht="14.25" hidden="false" customHeight="false" outlineLevel="0" collapsed="false">
      <c r="H41" s="24" t="n">
        <v>2009</v>
      </c>
      <c r="I41" s="20" t="n">
        <v>125.218402439024</v>
      </c>
    </row>
    <row r="42" customFormat="false" ht="14.25" hidden="false" customHeight="false" outlineLevel="0" collapsed="false">
      <c r="H42" s="24" t="n">
        <v>2010</v>
      </c>
      <c r="I42" s="20" t="n">
        <v>120.74986407767</v>
      </c>
    </row>
    <row r="43" customFormat="false" ht="14.25" hidden="false" customHeight="false" outlineLevel="0" collapsed="false">
      <c r="H43" s="24" t="n">
        <v>2011</v>
      </c>
      <c r="I43" s="20" t="n">
        <v>125.569145833333</v>
      </c>
    </row>
    <row r="44" customFormat="false" ht="14.25" hidden="false" customHeight="false" outlineLevel="0" collapsed="false">
      <c r="H44" s="24" t="n">
        <v>2012</v>
      </c>
      <c r="I44" s="20" t="n">
        <v>120.889955752212</v>
      </c>
    </row>
    <row r="45" customFormat="false" ht="14.25" hidden="false" customHeight="false" outlineLevel="0" collapsed="false">
      <c r="H45" s="24" t="n">
        <v>2013</v>
      </c>
      <c r="I45" s="20" t="n">
        <v>122.101103448276</v>
      </c>
    </row>
    <row r="46" customFormat="false" ht="14.25" hidden="false" customHeight="false" outlineLevel="0" collapsed="false">
      <c r="H46" s="24" t="n">
        <v>2014</v>
      </c>
      <c r="I46" s="20" t="n">
        <v>121.79707</v>
      </c>
    </row>
    <row r="47" customFormat="false" ht="14.25" hidden="false" customHeight="false" outlineLevel="0" collapsed="false">
      <c r="H47" s="24" t="n">
        <v>2015</v>
      </c>
      <c r="I47" s="20" t="n">
        <v>120.005838709677</v>
      </c>
    </row>
    <row r="48" customFormat="false" ht="14.25" hidden="false" customHeight="false" outlineLevel="0" collapsed="false">
      <c r="H48" s="24" t="n">
        <v>2016</v>
      </c>
      <c r="I48" s="20" t="n">
        <v>120.882653061224</v>
      </c>
    </row>
    <row r="49" customFormat="false" ht="14.25" hidden="false" customHeight="false" outlineLevel="0" collapsed="false">
      <c r="H49" s="24" t="n">
        <v>2017</v>
      </c>
      <c r="I49" s="20" t="n">
        <v>120.045309090909</v>
      </c>
    </row>
    <row r="50" customFormat="false" ht="14.25" hidden="false" customHeight="false" outlineLevel="0" collapsed="false">
      <c r="H50" s="24" t="n">
        <v>2018</v>
      </c>
      <c r="I50" s="20" t="n">
        <v>118.665759615385</v>
      </c>
    </row>
    <row r="51" customFormat="false" ht="14.25" hidden="false" customHeight="false" outlineLevel="0" collapsed="false">
      <c r="H51" s="24" t="n">
        <v>2019</v>
      </c>
      <c r="I51" s="20" t="n">
        <v>127.952988764045</v>
      </c>
    </row>
    <row r="52" customFormat="false" ht="14.25" hidden="false" customHeight="false" outlineLevel="0" collapsed="false">
      <c r="H52" s="24" t="n">
        <v>2020</v>
      </c>
      <c r="I52" s="20" t="n">
        <v>128.143</v>
      </c>
    </row>
  </sheetData>
  <mergeCells count="2">
    <mergeCell ref="H2:I2"/>
    <mergeCell ref="H28:I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2025-12-11T11:30:15Z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